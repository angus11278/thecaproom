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ata Sources" sheetId="2" state="visible" r:id="rId4"/>
    <sheet name="Cap &amp; TPP Data" sheetId="3" state="visible" r:id="rId5"/>
    <sheet name="Competitor Map" sheetId="4" state="visible" r:id="rId6"/>
    <sheet name="Valuation Model" sheetId="5" state="visible" r:id="rId7"/>
    <sheet name="Commercial Model" sheetId="6" state="visible" r:id="rId8"/>
    <sheet name="Headline Bank" sheetId="7" state="visible" r:id="rId9"/>
    <sheet name="Risk Regist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<sst xmlns="http://schemas.openxmlformats.org/spreadsheetml/2006/main" count="350" uniqueCount="306">
  <si>
    <t xml:space="preserve">HIDDEN ECONOMY OF AUSTRALIAN SPORT — Foundation Research Workbook</t>
  </si>
  <si>
    <t xml:space="preserve">Working repository for the AFL-first sports economics venture. Built 12 June 2026 from desk research.</t>
  </si>
  <si>
    <t xml:space="preserve">Tabs:</t>
  </si>
  <si>
    <t xml:space="preserve">1. Data Sources — full inventory of available data, access method, cost and licensing risk</t>
  </si>
  <si>
    <t xml:space="preserve">2. Cap &amp; TPP Data — collected salary cap / total player payments data points (the seed dataset)</t>
  </si>
  <si>
    <t xml:space="preserve">3. Competitor Map — AU and US adjacents, what they cover, and the identified gap</t>
  </si>
  <si>
    <t xml:space="preserve">4. Valuation Model — input spec for the AFL contract valuation model with availability ratings</t>
  </si>
  <si>
    <t xml:space="preserve">5. Commercial Model — three-tier pricing with editable assumptions and Year-1 revenue scenarios</t>
  </si>
  <si>
    <t xml:space="preserve">6. Headline Bank — sample "hidden stat" content concepts to test the content engine</t>
  </si>
  <si>
    <t xml:space="preserve">7. Risk Register — devil's advocate: failure modes and mitigants</t>
  </si>
  <si>
    <t xml:space="preserve">Colour convention: blue = editable input/assumption; black = formula or fixed research finding.</t>
  </si>
  <si>
    <t xml:space="preserve">1. DATA SOURCE INVENTORY (AFL-first)</t>
  </si>
  <si>
    <t xml:space="preserve">Source</t>
  </si>
  <si>
    <t xml:space="preserve">What it contains</t>
  </si>
  <si>
    <t xml:space="preserve">Access method</t>
  </si>
  <si>
    <t xml:space="preserve">Cost</t>
  </si>
  <si>
    <t xml:space="preserve">Licensing / IP risk</t>
  </si>
  <si>
    <t xml:space="preserve">Role in the product</t>
  </si>
  <si>
    <t xml:space="preserve">AFL official TPP release</t>
  </si>
  <si>
    <t xml:space="preserve">Annual aggregate player payments: averages, $ brackets, count of $1M+ players. 2025: avg $505,961; 58 players &gt;$1M</t>
  </si>
  <si>
    <t xml:space="preserve">Public (AFL.com annual release, ~Feb)</t>
  </si>
  <si>
    <t xml:space="preserve">Free</t>
  </si>
  <si>
    <t xml:space="preserve">Low — published aggregates</t>
  </si>
  <si>
    <t xml:space="preserve">Anchor/calibration layer for valuation model</t>
  </si>
  <si>
    <t xml:space="preserve">AFL CBA 2023–2027 (Schedule 2A)</t>
  </si>
  <si>
    <t xml:space="preserve">TPP cap by year: $15.02M (2023) rising to $18.44M (2027); cap $17.8M in 2025; floor 95% of cap</t>
  </si>
  <si>
    <t xml:space="preserve">Public (AFLPA documents)</t>
  </si>
  <si>
    <t xml:space="preserve">Low</t>
  </si>
  <si>
    <t xml:space="preserve">Cap context; constraint set for cap-space modelling</t>
  </si>
  <si>
    <t xml:space="preserve">AFL Tables (afltables.com)</t>
  </si>
  <si>
    <t xml:space="preserve">Complete match results, ladders, player stats 1897–present</t>
  </si>
  <si>
    <t xml:space="preserve">Scrape / fitzRoy package</t>
  </si>
  <si>
    <t xml:space="preserve">Low-Med — unofficial but tolerated for ~25 yrs; AFL has not moved against it</t>
  </si>
  <si>
    <t xml:space="preserve">Performance layer: longest history available</t>
  </si>
  <si>
    <t xml:space="preserve">Footywire</t>
  </si>
  <si>
    <t xml:space="preserve">Player stats 2012–present incl. advanced (SuperCoach pts), contract end years, player details</t>
  </si>
  <si>
    <t xml:space="preserve">Scrape / fitzRoy</t>
  </si>
  <si>
    <t xml:space="preserve">Low-Med — same as above</t>
  </si>
  <si>
    <t xml:space="preserve">Contract end dates = critical input for valuation timing</t>
  </si>
  <si>
    <t xml:space="preserve">fitzRoy (R) / equivalent Python scrapers</t>
  </si>
  <si>
    <t xml:space="preserve">Unified programmatic access to AFL Tables, Footywire, Squiggle, AFL.com fixtures/results/lineups</t>
  </si>
  <si>
    <t xml:space="preserve">Open source (CRAN)</t>
  </si>
  <si>
    <t xml:space="preserve">Low — code is open; underlying data as above</t>
  </si>
  <si>
    <t xml:space="preserve">Pipeline accelerator — Tomer-style 4-stage pattern applies</t>
  </si>
  <si>
    <t xml:space="preserve">Squiggle API</t>
  </si>
  <si>
    <t xml:space="preserve">Aggregated predictive models, tips, expected margins from the AFL models community</t>
  </si>
  <si>
    <t xml:space="preserve">Public API, documented</t>
  </si>
  <si>
    <t xml:space="preserve">Low — designed for reuse</t>
  </si>
  <si>
    <t xml:space="preserve">Benchmark layer: consensus model to beat / quote</t>
  </si>
  <si>
    <t xml:space="preserve">Wheelo Ratings</t>
  </si>
  <si>
    <t xml:space="preserve">Elo ratings, xScore, player "equity" ratings, kick retention/threat ratings, season sims</t>
  </si>
  <si>
    <t xml:space="preserve">Public site (no API)</t>
  </si>
  <si>
    <t xml:space="preserve">Med — derived from Champion Data player ratings concepts</t>
  </si>
  <si>
    <t xml:space="preserve">Competitor AND proof of audience demand for advanced stats</t>
  </si>
  <si>
    <t xml:space="preserve">Champion Data (49% AFL-owned)</t>
  </si>
  <si>
    <t xml:space="preserve">Official granular event data: x/y coordinates, pressure, disposal effectiveness. Licence-fee model to clubs/media</t>
  </si>
  <si>
    <t xml:space="preserve">Commercial licence only</t>
  </si>
  <si>
    <t xml:space="preserve">$$$ (club/media-grade fees)</t>
  </si>
  <si>
    <t xml:space="preserve">HIGH — litigious posture; do NOT republish raw CD stats</t>
  </si>
  <si>
    <t xml:space="preserve">Avoid raw layer entirely; build derived/modelled IP instead</t>
  </si>
  <si>
    <t xml:space="preserve">Betfair AU/NZ Historic Data Hub</t>
  </si>
  <si>
    <t xml:space="preserve">AFL all-markets + match-odds files 2021–2026; NRL 2021+; AFLW; exchange-level (volume-weighted) data</t>
  </si>
  <si>
    <t xml:space="preserve">Free CSV downloads (AU/NZ hub)</t>
  </si>
  <si>
    <t xml:space="preserve">Low — Betfair publishes for modellers</t>
  </si>
  <si>
    <t xml:space="preserve">Money-flow pillar: closing line value, steam moves</t>
  </si>
  <si>
    <t xml:space="preserve">aussportsbetting.com</t>
  </si>
  <si>
    <t xml:space="preserve">Historical AFL/NRL results + bookmaker odds CSVs (long history)</t>
  </si>
  <si>
    <t xml:space="preserve">Free download</t>
  </si>
  <si>
    <t xml:space="preserve">Backtesting layer for betting intelligence content</t>
  </si>
  <si>
    <t xml:space="preserve">The Odds API</t>
  </si>
  <si>
    <t xml:space="preserve">Live + historical odds across AU bookies (Sportsbet, TAB, Neds, Ladbrokes, Betfair, Unibet); AFL + NRL covered</t>
  </si>
  <si>
    <t xml:space="preserve">Commercial API</t>
  </si>
  <si>
    <t xml:space="preserve">~US$30–300/mo by tier (verify)</t>
  </si>
  <si>
    <t xml:space="preserve">Production odds feed for live "money flow" tracker</t>
  </si>
  <si>
    <t xml:space="preserve">Media rich lists (News Corp / AFL Media)</t>
  </si>
  <si>
    <t xml:space="preserve">Estimated individual salaries, "Rich 100"-style lists, contract reporting from trade period</t>
  </si>
  <si>
    <t xml:space="preserve">Public reporting</t>
  </si>
  <si>
    <t xml:space="preserve">Med — estimates; cite as inputs not facts</t>
  </si>
  <si>
    <t xml:space="preserve">Priors for the Bayesian valuation model</t>
  </si>
  <si>
    <t xml:space="preserve">AFL draft &amp; trade history</t>
  </si>
  <si>
    <t xml:space="preserve">Pick numbers, trades, father-son/academy bids, free agency moves</t>
  </si>
  <si>
    <t xml:space="preserve">Public (AFL.com, Wikipedia, Draft Guru)</t>
  </si>
  <si>
    <t xml:space="preserve">Draft pick value curve + trade equity scoring</t>
  </si>
  <si>
    <t xml:space="preserve">ASIC/ACNC club financials</t>
  </si>
  <si>
    <t xml:space="preserve">Club annual reports: revenue, football dept spend, profit — most AFL clubs publish AGM reports</t>
  </si>
  <si>
    <t xml:space="preserve">Public filings</t>
  </si>
  <si>
    <t xml:space="preserve">Club financial health index — your home turf (registry mining)</t>
  </si>
  <si>
    <t xml:space="preserve">Key finding: Champion Data is the official provider, 49% AFL-owned, charging licence fees — confirming the raw-data layer is closed but the modelled/derived layer is open.</t>
  </si>
  <si>
    <t xml:space="preserve">Strategy implication: never republish CD raw stats; build proprietary models on public + exchange + filing data, exactly as AQS sits on top of ASIC registries.</t>
  </si>
  <si>
    <t xml:space="preserve">2. COLLECTED DATA — AFL SALARY CAP &amp; TOTAL PLAYER PAYMENTS</t>
  </si>
  <si>
    <t xml:space="preserve">Year</t>
  </si>
  <si>
    <t xml:space="preserve">TPP cap per club ($M)</t>
  </si>
  <si>
    <t xml:space="preserve">Avg listed player salary ($)</t>
  </si>
  <si>
    <t xml:space="preserve">Players &gt;$1M</t>
  </si>
  <si>
    <t xml:space="preserve">Notes / source</t>
  </si>
  <si>
    <t xml:space="preserve">~10.0</t>
  </si>
  <si>
    <t xml:space="preserve">Only 4 players &gt;$900K in 2014 (BigFooty TPP summary)</t>
  </si>
  <si>
    <t xml:space="preserve">Cap $13.54M, floor $12.863M (Wikipedia/CBA)</t>
  </si>
  <si>
    <t xml:space="preserve">First year of 2023–27 CBA (Schedule 2A)</t>
  </si>
  <si>
    <t xml:space="preserve">AFL 2024 TPP release</t>
  </si>
  <si>
    <t xml:space="preserve">AFL 2025 TPP release — avg up 10.2%; 58 players $1M+</t>
  </si>
  <si>
    <t xml:space="preserve">TPP rising under CBA; 2026 release due Feb 2027</t>
  </si>
  <si>
    <t xml:space="preserve">Final CBA year per Schedule 2A</t>
  </si>
  <si>
    <t xml:space="preserve">Derived growth check (formula):</t>
  </si>
  <si>
    <t xml:space="preserve">Avg salary CAGR 2022–2025</t>
  </si>
  <si>
    <t xml:space="preserve">Cap growth 2023–2027 (total)</t>
  </si>
  <si>
    <t xml:space="preserve">NRL comparison: cap $12.1M (2023), min wage $120K — second league for expansion.</t>
  </si>
  <si>
    <t xml:space="preserve">3. COMPETITOR / ADJACENT MAP — THE GAP</t>
  </si>
  <si>
    <t xml:space="preserve">Player</t>
  </si>
  <si>
    <t xml:space="preserve">Market</t>
  </si>
  <si>
    <t xml:space="preserve">What they do</t>
  </si>
  <si>
    <t xml:space="preserve">Model</t>
  </si>
  <si>
    <t xml:space="preserve">Scale</t>
  </si>
  <si>
    <t xml:space="preserve">Gap assessment</t>
  </si>
  <si>
    <t xml:space="preserve">Spotrac</t>
  </si>
  <si>
    <t xml:space="preserve">US</t>
  </si>
  <si>
    <t xml:space="preserve">Contracts, payrolls, cap trackers — NFL/MLB/NBA/NHL/MLS/EPL/WNBA</t>
  </si>
  <si>
    <t xml:space="preserve">Ads + premium subscription (ad-free, historical data)</t>
  </si>
  <si>
    <t xml:space="preserve">~3.2M visits/mo (Ahrefs est.)</t>
  </si>
  <si>
    <t xml:space="preserve">No AFL/NRL coverage. THE template to localise</t>
  </si>
  <si>
    <t xml:space="preserve">Capology</t>
  </si>
  <si>
    <t xml:space="preserve">US/EU</t>
  </si>
  <si>
    <t xml:space="preserve">Football (soccer) salaries &amp; payrolls; cited by Forbes</t>
  </si>
  <si>
    <t xml:space="preserve">Ads/freemium</t>
  </si>
  <si>
    <t xml:space="preserve">~209K visits/mo</t>
  </si>
  <si>
    <t xml:space="preserve">Proof a 2-person modelled-salary site becomes the cited authority</t>
  </si>
  <si>
    <t xml:space="preserve">AU</t>
  </si>
  <si>
    <t xml:space="preserve">AFL Elo, xScore, player equity ratings, season sims; also tennis</t>
  </si>
  <si>
    <t xml:space="preserve">Hobbyist/free, no monetisation</t>
  </si>
  <si>
    <t xml:space="preserve">Niche but respected</t>
  </si>
  <si>
    <t xml:space="preserve">Advanced stats covered; NO economics/salary layer</t>
  </si>
  <si>
    <t xml:space="preserve">Squiggle (Max Barry)</t>
  </si>
  <si>
    <t xml:space="preserve">Model aggregation, tips, ladder sims; public API</t>
  </si>
  <si>
    <t xml:space="preserve">Free/hobbyist</t>
  </si>
  <si>
    <t xml:space="preserve">Strong AFL nerd community</t>
  </si>
  <si>
    <t xml:space="preserve">Predictions covered; no money layer</t>
  </si>
  <si>
    <t xml:space="preserve">The AFL Lab / Café Tactiques etc.</t>
  </si>
  <si>
    <t xml:space="preserve">xScore bots, blog analytics built on scraped event data</t>
  </si>
  <si>
    <t xml:space="preserve">Free/Twitter</t>
  </si>
  <si>
    <t xml:space="preserve">Small</t>
  </si>
  <si>
    <t xml:space="preserve">Community proves talent pool to hire/partner</t>
  </si>
  <si>
    <t xml:space="preserve">HPN Footy</t>
  </si>
  <si>
    <t xml:space="preserve">Analytical blog incl. player approximate value (PAV) metrics</t>
  </si>
  <si>
    <t xml:space="preserve">Free/Patreon-scale</t>
  </si>
  <si>
    <t xml:space="preserve">Niche</t>
  </si>
  <si>
    <t xml:space="preserve">PAV ≈ closest thing to a public AFL value metric; not contract-linked</t>
  </si>
  <si>
    <t xml:space="preserve">Draft Guru / bigfooty forums</t>
  </si>
  <si>
    <t xml:space="preserve">Draft pick data, contract whispers, list management threads</t>
  </si>
  <si>
    <t xml:space="preserve">Free/forums</t>
  </si>
  <si>
    <t xml:space="preserve">Large engaged audience</t>
  </si>
  <si>
    <t xml:space="preserve">Demand evidence: thousands of posts about cap space with NO data product serving them</t>
  </si>
  <si>
    <t xml:space="preserve">Wicky</t>
  </si>
  <si>
    <t xml:space="preserve">NRL/AFL odds comparison + same-game multi tools</t>
  </si>
  <si>
    <t xml:space="preserve">App, bookmaker affiliate</t>
  </si>
  <si>
    <t xml:space="preserve">Growing</t>
  </si>
  <si>
    <t xml:space="preserve">Betting tools covered; no econometrics or contract layer</t>
  </si>
  <si>
    <t xml:space="preserve">Champion Data / AFL Media</t>
  </si>
  <si>
    <t xml:space="preserve">Official stats, AFL Player Ratings; annual TPP release</t>
  </si>
  <si>
    <t xml:space="preserve">B2B licensing</t>
  </si>
  <si>
    <t xml:space="preserve">Monopoly on raw</t>
  </si>
  <si>
    <t xml:space="preserve">Will never do independent salary estimates (conflict: AFL 49% owner)</t>
  </si>
  <si>
    <t xml:space="preserve">Stats + contract END YEARS per player</t>
  </si>
  <si>
    <t xml:space="preserve">Ads</t>
  </si>
  <si>
    <t xml:space="preserve">High traffic</t>
  </si>
  <si>
    <t xml:space="preserve">Has contract years but no values, no analytics on them</t>
  </si>
  <si>
    <t xml:space="preserve">THE GAP: no Australian site does what Spotrac does — modelled contract values, cap-space trackers, trade equity. Footywire has end-years only; rich lists are annual journalism, not a database.</t>
  </si>
  <si>
    <t xml:space="preserve">Structural moat: Champion Data cannot credibly publish salary estimates (AFL ownership conflict). An independent, methodology-led estimator faces no incumbent.</t>
  </si>
  <si>
    <t xml:space="preserve">4. CONTRACT VALUATION MODEL — INPUT SPEC</t>
  </si>
  <si>
    <t xml:space="preserve">Input</t>
  </si>
  <si>
    <t xml:space="preserve">Availability</t>
  </si>
  <si>
    <t xml:space="preserve">Role in model</t>
  </si>
  <si>
    <t xml:space="preserve">Contract end year</t>
  </si>
  <si>
    <t xml:space="preserve">Footywire player pages</t>
  </si>
  <si>
    <t xml:space="preserve">High — listed per player</t>
  </si>
  <si>
    <t xml:space="preserve">Defines free agency timing; scarcity premium input</t>
  </si>
  <si>
    <t xml:space="preserve">AFL TPP brackets &amp; averages</t>
  </si>
  <si>
    <t xml:space="preserve">AFL annual release</t>
  </si>
  <si>
    <t xml:space="preserve">High — aggregates</t>
  </si>
  <si>
    <t xml:space="preserve">Calibration constraint: sum of club estimates must ≈ club TPP</t>
  </si>
  <si>
    <t xml:space="preserve">Cap by year (CBA)</t>
  </si>
  <si>
    <t xml:space="preserve">CBA Schedule 2A</t>
  </si>
  <si>
    <t xml:space="preserve">High</t>
  </si>
  <si>
    <t xml:space="preserve">Hard constraint per club per year</t>
  </si>
  <si>
    <t xml:space="preserve">Reported individual salaries</t>
  </si>
  <si>
    <t xml:space="preserve">Media rich lists / trade reporting</t>
  </si>
  <si>
    <t xml:space="preserve">Med — ~50-100 players/yr, estimates</t>
  </si>
  <si>
    <t xml:space="preserve">Bayesian priors; anchor points for the distribution</t>
  </si>
  <si>
    <t xml:space="preserve">Performance metrics</t>
  </si>
  <si>
    <t xml:space="preserve">AFL Tables / Footywire / public ratings</t>
  </si>
  <si>
    <t xml:space="preserve">High — full history</t>
  </si>
  <si>
    <t xml:space="preserve">Core regressors: games, ratings points, age curve position</t>
  </si>
  <si>
    <t xml:space="preserve">Player Approximate Value-style metric</t>
  </si>
  <si>
    <t xml:space="preserve">Build own (HPN PAV as concept proof)</t>
  </si>
  <si>
    <t xml:space="preserve">Build</t>
  </si>
  <si>
    <t xml:space="preserve">Output-side: wins contributed → $ per win share</t>
  </si>
  <si>
    <t xml:space="preserve">Draft pick &amp; pedigree</t>
  </si>
  <si>
    <t xml:space="preserve">Public draft history</t>
  </si>
  <si>
    <t xml:space="preserve">Pick-value curve; early-career salary is semi-formulaic (rookie scale)</t>
  </si>
  <si>
    <t xml:space="preserve">Age / injury history</t>
  </si>
  <si>
    <t xml:space="preserve">Public (AFL.com, media)</t>
  </si>
  <si>
    <t xml:space="preserve">Med</t>
  </si>
  <si>
    <t xml:space="preserve">Age curve + availability discount</t>
  </si>
  <si>
    <t xml:space="preserve">Free agency / trade events</t>
  </si>
  <si>
    <t xml:space="preserve">AFL trade period reporting</t>
  </si>
  <si>
    <t xml:space="preserve">Revealed-preference pricing events — the model's training labels</t>
  </si>
  <si>
    <t xml:space="preserve">Position scarcity</t>
  </si>
  <si>
    <t xml:space="preserve">Derived from list demographics</t>
  </si>
  <si>
    <t xml:space="preserve">Key rucks &amp; tall forwards price differently — positional premium</t>
  </si>
  <si>
    <t xml:space="preserve">Club cap pressure</t>
  </si>
  <si>
    <t xml:space="preserve">Derived: sum of estimates vs cap</t>
  </si>
  <si>
    <t xml:space="preserve">Second-order: predicts who gets squeezed out (content goldmine)</t>
  </si>
  <si>
    <t xml:space="preserve">Honest accuracy expectation: with rookie-scale formulas, ~100 media-reported anchors/yr, TPP aggregate constraints and performance regressors, club-level error can be tight (sums are constrained) while individual estimates land in bands (e.g. $700–850K) — which is exactly how Spotrac/Capology present uncertainty.</t>
  </si>
  <si>
    <t xml:space="preserve">Methodology document = the moat. Publish it like AQS: transparent, academically reviewable (UNSW sports economics tie-in — note Univ. of Melbourne researchers already publish on AFL pay vs marginal product).</t>
  </si>
  <si>
    <t xml:space="preserve">5. COMMERCIAL MODEL — TIERS &amp; YEAR-1 SCENARIOS</t>
  </si>
  <si>
    <t xml:space="preserve">Blue cells = assumptions to play with. All revenue cells are formulas.</t>
  </si>
  <si>
    <t xml:space="preserve">Tier</t>
  </si>
  <si>
    <t xml:space="preserve">Audience</t>
  </si>
  <si>
    <t xml:space="preserve">Offer</t>
  </si>
  <si>
    <t xml:space="preserve">Price (A$)</t>
  </si>
  <si>
    <t xml:space="preserve">Unit</t>
  </si>
  <si>
    <t xml:space="preserve">Low take-up</t>
  </si>
  <si>
    <t xml:space="preserve">Base</t>
  </si>
  <si>
    <t xml:space="preserve">Free content</t>
  </si>
  <si>
    <t xml:space="preserve">Fans / social</t>
  </si>
  <si>
    <t xml:space="preserve">Weekly hidden-stat pieces, headline tools (cap clock, contract lookup)</t>
  </si>
  <si>
    <t xml:space="preserve">audience</t>
  </si>
  <si>
    <t xml:space="preserve">Premium sub</t>
  </si>
  <si>
    <t xml:space="preserve">Hardcore fans, SuperCoach, punters</t>
  </si>
  <si>
    <t xml:space="preserve">Full valuation DB, cap-space trackers, money-flow dashboard, model access</t>
  </si>
  <si>
    <t xml:space="preserve">subs/mo</t>
  </si>
  <si>
    <t xml:space="preserve">Professional</t>
  </si>
  <si>
    <t xml:space="preserve">Agents, player managers, club analysts, journos</t>
  </si>
  <si>
    <t xml:space="preserve">Pro seat: full database, comparables engine, export, alerts</t>
  </si>
  <si>
    <t xml:space="preserve">seats/mo</t>
  </si>
  <si>
    <t xml:space="preserve">Institutional</t>
  </si>
  <si>
    <t xml:space="preserve">Media, bookmakers, clubs</t>
  </si>
  <si>
    <t xml:space="preserve">Data licensing, white-label graphics, bespoke studies</t>
  </si>
  <si>
    <t xml:space="preserve">contracts/yr</t>
  </si>
  <si>
    <t xml:space="preserve">Annual revenue ($)</t>
  </si>
  <si>
    <t xml:space="preserve">Premium sub revenue</t>
  </si>
  <si>
    <t xml:space="preserve">Professional revenue</t>
  </si>
  <si>
    <t xml:space="preserve">Institutional revenue</t>
  </si>
  <si>
    <t xml:space="preserve">TOTAL Year-1 ARR</t>
  </si>
  <si>
    <t xml:space="preserve">Logic: same three-audience architecture as AR Group (consumer / professional / institutional). Free tier is the audience engine; the dataset is the enterprise asset.</t>
  </si>
  <si>
    <t xml:space="preserve">Deliberately excluded at launch: bookmaker affiliate revenue — high margin but poisons B2B credibility with clubs/media. Revisit as separate brand if ever.</t>
  </si>
  <si>
    <t xml:space="preserve">6. HIDDEN-STAT HEADLINE BANK (content engine test)</t>
  </si>
  <si>
    <t xml:space="preserve">Headline</t>
  </si>
  <si>
    <t xml:space="preserve">Pillar</t>
  </si>
  <si>
    <t xml:space="preserve">Method</t>
  </si>
  <si>
    <t xml:space="preserve">Commercial note</t>
  </si>
  <si>
    <t xml:space="preserve">The $2.1M ghost: how much cap space every club is paying players who didn't take the field</t>
  </si>
  <si>
    <t xml:space="preserve">Cap efficiency</t>
  </si>
  <si>
    <t xml:space="preserve">Estimated salaries x games missed; 2025 TPP shows one $1.4–1.6M player played zero games</t>
  </si>
  <si>
    <t xml:space="preserve">Launch piece — instantly quotable</t>
  </si>
  <si>
    <t xml:space="preserve">Dollars per goal: the most (and least) efficient forward lines in the AFL</t>
  </si>
  <si>
    <t xml:space="preserve">Unit economics</t>
  </si>
  <si>
    <t xml:space="preserve">Estimated forward-line salary / goals scored, club by club</t>
  </si>
  <si>
    <t xml:space="preserve">Repeatable annually; club-rivalry shareability</t>
  </si>
  <si>
    <t xml:space="preserve">The draft is mispriced: picks 19–30 outperform their cost more than any other range</t>
  </si>
  <si>
    <t xml:space="preserve">Draft econometrics</t>
  </si>
  <si>
    <t xml:space="preserve">Pick value curve: career value (PAV-style) vs implied acquisition cost</t>
  </si>
  <si>
    <t xml:space="preserve">Trade-period evergreen</t>
  </si>
  <si>
    <t xml:space="preserve">Smart money vs public money: the five games this season where the market moved against the crowd — and was right</t>
  </si>
  <si>
    <t xml:space="preserve">Money flow</t>
  </si>
  <si>
    <t xml:space="preserve">Betfair exchange volume + line movement vs closing result</t>
  </si>
  <si>
    <t xml:space="preserve">Weekly during season; the FlowSignal of footy</t>
  </si>
  <si>
    <t xml:space="preserve">Possession is overrated: contested ball explains 4x more of margin than disposal count</t>
  </si>
  <si>
    <t xml:space="preserve">Causal analytics</t>
  </si>
  <si>
    <t xml:space="preserve">Regression on public match stats, controls for territory</t>
  </si>
  <si>
    <t xml:space="preserve">Myth-busting franchise format</t>
  </si>
  <si>
    <t xml:space="preserve">Free agency tax: players switching clubs cost 23% more per rating point than retained players</t>
  </si>
  <si>
    <t xml:space="preserve">Labour market</t>
  </si>
  <si>
    <t xml:space="preserve">Estimated new-deal values vs performance for movers vs stayers</t>
  </si>
  <si>
    <t xml:space="preserve">Trade period anchor story</t>
  </si>
  <si>
    <t xml:space="preserve">The age cliff nobody prices: key forwards fall off 18 months before midfielders — but get longer contracts</t>
  </si>
  <si>
    <t xml:space="preserve">Age curves</t>
  </si>
  <si>
    <t xml:space="preserve">Performance-by-age curves x contract length data</t>
  </si>
  <si>
    <t xml:space="preserve">Agent/club professional hook</t>
  </si>
  <si>
    <t xml:space="preserve">Which club gets the most wins per cap dollar — the AFL's Moneyball index</t>
  </si>
  <si>
    <t xml:space="preserve">Flagship index</t>
  </si>
  <si>
    <t xml:space="preserve">Wins above expectation / TPP — THE annual ranking product</t>
  </si>
  <si>
    <t xml:space="preserve">Brandable annual index = PR engine (your AQS playbook)</t>
  </si>
  <si>
    <t xml:space="preserve">Test plan: draft 3 of these as LinkedIn/Twitter threads BEFORE building anything. Engagement = cheapest possible market validation.</t>
  </si>
  <si>
    <t xml:space="preserve">7. DEVIL'S ADVOCATE — FAILURE MODES</t>
  </si>
  <si>
    <t xml:space="preserve">Risk</t>
  </si>
  <si>
    <t xml:space="preserve">Likelihood</t>
  </si>
  <si>
    <t xml:space="preserve">Impact</t>
  </si>
  <si>
    <t xml:space="preserve">Mitigant / response</t>
  </si>
  <si>
    <t xml:space="preserve">Champion Data / AFL legal pressure over derived stats</t>
  </si>
  <si>
    <t xml:space="preserve">Use only public/exchange/filing data; publish methodology; legal review of scraping T&amp;Cs pre-launch (mirror your IP-protection workstream). Modelled estimates from public info = same legal footing as equity analyst forecasts</t>
  </si>
  <si>
    <t xml:space="preserve">Estimates wrong → credibility hit (a player publicly disputes his number)</t>
  </si>
  <si>
    <t xml:space="preserve">High (will happen)</t>
  </si>
  <si>
    <t xml:space="preserve">Publish bands not point estimates; visible methodology + revision log; Spotrac/Capology survived the same — disputes generate traffic</t>
  </si>
  <si>
    <t xml:space="preserve">Market too small (AU niche of a niche)</t>
  </si>
  <si>
    <t xml:space="preserve">AFL fan base is huge; comparable Spotrac at 3.2M visits/mo across US sports suggests AU analogue at 5–10% = viable; NRL expansion doubles TAM; pro tier needs only ~30 seats to matter</t>
  </si>
  <si>
    <t xml:space="preserve">Hobbyist competitors replicate for free</t>
  </si>
  <si>
    <t xml:space="preserve">Low-Med</t>
  </si>
  <si>
    <t xml:space="preserve">They've had 15 years and haven't built the economics layer. Moat = sustained data ops + methodology brand + B2B sales — hobbyists don't do enterprise</t>
  </si>
  <si>
    <t xml:space="preserve">AFL launches official version</t>
  </si>
  <si>
    <t xml:space="preserve">Conflict of interest protects you: the league can't publish independent salary estimates of its own players. Independence IS the product</t>
  </si>
  <si>
    <t xml:space="preserve">Founder bandwidth — you're mid-recap with a $5M ARR company</t>
  </si>
  <si>
    <t xml:space="preserve">Honest one: this must be structured as a contained side project (1 analyst + your pipeline patterns) or parked until post-recap. Decide deliberately, not by drift</t>
  </si>
  <si>
    <t xml:space="preserve">Betting-adjacent reputation risk</t>
  </si>
  <si>
    <t xml:space="preserve">Keep money-flow pillar analytical (market microstructure) not tipping; no affiliate links at launch</t>
  </si>
  <si>
    <t xml:space="preserve">AFLPA/player privacy backlash on salary estimates</t>
  </si>
  <si>
    <t xml:space="preserve">US precedent normalised it; frame as labour-market transparency benefiting players (UniMelb research argues stars are UNDERpaid — lean into that)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</si>
</sst>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%"/>
    <numFmt numFmtId="167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11</v>
      </c>
    </row>
    <row r="3" customFormat="false" ht="15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customFormat="false" ht="23.85" hidden="false" customHeight="false" outlineLevel="0" collapsed="false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</row>
    <row r="5" customFormat="false" ht="23.85" hidden="false" customHeight="false" outlineLevel="0" collapsed="false">
      <c r="A5" s="4" t="s">
        <v>24</v>
      </c>
      <c r="B5" s="4" t="s">
        <v>25</v>
      </c>
      <c r="C5" s="4" t="s">
        <v>26</v>
      </c>
      <c r="D5" s="4" t="s">
        <v>21</v>
      </c>
      <c r="E5" s="4" t="s">
        <v>27</v>
      </c>
      <c r="F5" s="4" t="s">
        <v>28</v>
      </c>
    </row>
    <row r="6" customFormat="false" ht="35.05" hidden="false" customHeight="false" outlineLevel="0" collapsed="false">
      <c r="A6" s="4" t="s">
        <v>29</v>
      </c>
      <c r="B6" s="4" t="s">
        <v>30</v>
      </c>
      <c r="C6" s="4" t="s">
        <v>31</v>
      </c>
      <c r="D6" s="4" t="s">
        <v>21</v>
      </c>
      <c r="E6" s="4" t="s">
        <v>32</v>
      </c>
      <c r="F6" s="4" t="s">
        <v>33</v>
      </c>
    </row>
    <row r="7" customFormat="false" ht="23.85" hidden="false" customHeight="false" outlineLevel="0" collapsed="false">
      <c r="A7" s="4" t="s">
        <v>34</v>
      </c>
      <c r="B7" s="4" t="s">
        <v>35</v>
      </c>
      <c r="C7" s="4" t="s">
        <v>36</v>
      </c>
      <c r="D7" s="4" t="s">
        <v>21</v>
      </c>
      <c r="E7" s="4" t="s">
        <v>37</v>
      </c>
      <c r="F7" s="4" t="s">
        <v>38</v>
      </c>
    </row>
    <row r="8" customFormat="false" ht="23.85" hidden="false" customHeight="false" outlineLevel="0" collapsed="false">
      <c r="A8" s="4" t="s">
        <v>39</v>
      </c>
      <c r="B8" s="4" t="s">
        <v>40</v>
      </c>
      <c r="C8" s="4" t="s">
        <v>41</v>
      </c>
      <c r="D8" s="4" t="s">
        <v>21</v>
      </c>
      <c r="E8" s="4" t="s">
        <v>42</v>
      </c>
      <c r="F8" s="4" t="s">
        <v>43</v>
      </c>
    </row>
    <row r="9" customFormat="false" ht="23.85" hidden="false" customHeight="false" outlineLevel="0" collapsed="false">
      <c r="A9" s="4" t="s">
        <v>44</v>
      </c>
      <c r="B9" s="4" t="s">
        <v>45</v>
      </c>
      <c r="C9" s="4" t="s">
        <v>46</v>
      </c>
      <c r="D9" s="4" t="s">
        <v>21</v>
      </c>
      <c r="E9" s="4" t="s">
        <v>47</v>
      </c>
      <c r="F9" s="4" t="s">
        <v>48</v>
      </c>
    </row>
    <row r="10" customFormat="false" ht="23.85" hidden="false" customHeight="false" outlineLevel="0" collapsed="false">
      <c r="A10" s="4" t="s">
        <v>49</v>
      </c>
      <c r="B10" s="4" t="s">
        <v>50</v>
      </c>
      <c r="C10" s="4" t="s">
        <v>51</v>
      </c>
      <c r="D10" s="4" t="s">
        <v>21</v>
      </c>
      <c r="E10" s="4" t="s">
        <v>52</v>
      </c>
      <c r="F10" s="4" t="s">
        <v>53</v>
      </c>
    </row>
    <row r="11" customFormat="false" ht="23.85" hidden="false" customHeight="false" outlineLevel="0" collapsed="false">
      <c r="A11" s="4" t="s">
        <v>54</v>
      </c>
      <c r="B11" s="4" t="s">
        <v>55</v>
      </c>
      <c r="C11" s="4" t="s">
        <v>56</v>
      </c>
      <c r="D11" s="4" t="s">
        <v>57</v>
      </c>
      <c r="E11" s="4" t="s">
        <v>58</v>
      </c>
      <c r="F11" s="4" t="s">
        <v>59</v>
      </c>
    </row>
    <row r="12" customFormat="false" ht="23.85" hidden="false" customHeight="false" outlineLevel="0" collapsed="false">
      <c r="A12" s="4" t="s">
        <v>60</v>
      </c>
      <c r="B12" s="4" t="s">
        <v>61</v>
      </c>
      <c r="C12" s="4" t="s">
        <v>62</v>
      </c>
      <c r="D12" s="4" t="s">
        <v>21</v>
      </c>
      <c r="E12" s="4" t="s">
        <v>63</v>
      </c>
      <c r="F12" s="4" t="s">
        <v>64</v>
      </c>
    </row>
    <row r="13" customFormat="false" ht="23.85" hidden="false" customHeight="false" outlineLevel="0" collapsed="false">
      <c r="A13" s="4" t="s">
        <v>65</v>
      </c>
      <c r="B13" s="4" t="s">
        <v>66</v>
      </c>
      <c r="C13" s="4" t="s">
        <v>67</v>
      </c>
      <c r="D13" s="4" t="s">
        <v>21</v>
      </c>
      <c r="E13" s="4" t="s">
        <v>27</v>
      </c>
      <c r="F13" s="4" t="s">
        <v>68</v>
      </c>
    </row>
    <row r="14" customFormat="false" ht="23.85" hidden="false" customHeight="false" outlineLevel="0" collapsed="false">
      <c r="A14" s="4" t="s">
        <v>69</v>
      </c>
      <c r="B14" s="4" t="s">
        <v>70</v>
      </c>
      <c r="C14" s="4" t="s">
        <v>71</v>
      </c>
      <c r="D14" s="4" t="s">
        <v>72</v>
      </c>
      <c r="E14" s="4" t="s">
        <v>27</v>
      </c>
      <c r="F14" s="4" t="s">
        <v>73</v>
      </c>
    </row>
    <row r="15" customFormat="false" ht="23.85" hidden="false" customHeight="false" outlineLevel="0" collapsed="false">
      <c r="A15" s="4" t="s">
        <v>74</v>
      </c>
      <c r="B15" s="4" t="s">
        <v>75</v>
      </c>
      <c r="C15" s="4" t="s">
        <v>76</v>
      </c>
      <c r="D15" s="4" t="s">
        <v>21</v>
      </c>
      <c r="E15" s="4" t="s">
        <v>77</v>
      </c>
      <c r="F15" s="4" t="s">
        <v>78</v>
      </c>
    </row>
    <row r="16" customFormat="false" ht="23.85" hidden="false" customHeight="false" outlineLevel="0" collapsed="false">
      <c r="A16" s="4" t="s">
        <v>79</v>
      </c>
      <c r="B16" s="4" t="s">
        <v>80</v>
      </c>
      <c r="C16" s="4" t="s">
        <v>81</v>
      </c>
      <c r="D16" s="4" t="s">
        <v>21</v>
      </c>
      <c r="E16" s="4" t="s">
        <v>27</v>
      </c>
      <c r="F16" s="4" t="s">
        <v>82</v>
      </c>
    </row>
    <row r="17" customFormat="false" ht="23.85" hidden="false" customHeight="false" outlineLevel="0" collapsed="false">
      <c r="A17" s="4" t="s">
        <v>83</v>
      </c>
      <c r="B17" s="4" t="s">
        <v>84</v>
      </c>
      <c r="C17" s="4" t="s">
        <v>85</v>
      </c>
      <c r="D17" s="4" t="s">
        <v>21</v>
      </c>
      <c r="E17" s="4" t="s">
        <v>27</v>
      </c>
      <c r="F17" s="4" t="s">
        <v>86</v>
      </c>
    </row>
    <row r="19" customFormat="false" ht="15" hidden="false" customHeight="false" outlineLevel="0" collapsed="false">
      <c r="A19" s="5" t="s">
        <v>87</v>
      </c>
    </row>
    <row r="20" customFormat="false" ht="15" hidden="false" customHeight="false" outlineLevel="0" collapsed="false">
      <c r="A20" s="5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89</v>
      </c>
    </row>
    <row r="3" customFormat="false" ht="15" hidden="false" customHeight="false" outlineLevel="0" collapsed="false">
      <c r="A3" s="3" t="s">
        <v>90</v>
      </c>
      <c r="B3" s="3" t="s">
        <v>91</v>
      </c>
      <c r="C3" s="3" t="s">
        <v>92</v>
      </c>
      <c r="D3" s="3" t="s">
        <v>93</v>
      </c>
      <c r="E3" s="3" t="s">
        <v>94</v>
      </c>
    </row>
    <row r="4" customFormat="false" ht="15" hidden="false" customHeight="false" outlineLevel="0" collapsed="false">
      <c r="A4" s="6" t="n">
        <v>2014</v>
      </c>
      <c r="B4" s="4" t="s">
        <v>95</v>
      </c>
      <c r="C4" s="4"/>
      <c r="D4" s="4" t="n">
        <v>4</v>
      </c>
      <c r="E4" s="4" t="s">
        <v>96</v>
      </c>
    </row>
    <row r="5" customFormat="false" ht="15" hidden="false" customHeight="false" outlineLevel="0" collapsed="false">
      <c r="A5" s="6" t="n">
        <v>2022</v>
      </c>
      <c r="B5" s="4" t="n">
        <v>13.54</v>
      </c>
      <c r="C5" s="4" t="n">
        <v>372225</v>
      </c>
      <c r="D5" s="4"/>
      <c r="E5" s="4" t="s">
        <v>97</v>
      </c>
    </row>
    <row r="6" customFormat="false" ht="15" hidden="false" customHeight="false" outlineLevel="0" collapsed="false">
      <c r="A6" s="6" t="n">
        <v>2023</v>
      </c>
      <c r="B6" s="4" t="n">
        <v>15.02</v>
      </c>
      <c r="C6" s="4" t="n">
        <v>441464</v>
      </c>
      <c r="D6" s="4"/>
      <c r="E6" s="4" t="s">
        <v>98</v>
      </c>
    </row>
    <row r="7" customFormat="false" ht="15" hidden="false" customHeight="false" outlineLevel="0" collapsed="false">
      <c r="A7" s="6" t="n">
        <v>2024</v>
      </c>
      <c r="B7" s="4" t="n">
        <v>15.79</v>
      </c>
      <c r="C7" s="4" t="n">
        <v>459173</v>
      </c>
      <c r="D7" s="4" t="n">
        <v>25</v>
      </c>
      <c r="E7" s="4" t="s">
        <v>99</v>
      </c>
    </row>
    <row r="8" customFormat="false" ht="15" hidden="false" customHeight="false" outlineLevel="0" collapsed="false">
      <c r="A8" s="6" t="n">
        <v>2025</v>
      </c>
      <c r="B8" s="4" t="n">
        <v>17.8</v>
      </c>
      <c r="C8" s="4" t="n">
        <v>505961</v>
      </c>
      <c r="D8" s="4" t="n">
        <v>58</v>
      </c>
      <c r="E8" s="4" t="s">
        <v>100</v>
      </c>
    </row>
    <row r="9" customFormat="false" ht="15" hidden="false" customHeight="false" outlineLevel="0" collapsed="false">
      <c r="A9" s="6" t="n">
        <v>2026</v>
      </c>
      <c r="B9" s="4"/>
      <c r="C9" s="4"/>
      <c r="D9" s="4"/>
      <c r="E9" s="4" t="s">
        <v>101</v>
      </c>
    </row>
    <row r="10" customFormat="false" ht="15" hidden="false" customHeight="false" outlineLevel="0" collapsed="false">
      <c r="A10" s="6" t="n">
        <v>2027</v>
      </c>
      <c r="B10" s="4" t="n">
        <v>18.44</v>
      </c>
      <c r="C10" s="4"/>
      <c r="D10" s="4"/>
      <c r="E10" s="4" t="s">
        <v>102</v>
      </c>
    </row>
    <row r="12" customFormat="false" ht="15" hidden="false" customHeight="false" outlineLevel="0" collapsed="false">
      <c r="A12" s="7" t="s">
        <v>103</v>
      </c>
    </row>
    <row r="13" customFormat="false" ht="15" hidden="false" customHeight="false" outlineLevel="0" collapsed="false">
      <c r="A13" s="2" t="s">
        <v>104</v>
      </c>
      <c r="B13" s="8" t="n">
        <f aca="false">(C8/C5)^(1/3)-1</f>
        <v>0.107738290326211</v>
      </c>
    </row>
    <row r="14" customFormat="false" ht="15" hidden="false" customHeight="false" outlineLevel="0" collapsed="false">
      <c r="A14" s="2" t="s">
        <v>105</v>
      </c>
      <c r="B14" s="8" t="n">
        <f aca="false">B10/B6-1</f>
        <v>0.227696404793609</v>
      </c>
    </row>
    <row r="16" customFormat="false" ht="15" hidden="false" customHeight="false" outlineLevel="0" collapsed="false">
      <c r="A16" s="5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107</v>
      </c>
    </row>
    <row r="3" customFormat="false" ht="15" hidden="false" customHeight="false" outlineLevel="0" collapsed="false">
      <c r="A3" s="3" t="s">
        <v>108</v>
      </c>
      <c r="B3" s="3" t="s">
        <v>109</v>
      </c>
      <c r="C3" s="3" t="s">
        <v>110</v>
      </c>
      <c r="D3" s="3" t="s">
        <v>111</v>
      </c>
      <c r="E3" s="3" t="s">
        <v>112</v>
      </c>
      <c r="F3" s="3" t="s">
        <v>113</v>
      </c>
    </row>
    <row r="4" customFormat="false" ht="23.85" hidden="false" customHeight="false" outlineLevel="0" collapsed="false">
      <c r="A4" s="4" t="s">
        <v>114</v>
      </c>
      <c r="B4" s="4" t="s">
        <v>115</v>
      </c>
      <c r="C4" s="4" t="s">
        <v>116</v>
      </c>
      <c r="D4" s="4" t="s">
        <v>117</v>
      </c>
      <c r="E4" s="4" t="s">
        <v>118</v>
      </c>
      <c r="F4" s="4" t="s">
        <v>119</v>
      </c>
    </row>
    <row r="5" customFormat="false" ht="23.85" hidden="false" customHeight="false" outlineLevel="0" collapsed="false">
      <c r="A5" s="4" t="s">
        <v>120</v>
      </c>
      <c r="B5" s="4" t="s">
        <v>121</v>
      </c>
      <c r="C5" s="4" t="s">
        <v>122</v>
      </c>
      <c r="D5" s="4" t="s">
        <v>123</v>
      </c>
      <c r="E5" s="4" t="s">
        <v>124</v>
      </c>
      <c r="F5" s="4" t="s">
        <v>125</v>
      </c>
    </row>
    <row r="6" customFormat="false" ht="23.85" hidden="false" customHeight="false" outlineLevel="0" collapsed="false">
      <c r="A6" s="4" t="s">
        <v>49</v>
      </c>
      <c r="B6" s="4" t="s">
        <v>126</v>
      </c>
      <c r="C6" s="4" t="s">
        <v>127</v>
      </c>
      <c r="D6" s="4" t="s">
        <v>128</v>
      </c>
      <c r="E6" s="4" t="s">
        <v>129</v>
      </c>
      <c r="F6" s="4" t="s">
        <v>130</v>
      </c>
    </row>
    <row r="7" customFormat="false" ht="23.85" hidden="false" customHeight="false" outlineLevel="0" collapsed="false">
      <c r="A7" s="4" t="s">
        <v>131</v>
      </c>
      <c r="B7" s="4" t="s">
        <v>126</v>
      </c>
      <c r="C7" s="4" t="s">
        <v>132</v>
      </c>
      <c r="D7" s="4" t="s">
        <v>133</v>
      </c>
      <c r="E7" s="4" t="s">
        <v>134</v>
      </c>
      <c r="F7" s="4" t="s">
        <v>135</v>
      </c>
    </row>
    <row r="8" customFormat="false" ht="23.85" hidden="false" customHeight="false" outlineLevel="0" collapsed="false">
      <c r="A8" s="4" t="s">
        <v>136</v>
      </c>
      <c r="B8" s="4" t="s">
        <v>126</v>
      </c>
      <c r="C8" s="4" t="s">
        <v>137</v>
      </c>
      <c r="D8" s="4" t="s">
        <v>138</v>
      </c>
      <c r="E8" s="4" t="s">
        <v>139</v>
      </c>
      <c r="F8" s="4" t="s">
        <v>140</v>
      </c>
    </row>
    <row r="9" customFormat="false" ht="23.85" hidden="false" customHeight="false" outlineLevel="0" collapsed="false">
      <c r="A9" s="4" t="s">
        <v>141</v>
      </c>
      <c r="B9" s="4" t="s">
        <v>126</v>
      </c>
      <c r="C9" s="4" t="s">
        <v>142</v>
      </c>
      <c r="D9" s="4" t="s">
        <v>143</v>
      </c>
      <c r="E9" s="4" t="s">
        <v>144</v>
      </c>
      <c r="F9" s="4" t="s">
        <v>145</v>
      </c>
    </row>
    <row r="10" customFormat="false" ht="23.85" hidden="false" customHeight="false" outlineLevel="0" collapsed="false">
      <c r="A10" s="4" t="s">
        <v>146</v>
      </c>
      <c r="B10" s="4" t="s">
        <v>126</v>
      </c>
      <c r="C10" s="4" t="s">
        <v>147</v>
      </c>
      <c r="D10" s="4" t="s">
        <v>148</v>
      </c>
      <c r="E10" s="4" t="s">
        <v>149</v>
      </c>
      <c r="F10" s="4" t="s">
        <v>150</v>
      </c>
    </row>
    <row r="11" customFormat="false" ht="23.85" hidden="false" customHeight="false" outlineLevel="0" collapsed="false">
      <c r="A11" s="4" t="s">
        <v>151</v>
      </c>
      <c r="B11" s="4" t="s">
        <v>126</v>
      </c>
      <c r="C11" s="4" t="s">
        <v>152</v>
      </c>
      <c r="D11" s="4" t="s">
        <v>153</v>
      </c>
      <c r="E11" s="4" t="s">
        <v>154</v>
      </c>
      <c r="F11" s="4" t="s">
        <v>155</v>
      </c>
    </row>
    <row r="12" customFormat="false" ht="23.85" hidden="false" customHeight="false" outlineLevel="0" collapsed="false">
      <c r="A12" s="4" t="s">
        <v>156</v>
      </c>
      <c r="B12" s="4" t="s">
        <v>126</v>
      </c>
      <c r="C12" s="4" t="s">
        <v>157</v>
      </c>
      <c r="D12" s="4" t="s">
        <v>158</v>
      </c>
      <c r="E12" s="4" t="s">
        <v>159</v>
      </c>
      <c r="F12" s="4" t="s">
        <v>160</v>
      </c>
    </row>
    <row r="13" customFormat="false" ht="23.85" hidden="false" customHeight="false" outlineLevel="0" collapsed="false">
      <c r="A13" s="4" t="s">
        <v>34</v>
      </c>
      <c r="B13" s="4" t="s">
        <v>126</v>
      </c>
      <c r="C13" s="4" t="s">
        <v>161</v>
      </c>
      <c r="D13" s="4" t="s">
        <v>162</v>
      </c>
      <c r="E13" s="4" t="s">
        <v>163</v>
      </c>
      <c r="F13" s="4" t="s">
        <v>164</v>
      </c>
    </row>
    <row r="15" customFormat="false" ht="15" hidden="false" customHeight="false" outlineLevel="0" collapsed="false">
      <c r="A15" s="5" t="s">
        <v>165</v>
      </c>
    </row>
    <row r="16" customFormat="false" ht="15" hidden="false" customHeight="false" outlineLevel="0" collapsed="false">
      <c r="A16" s="5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167</v>
      </c>
    </row>
    <row r="3" customFormat="false" ht="15" hidden="false" customHeight="false" outlineLevel="0" collapsed="false">
      <c r="A3" s="3" t="s">
        <v>168</v>
      </c>
      <c r="B3" s="3" t="s">
        <v>12</v>
      </c>
      <c r="C3" s="3" t="s">
        <v>169</v>
      </c>
      <c r="D3" s="3" t="s">
        <v>170</v>
      </c>
    </row>
    <row r="4" customFormat="false" ht="15" hidden="false" customHeight="false" outlineLevel="0" collapsed="false">
      <c r="A4" s="4" t="s">
        <v>171</v>
      </c>
      <c r="B4" s="4" t="s">
        <v>172</v>
      </c>
      <c r="C4" s="4" t="s">
        <v>173</v>
      </c>
      <c r="D4" s="4" t="s">
        <v>174</v>
      </c>
    </row>
    <row r="5" customFormat="false" ht="15" hidden="false" customHeight="false" outlineLevel="0" collapsed="false">
      <c r="A5" s="4" t="s">
        <v>175</v>
      </c>
      <c r="B5" s="4" t="s">
        <v>176</v>
      </c>
      <c r="C5" s="4" t="s">
        <v>177</v>
      </c>
      <c r="D5" s="4" t="s">
        <v>178</v>
      </c>
    </row>
    <row r="6" customFormat="false" ht="15" hidden="false" customHeight="false" outlineLevel="0" collapsed="false">
      <c r="A6" s="4" t="s">
        <v>179</v>
      </c>
      <c r="B6" s="4" t="s">
        <v>180</v>
      </c>
      <c r="C6" s="4" t="s">
        <v>181</v>
      </c>
      <c r="D6" s="4" t="s">
        <v>182</v>
      </c>
    </row>
    <row r="7" customFormat="false" ht="23.85" hidden="false" customHeight="false" outlineLevel="0" collapsed="false">
      <c r="A7" s="4" t="s">
        <v>183</v>
      </c>
      <c r="B7" s="4" t="s">
        <v>184</v>
      </c>
      <c r="C7" s="4" t="s">
        <v>185</v>
      </c>
      <c r="D7" s="4" t="s">
        <v>186</v>
      </c>
    </row>
    <row r="8" customFormat="false" ht="15" hidden="false" customHeight="false" outlineLevel="0" collapsed="false">
      <c r="A8" s="4" t="s">
        <v>187</v>
      </c>
      <c r="B8" s="4" t="s">
        <v>188</v>
      </c>
      <c r="C8" s="4" t="s">
        <v>189</v>
      </c>
      <c r="D8" s="4" t="s">
        <v>190</v>
      </c>
    </row>
    <row r="9" customFormat="false" ht="23.85" hidden="false" customHeight="false" outlineLevel="0" collapsed="false">
      <c r="A9" s="4" t="s">
        <v>191</v>
      </c>
      <c r="B9" s="4" t="s">
        <v>192</v>
      </c>
      <c r="C9" s="4" t="s">
        <v>193</v>
      </c>
      <c r="D9" s="4" t="s">
        <v>194</v>
      </c>
    </row>
    <row r="10" customFormat="false" ht="15" hidden="false" customHeight="false" outlineLevel="0" collapsed="false">
      <c r="A10" s="4" t="s">
        <v>195</v>
      </c>
      <c r="B10" s="4" t="s">
        <v>196</v>
      </c>
      <c r="C10" s="4" t="s">
        <v>181</v>
      </c>
      <c r="D10" s="4" t="s">
        <v>197</v>
      </c>
    </row>
    <row r="11" customFormat="false" ht="15" hidden="false" customHeight="false" outlineLevel="0" collapsed="false">
      <c r="A11" s="4" t="s">
        <v>198</v>
      </c>
      <c r="B11" s="4" t="s">
        <v>199</v>
      </c>
      <c r="C11" s="4" t="s">
        <v>200</v>
      </c>
      <c r="D11" s="4" t="s">
        <v>201</v>
      </c>
    </row>
    <row r="12" customFormat="false" ht="15" hidden="false" customHeight="false" outlineLevel="0" collapsed="false">
      <c r="A12" s="4" t="s">
        <v>202</v>
      </c>
      <c r="B12" s="4" t="s">
        <v>203</v>
      </c>
      <c r="C12" s="4" t="s">
        <v>181</v>
      </c>
      <c r="D12" s="4" t="s">
        <v>204</v>
      </c>
    </row>
    <row r="13" customFormat="false" ht="15" hidden="false" customHeight="false" outlineLevel="0" collapsed="false">
      <c r="A13" s="4" t="s">
        <v>205</v>
      </c>
      <c r="B13" s="4" t="s">
        <v>206</v>
      </c>
      <c r="C13" s="4" t="s">
        <v>193</v>
      </c>
      <c r="D13" s="4" t="s">
        <v>207</v>
      </c>
    </row>
    <row r="14" customFormat="false" ht="15" hidden="false" customHeight="false" outlineLevel="0" collapsed="false">
      <c r="A14" s="4" t="s">
        <v>208</v>
      </c>
      <c r="B14" s="4" t="s">
        <v>209</v>
      </c>
      <c r="C14" s="4" t="s">
        <v>193</v>
      </c>
      <c r="D14" s="4" t="s">
        <v>210</v>
      </c>
    </row>
    <row r="16" customFormat="false" ht="15" hidden="false" customHeight="false" outlineLevel="0" collapsed="false">
      <c r="A16" s="5" t="s">
        <v>211</v>
      </c>
    </row>
    <row r="17" customFormat="false" ht="15" hidden="false" customHeight="false" outlineLevel="0" collapsed="false">
      <c r="A17" s="5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8" min="5" style="0" width="14"/>
  </cols>
  <sheetData>
    <row r="1" customFormat="false" ht="17.35" hidden="false" customHeight="false" outlineLevel="0" collapsed="false">
      <c r="A1" s="1" t="s">
        <v>213</v>
      </c>
    </row>
    <row r="2" customFormat="false" ht="15" hidden="false" customHeight="false" outlineLevel="0" collapsed="false">
      <c r="A2" s="5" t="s">
        <v>214</v>
      </c>
    </row>
    <row r="4" customFormat="false" ht="15" hidden="false" customHeight="false" outlineLevel="0" collapsed="false">
      <c r="A4" s="3" t="s">
        <v>215</v>
      </c>
      <c r="B4" s="3" t="s">
        <v>216</v>
      </c>
      <c r="C4" s="3" t="s">
        <v>217</v>
      </c>
      <c r="D4" s="3" t="s">
        <v>218</v>
      </c>
      <c r="E4" s="3" t="s">
        <v>219</v>
      </c>
      <c r="F4" s="3" t="s">
        <v>220</v>
      </c>
      <c r="G4" s="3" t="s">
        <v>221</v>
      </c>
      <c r="H4" s="3" t="s">
        <v>181</v>
      </c>
    </row>
    <row r="5" customFormat="false" ht="23.85" hidden="false" customHeight="false" outlineLevel="0" collapsed="false">
      <c r="A5" s="4" t="s">
        <v>222</v>
      </c>
      <c r="B5" s="4" t="s">
        <v>223</v>
      </c>
      <c r="C5" s="4" t="s">
        <v>224</v>
      </c>
      <c r="D5" s="9" t="n">
        <v>0</v>
      </c>
      <c r="E5" s="4" t="s">
        <v>225</v>
      </c>
      <c r="F5" s="9" t="n">
        <v>20000</v>
      </c>
      <c r="G5" s="9" t="n">
        <v>50000</v>
      </c>
      <c r="H5" s="9" t="n">
        <v>120000</v>
      </c>
    </row>
    <row r="6" customFormat="false" ht="23.85" hidden="false" customHeight="false" outlineLevel="0" collapsed="false">
      <c r="A6" s="4" t="s">
        <v>226</v>
      </c>
      <c r="B6" s="4" t="s">
        <v>227</v>
      </c>
      <c r="C6" s="4" t="s">
        <v>228</v>
      </c>
      <c r="D6" s="9" t="n">
        <v>12</v>
      </c>
      <c r="E6" s="4" t="s">
        <v>229</v>
      </c>
      <c r="F6" s="9" t="n">
        <v>300</v>
      </c>
      <c r="G6" s="9" t="n">
        <v>900</v>
      </c>
      <c r="H6" s="9" t="n">
        <v>2500</v>
      </c>
    </row>
    <row r="7" customFormat="false" ht="23.85" hidden="false" customHeight="false" outlineLevel="0" collapsed="false">
      <c r="A7" s="4" t="s">
        <v>230</v>
      </c>
      <c r="B7" s="4" t="s">
        <v>231</v>
      </c>
      <c r="C7" s="4" t="s">
        <v>232</v>
      </c>
      <c r="D7" s="9" t="n">
        <v>250</v>
      </c>
      <c r="E7" s="4" t="s">
        <v>233</v>
      </c>
      <c r="F7" s="9" t="n">
        <v>5</v>
      </c>
      <c r="G7" s="9" t="n">
        <v>15</v>
      </c>
      <c r="H7" s="9" t="n">
        <v>40</v>
      </c>
    </row>
    <row r="8" customFormat="false" ht="15" hidden="false" customHeight="false" outlineLevel="0" collapsed="false">
      <c r="A8" s="4" t="s">
        <v>234</v>
      </c>
      <c r="B8" s="4" t="s">
        <v>235</v>
      </c>
      <c r="C8" s="4" t="s">
        <v>236</v>
      </c>
      <c r="D8" s="9" t="n">
        <v>30000</v>
      </c>
      <c r="E8" s="4" t="s">
        <v>237</v>
      </c>
      <c r="F8" s="9" t="n">
        <v>1</v>
      </c>
      <c r="G8" s="9" t="n">
        <v>3</v>
      </c>
      <c r="H8" s="9" t="n">
        <v>6</v>
      </c>
    </row>
    <row r="10" customFormat="false" ht="15" hidden="false" customHeight="false" outlineLevel="0" collapsed="false">
      <c r="A10" s="7" t="s">
        <v>238</v>
      </c>
    </row>
    <row r="11" customFormat="false" ht="15" hidden="false" customHeight="false" outlineLevel="0" collapsed="false">
      <c r="A11" s="2" t="s">
        <v>239</v>
      </c>
      <c r="F11" s="10" t="n">
        <f aca="false">F6*$D$6*12</f>
        <v>43200</v>
      </c>
      <c r="G11" s="10" t="n">
        <f aca="false">G6*$D$6*12</f>
        <v>129600</v>
      </c>
      <c r="H11" s="10" t="n">
        <f aca="false">H6*$D$6*12</f>
        <v>360000</v>
      </c>
    </row>
    <row r="12" customFormat="false" ht="15" hidden="false" customHeight="false" outlineLevel="0" collapsed="false">
      <c r="A12" s="2" t="s">
        <v>240</v>
      </c>
      <c r="F12" s="10" t="n">
        <f aca="false">F7*$D$7*12</f>
        <v>15000</v>
      </c>
      <c r="G12" s="10" t="n">
        <f aca="false">G7*$D$7*12</f>
        <v>45000</v>
      </c>
      <c r="H12" s="10" t="n">
        <f aca="false">H7*$D$7*12</f>
        <v>120000</v>
      </c>
    </row>
    <row r="13" customFormat="false" ht="15" hidden="false" customHeight="false" outlineLevel="0" collapsed="false">
      <c r="A13" s="2" t="s">
        <v>241</v>
      </c>
      <c r="F13" s="10" t="n">
        <f aca="false">F8*$D$8</f>
        <v>30000</v>
      </c>
      <c r="G13" s="10" t="n">
        <f aca="false">G8*$D$8</f>
        <v>90000</v>
      </c>
      <c r="H13" s="10" t="n">
        <f aca="false">H8*$D$8</f>
        <v>180000</v>
      </c>
    </row>
    <row r="14" customFormat="false" ht="15" hidden="false" customHeight="false" outlineLevel="0" collapsed="false">
      <c r="A14" s="7" t="s">
        <v>242</v>
      </c>
      <c r="F14" s="11" t="n">
        <f aca="false">SUM(F11:F13)</f>
        <v>88200</v>
      </c>
      <c r="G14" s="11" t="n">
        <f aca="false">SUM(G11:G13)</f>
        <v>264600</v>
      </c>
      <c r="H14" s="11" t="n">
        <f aca="false">SUM(H11:H13)</f>
        <v>660000</v>
      </c>
    </row>
    <row r="16" customFormat="false" ht="15" hidden="false" customHeight="false" outlineLevel="0" collapsed="false">
      <c r="A16" s="5" t="s">
        <v>243</v>
      </c>
    </row>
    <row r="17" customFormat="false" ht="15" hidden="false" customHeight="false" outlineLevel="0" collapsed="false">
      <c r="A17" s="5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8"/>
    <col collapsed="false" customWidth="true" hidden="false" outlineLevel="0" max="3" min="3" style="0" width="52"/>
    <col collapsed="false" customWidth="true" hidden="false" outlineLevel="0" max="4" min="4" style="0" width="36"/>
  </cols>
  <sheetData>
    <row r="1" customFormat="false" ht="17.35" hidden="false" customHeight="false" outlineLevel="0" collapsed="false">
      <c r="A1" s="1" t="s">
        <v>245</v>
      </c>
    </row>
    <row r="3" customFormat="false" ht="15" hidden="false" customHeight="false" outlineLevel="0" collapsed="false">
      <c r="A3" s="3" t="s">
        <v>246</v>
      </c>
      <c r="B3" s="3" t="s">
        <v>247</v>
      </c>
      <c r="C3" s="3" t="s">
        <v>248</v>
      </c>
      <c r="D3" s="3" t="s">
        <v>249</v>
      </c>
    </row>
    <row r="4" customFormat="false" ht="23.85" hidden="false" customHeight="false" outlineLevel="0" collapsed="false">
      <c r="A4" s="4" t="s">
        <v>250</v>
      </c>
      <c r="B4" s="4" t="s">
        <v>251</v>
      </c>
      <c r="C4" s="4" t="s">
        <v>252</v>
      </c>
      <c r="D4" s="4" t="s">
        <v>253</v>
      </c>
    </row>
    <row r="5" customFormat="false" ht="23.85" hidden="false" customHeight="false" outlineLevel="0" collapsed="false">
      <c r="A5" s="4" t="s">
        <v>254</v>
      </c>
      <c r="B5" s="4" t="s">
        <v>255</v>
      </c>
      <c r="C5" s="4" t="s">
        <v>256</v>
      </c>
      <c r="D5" s="4" t="s">
        <v>257</v>
      </c>
    </row>
    <row r="6" customFormat="false" ht="23.85" hidden="false" customHeight="false" outlineLevel="0" collapsed="false">
      <c r="A6" s="4" t="s">
        <v>258</v>
      </c>
      <c r="B6" s="4" t="s">
        <v>259</v>
      </c>
      <c r="C6" s="4" t="s">
        <v>260</v>
      </c>
      <c r="D6" s="4" t="s">
        <v>261</v>
      </c>
    </row>
    <row r="7" customFormat="false" ht="23.85" hidden="false" customHeight="false" outlineLevel="0" collapsed="false">
      <c r="A7" s="4" t="s">
        <v>262</v>
      </c>
      <c r="B7" s="4" t="s">
        <v>263</v>
      </c>
      <c r="C7" s="4" t="s">
        <v>264</v>
      </c>
      <c r="D7" s="4" t="s">
        <v>265</v>
      </c>
    </row>
    <row r="8" customFormat="false" ht="23.85" hidden="false" customHeight="false" outlineLevel="0" collapsed="false">
      <c r="A8" s="4" t="s">
        <v>266</v>
      </c>
      <c r="B8" s="4" t="s">
        <v>267</v>
      </c>
      <c r="C8" s="4" t="s">
        <v>268</v>
      </c>
      <c r="D8" s="4" t="s">
        <v>269</v>
      </c>
    </row>
    <row r="9" customFormat="false" ht="23.85" hidden="false" customHeight="false" outlineLevel="0" collapsed="false">
      <c r="A9" s="4" t="s">
        <v>270</v>
      </c>
      <c r="B9" s="4" t="s">
        <v>271</v>
      </c>
      <c r="C9" s="4" t="s">
        <v>272</v>
      </c>
      <c r="D9" s="4" t="s">
        <v>273</v>
      </c>
    </row>
    <row r="10" customFormat="false" ht="23.85" hidden="false" customHeight="false" outlineLevel="0" collapsed="false">
      <c r="A10" s="4" t="s">
        <v>274</v>
      </c>
      <c r="B10" s="4" t="s">
        <v>275</v>
      </c>
      <c r="C10" s="4" t="s">
        <v>276</v>
      </c>
      <c r="D10" s="4" t="s">
        <v>277</v>
      </c>
    </row>
    <row r="11" customFormat="false" ht="23.85" hidden="false" customHeight="false" outlineLevel="0" collapsed="false">
      <c r="A11" s="4" t="s">
        <v>278</v>
      </c>
      <c r="B11" s="4" t="s">
        <v>279</v>
      </c>
      <c r="C11" s="4" t="s">
        <v>280</v>
      </c>
      <c r="D11" s="4" t="s">
        <v>281</v>
      </c>
    </row>
    <row r="13" customFormat="false" ht="15" hidden="false" customHeight="false" outlineLevel="0" collapsed="false">
      <c r="A13" s="5" t="s">
        <v>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283</v>
      </c>
    </row>
    <row r="3" customFormat="false" ht="15" hidden="false" customHeight="false" outlineLevel="0" collapsed="false">
      <c r="A3" s="3" t="s">
        <v>284</v>
      </c>
      <c r="B3" s="3" t="s">
        <v>285</v>
      </c>
      <c r="C3" s="3" t="s">
        <v>286</v>
      </c>
      <c r="D3" s="3" t="s">
        <v>287</v>
      </c>
    </row>
    <row r="4" customFormat="false" ht="35.05" hidden="false" customHeight="false" outlineLevel="0" collapsed="false">
      <c r="A4" s="4" t="s">
        <v>288</v>
      </c>
      <c r="B4" s="4" t="s">
        <v>200</v>
      </c>
      <c r="C4" s="4" t="s">
        <v>181</v>
      </c>
      <c r="D4" s="4" t="s">
        <v>289</v>
      </c>
    </row>
    <row r="5" customFormat="false" ht="23.85" hidden="false" customHeight="false" outlineLevel="0" collapsed="false">
      <c r="A5" s="4" t="s">
        <v>290</v>
      </c>
      <c r="B5" s="4" t="s">
        <v>291</v>
      </c>
      <c r="C5" s="4" t="s">
        <v>200</v>
      </c>
      <c r="D5" s="4" t="s">
        <v>292</v>
      </c>
    </row>
    <row r="6" customFormat="false" ht="35.05" hidden="false" customHeight="false" outlineLevel="0" collapsed="false">
      <c r="A6" s="4" t="s">
        <v>293</v>
      </c>
      <c r="B6" s="4" t="s">
        <v>200</v>
      </c>
      <c r="C6" s="4" t="s">
        <v>181</v>
      </c>
      <c r="D6" s="4" t="s">
        <v>294</v>
      </c>
    </row>
    <row r="7" customFormat="false" ht="23.85" hidden="false" customHeight="false" outlineLevel="0" collapsed="false">
      <c r="A7" s="4" t="s">
        <v>295</v>
      </c>
      <c r="B7" s="4" t="s">
        <v>181</v>
      </c>
      <c r="C7" s="4" t="s">
        <v>296</v>
      </c>
      <c r="D7" s="4" t="s">
        <v>297</v>
      </c>
    </row>
    <row r="8" customFormat="false" ht="23.85" hidden="false" customHeight="false" outlineLevel="0" collapsed="false">
      <c r="A8" s="4" t="s">
        <v>298</v>
      </c>
      <c r="B8" s="4" t="s">
        <v>296</v>
      </c>
      <c r="C8" s="4" t="s">
        <v>181</v>
      </c>
      <c r="D8" s="4" t="s">
        <v>299</v>
      </c>
    </row>
    <row r="9" customFormat="false" ht="23.85" hidden="false" customHeight="false" outlineLevel="0" collapsed="false">
      <c r="A9" s="4" t="s">
        <v>300</v>
      </c>
      <c r="B9" s="4" t="s">
        <v>181</v>
      </c>
      <c r="C9" s="4" t="s">
        <v>181</v>
      </c>
      <c r="D9" s="4" t="s">
        <v>301</v>
      </c>
    </row>
    <row r="10" customFormat="false" ht="23.85" hidden="false" customHeight="false" outlineLevel="0" collapsed="false">
      <c r="A10" s="4" t="s">
        <v>302</v>
      </c>
      <c r="B10" s="4" t="s">
        <v>200</v>
      </c>
      <c r="C10" s="4" t="s">
        <v>200</v>
      </c>
      <c r="D10" s="4" t="s">
        <v>303</v>
      </c>
    </row>
    <row r="11" customFormat="false" ht="23.85" hidden="false" customHeight="false" outlineLevel="0" collapsed="false">
      <c r="A11" s="4" t="s">
        <v>304</v>
      </c>
      <c r="B11" s="4" t="s">
        <v>200</v>
      </c>
      <c r="C11" s="4" t="s">
        <v>200</v>
      </c>
      <c r="D11" s="4" t="s">
        <v>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2026-06-12T13:17:26Z</dcterms:created>
  <dc:creator>openpyxl</dc:creator>
  <dc:description/>
  <dc:language>en-US</dc:language>
  <cp:lastModifiedBy/>
  <dcterms:modified xsi:type="dcterms:W3CDTF">2026-06-12T13:17:26Z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