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comments2.xml" ContentType="application/vnd.openxmlformats-officedocument.spreadsheetml.comments+xml"/>
  <Override PartName="/xl/drawings/vmlDrawing1.vml" ContentType="application/vnd.openxmlformats-officedocument.vmlDrawing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AD ME" sheetId="1" state="visible" r:id="rId3"/>
    <sheet name="Assumptions" sheetId="2" state="visible" r:id="rId4"/>
    <sheet name="Player Ledger" sheetId="3" state="visible" r:id="rId5"/>
    <sheet name="Club Cap Position" sheetId="4" state="visible" r:id="rId6"/>
    <sheet name="Headline Mismatches" sheetId="5" state="visible" r:id="rId7"/>
  </sheets>
  <definedNames>
    <definedName function="false" hidden="true" localSheetId="3" name="_xlnm._FilterDatabase" vbProcedure="false">'Club Cap Position'!$A$1:$H$91</definedName>
    <definedName function="false" hidden="true" localSheetId="2" name="_xlnm._FilterDatabase" vbProcedure="false">'Player Ledger'!$A$1:$K$2022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2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" authorId="0">
      <text>
        <r>
          <rPr>
            <sz val="10"/>
            <rFont val="Arial"/>
            <family val="2"/>
          </rPr>
          <t xml:space="preserve">COVID-adjusted, approximate. Verify before publication.</t>
        </r>
      </text>
    </comment>
  </commentList>
</comments>
</file>

<file path=xl/sharedStrings.xml><?xml version="1.0" encoding="utf-8"?>
<sst xmlns="http://schemas.openxmlformats.org/spreadsheetml/2006/main" count="4497" uniqueCount="923">
  <si>
    <t xml:space="preserve">PAID vs DESERVED: THE AFL PLAYER SALARY LEDGER, 2021-2025  (v1.1, stress-tested)</t>
  </si>
  <si>
    <t xml:space="preserve">WHAT THIS IS. For every player who took the field 2021-2023: what their production was worth at the league's market rate (DESERVED), versus a modelled estimate of what convention pays them (ESTIMATED PAY BAND), and the gap. Plus every club's cap position 2021-2025.</t>
  </si>
  <si>
    <t xml:space="preserve">READ THESE CAVEATS BEFORE QUOTING ANYTHING:</t>
  </si>
  <si>
    <t xml:space="preserve">1. NO INDIVIDUAL AFL SALARY IS PUBLIC. Every per-player pay figure is a MODELLED ESTIMATE, in bands, never points. Not a report of any person's actual contract.</t>
  </si>
  <si>
    <t xml:space="preserve">2. DESERVED = Player Value (validated +0.67 to +0.71 vs held-out Brownlow votes) priced at the league rate: (18 x cap) / total league Player Value.</t>
  </si>
  <si>
    <t xml:space="preserve">3. ESTIMATED PAY models market behaviour: reputation (prior 3 seasons, weighted 50/30/20) mapped to bands calibrated to AFL published aggregates, WITH A CAREER FLOOR added after stress-testing: 100+ career games floors a player at the 55th pay percentile, 60+ at the 40th, 30+ at the 25th, because contracts persist through injury and veterans never earn rookie scale. (v1.0 modelled Wayne Milera at $140-250K; the floor fixed that class of error.)</t>
  </si>
  <si>
    <t xml:space="preserve">4. THE GAP IS THE PRODUCT: pay lags production. Breakouts read UNDERPAID, fading reputations read OVERPAID. Stress-test result: 2023 UNDERPAID leaders are Gulden, Sheezel, Rowell, Serong, Curnow, Will Day and the young GWS/StK breakouts on development deals, which matches what football media reported. Known residual bias: established stars on reported $900K+ deals (Greene, Daniher) sit one band low until media contract anchors land at trade period.</t>
  </si>
  <si>
    <t xml:space="preserve">5. COVERAGE: player ledger 2021-2023 complete; 2024-25 club level only via expected wins (EW PROXY), pending the production scraper.</t>
  </si>
  <si>
    <t xml:space="preserve">6. 2021 cap COVID-adjusted, approximate (yellow). Clubs evaluated at 100% of cap (real spread 95-100%, max 1.05x).</t>
  </si>
  <si>
    <t xml:space="preserve">7. Sources: AFL Tables box scores (community mirrors), Betfair exchange closing prices, AFL TPP releases, CBA 2023-27 Sch 2A. Career games counted from 2015 (pre-2015 service missing for the oldest veterans; their recent history dominates anyway). Built 13 June 2026.</t>
  </si>
  <si>
    <t xml:space="preserve">SHEETS: Assumptions (blue cells editable) | Player Ledger (live) | Club Cap Position | Headline Mismatches.</t>
  </si>
  <si>
    <t xml:space="preserve">Verdicts: UNDERPAID = deserved &gt; band top +15%. OVERPAID = deserved &lt; band floor -15%. FAIR inside. LOW SAMPLE = under 8 games.</t>
  </si>
  <si>
    <t xml:space="preserve">ASSUMPTIONS: EDIT BLUE CELLS</t>
  </si>
  <si>
    <t xml:space="preserve">Year</t>
  </si>
  <si>
    <t xml:space="preserve">Cap ($M)</t>
  </si>
  <si>
    <t xml:space="preserve">League PV (formula)</t>
  </si>
  <si>
    <t xml:space="preserve">Rate ($K per PV pt)</t>
  </si>
  <si>
    <t xml:space="preserve">2021</t>
  </si>
  <si>
    <t xml:space="preserve">2022</t>
  </si>
  <si>
    <t xml:space="preserve">2023</t>
  </si>
  <si>
    <t xml:space="preserve">2024</t>
  </si>
  <si>
    <t xml:space="preserve">EW PROXY YEAR</t>
  </si>
  <si>
    <t xml:space="preserve">2025</t>
  </si>
  <si>
    <t xml:space="preserve">Verdict threshold</t>
  </si>
  <si>
    <t xml:space="preserve">Career pay floor (games : min percentile): 100:55, 60:40, 30:25. Band ladder (2023 $K):</t>
  </si>
  <si>
    <t xml:space="preserve">Club</t>
  </si>
  <si>
    <t xml:space="preserve">Player</t>
  </si>
  <si>
    <t xml:space="preserve">Games</t>
  </si>
  <si>
    <t xml:space="preserve">Player Value (PV)</t>
  </si>
  <si>
    <t xml:space="preserve">Deserved ($K)</t>
  </si>
  <si>
    <t xml:space="preserve">Est Pay Low ($K)</t>
  </si>
  <si>
    <t xml:space="preserve">Est Pay High ($K)</t>
  </si>
  <si>
    <t xml:space="preserve">Gap vs Band Mid ($K)</t>
  </si>
  <si>
    <t xml:space="preserve">Verdict</t>
  </si>
  <si>
    <t xml:space="preserve">Career Games (pre-season)</t>
  </si>
  <si>
    <t xml:space="preserve">Adelaide</t>
  </si>
  <si>
    <t xml:space="preserve">Andrew McPherson</t>
  </si>
  <si>
    <t xml:space="preserve">Ben Davis</t>
  </si>
  <si>
    <t xml:space="preserve">Ben Keays</t>
  </si>
  <si>
    <t xml:space="preserve">Billy Frampton</t>
  </si>
  <si>
    <t xml:space="preserve">Brayden Cook</t>
  </si>
  <si>
    <t xml:space="preserve">Brodie Smith</t>
  </si>
  <si>
    <t xml:space="preserve">Chayce Jones</t>
  </si>
  <si>
    <t xml:space="preserve">Darcy Fogarty</t>
  </si>
  <si>
    <t xml:space="preserve">David Mackay</t>
  </si>
  <si>
    <t xml:space="preserve">Elliott Himmelberg</t>
  </si>
  <si>
    <t xml:space="preserve">Harry Schoenberg</t>
  </si>
  <si>
    <t xml:space="preserve">Jackson Hately</t>
  </si>
  <si>
    <t xml:space="preserve">Jake Kelly</t>
  </si>
  <si>
    <t xml:space="preserve">James Rowe</t>
  </si>
  <si>
    <t xml:space="preserve">Jordon Butts</t>
  </si>
  <si>
    <t xml:space="preserve">Josh Worrell</t>
  </si>
  <si>
    <t xml:space="preserve">Kieran Strachan</t>
  </si>
  <si>
    <t xml:space="preserve">Lachlan Gollant</t>
  </si>
  <si>
    <t xml:space="preserve">Lachlan Murphy</t>
  </si>
  <si>
    <t xml:space="preserve">Lachlan Sholl</t>
  </si>
  <si>
    <t xml:space="preserve">Luke Brown</t>
  </si>
  <si>
    <t xml:space="preserve">Luke Pedlar</t>
  </si>
  <si>
    <t xml:space="preserve">Mitch Hinge</t>
  </si>
  <si>
    <t xml:space="preserve">Ned McHenry</t>
  </si>
  <si>
    <t xml:space="preserve">Nick Murray</t>
  </si>
  <si>
    <t xml:space="preserve">Paul Seedsman</t>
  </si>
  <si>
    <t xml:space="preserve">Reilly OBrien</t>
  </si>
  <si>
    <t xml:space="preserve">Riley Thilthorpe</t>
  </si>
  <si>
    <t xml:space="preserve">Ronin OConnor</t>
  </si>
  <si>
    <t xml:space="preserve">Rory Laird</t>
  </si>
  <si>
    <t xml:space="preserve">Rory Sloane</t>
  </si>
  <si>
    <t xml:space="preserve">Sam Berry</t>
  </si>
  <si>
    <t xml:space="preserve">Shane McAdam</t>
  </si>
  <si>
    <t xml:space="preserve">Taylor Walker</t>
  </si>
  <si>
    <t xml:space="preserve">Tom Doedee</t>
  </si>
  <si>
    <t xml:space="preserve">Tom Lynch</t>
  </si>
  <si>
    <t xml:space="preserve">Will Hamill</t>
  </si>
  <si>
    <t xml:space="preserve">Brisbane</t>
  </si>
  <si>
    <t xml:space="preserve">Brandon Starcevich</t>
  </si>
  <si>
    <t xml:space="preserve">Callum Ah Chee</t>
  </si>
  <si>
    <t xml:space="preserve">Charlie Cameron</t>
  </si>
  <si>
    <t xml:space="preserve">Connor Ballenden</t>
  </si>
  <si>
    <t xml:space="preserve">Daniel McStay</t>
  </si>
  <si>
    <t xml:space="preserve">Daniel Rich</t>
  </si>
  <si>
    <t xml:space="preserve">Darcy Gardiner</t>
  </si>
  <si>
    <t xml:space="preserve">Dayne Zorko</t>
  </si>
  <si>
    <t xml:space="preserve">Deven Robertson</t>
  </si>
  <si>
    <t xml:space="preserve">Eric Hipwood</t>
  </si>
  <si>
    <t xml:space="preserve">Grant Birchall</t>
  </si>
  <si>
    <t xml:space="preserve">Harris Andrews</t>
  </si>
  <si>
    <t xml:space="preserve">Harry Sharp</t>
  </si>
  <si>
    <t xml:space="preserve">Hugh McCluggage</t>
  </si>
  <si>
    <t xml:space="preserve">Jack Payne</t>
  </si>
  <si>
    <t xml:space="preserve">James Madden</t>
  </si>
  <si>
    <t xml:space="preserve">Jarrod Berry</t>
  </si>
  <si>
    <t xml:space="preserve">Jarryd Lyons</t>
  </si>
  <si>
    <t xml:space="preserve">Jaxon Prior</t>
  </si>
  <si>
    <t xml:space="preserve">Joe Daniher</t>
  </si>
  <si>
    <t xml:space="preserve">Keidean Coleman</t>
  </si>
  <si>
    <t xml:space="preserve">Lachie Neale</t>
  </si>
  <si>
    <t xml:space="preserve">Lincoln McCarthy</t>
  </si>
  <si>
    <t xml:space="preserve">Marcus Adams</t>
  </si>
  <si>
    <t xml:space="preserve">Mitch Robinson</t>
  </si>
  <si>
    <t xml:space="preserve">Nakia Cockatoo</t>
  </si>
  <si>
    <t xml:space="preserve">Oscar McInerney</t>
  </si>
  <si>
    <t xml:space="preserve">Rhys Mathieson</t>
  </si>
  <si>
    <t xml:space="preserve">Ryan Lester</t>
  </si>
  <si>
    <t xml:space="preserve">Tom Berry</t>
  </si>
  <si>
    <t xml:space="preserve">Tom Fullarton</t>
  </si>
  <si>
    <t xml:space="preserve">Zac Bailey</t>
  </si>
  <si>
    <t xml:space="preserve">Carlton</t>
  </si>
  <si>
    <t xml:space="preserve">Adam Saad</t>
  </si>
  <si>
    <t xml:space="preserve">Brodie Kemp</t>
  </si>
  <si>
    <t xml:space="preserve">Charlie Curnow</t>
  </si>
  <si>
    <t xml:space="preserve">Corey Durdin</t>
  </si>
  <si>
    <t xml:space="preserve">David Cuningham</t>
  </si>
  <si>
    <t xml:space="preserve">Ed Curnow</t>
  </si>
  <si>
    <t xml:space="preserve">Eddie Betts</t>
  </si>
  <si>
    <t xml:space="preserve">Harry McKay</t>
  </si>
  <si>
    <t xml:space="preserve">Jack Martin</t>
  </si>
  <si>
    <t xml:space="preserve">Jack Newnes</t>
  </si>
  <si>
    <t xml:space="preserve">Jack Silvagni</t>
  </si>
  <si>
    <t xml:space="preserve">Jacob Weitering</t>
  </si>
  <si>
    <t xml:space="preserve">Josh Honey</t>
  </si>
  <si>
    <t xml:space="preserve">Lachie Fogarty</t>
  </si>
  <si>
    <t xml:space="preserve">Lachie Plowman</t>
  </si>
  <si>
    <t xml:space="preserve">Levi Casboult</t>
  </si>
  <si>
    <t xml:space="preserve">Liam Jones</t>
  </si>
  <si>
    <t xml:space="preserve">Liam Stocker</t>
  </si>
  <si>
    <t xml:space="preserve">Lochie OBrien</t>
  </si>
  <si>
    <t xml:space="preserve">Luke Parks</t>
  </si>
  <si>
    <t xml:space="preserve">Marc Murphy</t>
  </si>
  <si>
    <t xml:space="preserve">Marc Pittonet</t>
  </si>
  <si>
    <t xml:space="preserve">Matthew Cottrell</t>
  </si>
  <si>
    <t xml:space="preserve">Matthew Kennedy</t>
  </si>
  <si>
    <t xml:space="preserve">Matthew Owies</t>
  </si>
  <si>
    <t xml:space="preserve">Michael Gibbons</t>
  </si>
  <si>
    <t xml:space="preserve">Mitch McGovern</t>
  </si>
  <si>
    <t xml:space="preserve">Nic Newman</t>
  </si>
  <si>
    <t xml:space="preserve">Oscar McDonald</t>
  </si>
  <si>
    <t xml:space="preserve">Paddy Dow</t>
  </si>
  <si>
    <t xml:space="preserve">Patrick Cripps</t>
  </si>
  <si>
    <t xml:space="preserve">Sam Docherty</t>
  </si>
  <si>
    <t xml:space="preserve">Sam Petrevski-Seton</t>
  </si>
  <si>
    <t xml:space="preserve">Sam Walsh</t>
  </si>
  <si>
    <t xml:space="preserve">Tom De Koning</t>
  </si>
  <si>
    <t xml:space="preserve">Tom Williamson</t>
  </si>
  <si>
    <t xml:space="preserve">Will Setterfield</t>
  </si>
  <si>
    <t xml:space="preserve">Zac Fisher</t>
  </si>
  <si>
    <t xml:space="preserve">Zac Williams</t>
  </si>
  <si>
    <t xml:space="preserve">Collingwood</t>
  </si>
  <si>
    <t xml:space="preserve">Anton Tohill</t>
  </si>
  <si>
    <t xml:space="preserve">Beau McCreery</t>
  </si>
  <si>
    <t xml:space="preserve">Brayden Maynard</t>
  </si>
  <si>
    <t xml:space="preserve">Brayden Sier</t>
  </si>
  <si>
    <t xml:space="preserve">Brodie Grundy</t>
  </si>
  <si>
    <t xml:space="preserve">Brody Mihocek</t>
  </si>
  <si>
    <t xml:space="preserve">Caleb Poulter</t>
  </si>
  <si>
    <t xml:space="preserve">Callum Brown</t>
  </si>
  <si>
    <t xml:space="preserve">Chris Mayne</t>
  </si>
  <si>
    <t xml:space="preserve">Darcy Cameron</t>
  </si>
  <si>
    <t xml:space="preserve">Darcy Moore</t>
  </si>
  <si>
    <t xml:space="preserve">Finlay Macrae</t>
  </si>
  <si>
    <t xml:space="preserve">Isaac Quaynor</t>
  </si>
  <si>
    <t xml:space="preserve">Jack Crisp</t>
  </si>
  <si>
    <t xml:space="preserve">Jack Ginnivan</t>
  </si>
  <si>
    <t xml:space="preserve">Jack Madgen</t>
  </si>
  <si>
    <t xml:space="preserve">Jamie Elliott</t>
  </si>
  <si>
    <t xml:space="preserve">Jay Rantall</t>
  </si>
  <si>
    <t xml:space="preserve">Jeremy Howe</t>
  </si>
  <si>
    <t xml:space="preserve">John Noble</t>
  </si>
  <si>
    <t xml:space="preserve">Jordan Roughead</t>
  </si>
  <si>
    <t xml:space="preserve">Jordan de Goey</t>
  </si>
  <si>
    <t xml:space="preserve">Josh Daicos</t>
  </si>
  <si>
    <t xml:space="preserve">Josh Thomas</t>
  </si>
  <si>
    <t xml:space="preserve">Levi Greenwood</t>
  </si>
  <si>
    <t xml:space="preserve">Mark Keane</t>
  </si>
  <si>
    <t xml:space="preserve">Mason Cox</t>
  </si>
  <si>
    <t xml:space="preserve">Max Lynch</t>
  </si>
  <si>
    <t xml:space="preserve">Nathan Murphy</t>
  </si>
  <si>
    <t xml:space="preserve">Oliver Henry</t>
  </si>
  <si>
    <t xml:space="preserve">Scott Pendlebury</t>
  </si>
  <si>
    <t xml:space="preserve">Steele Sidebottom</t>
  </si>
  <si>
    <t xml:space="preserve">Taylor Adams</t>
  </si>
  <si>
    <t xml:space="preserve">Tom Wilson</t>
  </si>
  <si>
    <t xml:space="preserve">Trent Bianco</t>
  </si>
  <si>
    <t xml:space="preserve">Trey Ruscoe</t>
  </si>
  <si>
    <t xml:space="preserve">Tyler Brown</t>
  </si>
  <si>
    <t xml:space="preserve">Will Hoskin-Elliott</t>
  </si>
  <si>
    <t xml:space="preserve">Will Kelly</t>
  </si>
  <si>
    <t xml:space="preserve">Essendon</t>
  </si>
  <si>
    <t xml:space="preserve">Aaron Francis</t>
  </si>
  <si>
    <t xml:space="preserve">Alec Waterman</t>
  </si>
  <si>
    <t xml:space="preserve">Andrew McGrath</t>
  </si>
  <si>
    <t xml:space="preserve">Andrew Phillips</t>
  </si>
  <si>
    <t xml:space="preserve">Anthony McDonald-Tipungwuti</t>
  </si>
  <si>
    <t xml:space="preserve">Archie Perkins</t>
  </si>
  <si>
    <t xml:space="preserve">Brandon Zerk-Thatcher</t>
  </si>
  <si>
    <t xml:space="preserve">Brayden Ham</t>
  </si>
  <si>
    <t xml:space="preserve">Cale Hooker</t>
  </si>
  <si>
    <t xml:space="preserve">Darcy Parish</t>
  </si>
  <si>
    <t xml:space="preserve">David Zaharakis</t>
  </si>
  <si>
    <t xml:space="preserve">Devon Smith</t>
  </si>
  <si>
    <t xml:space="preserve">Dylan Clarke</t>
  </si>
  <si>
    <t xml:space="preserve">Dylan Shiel</t>
  </si>
  <si>
    <t xml:space="preserve">Dyson Heppell</t>
  </si>
  <si>
    <t xml:space="preserve">Harry Jones</t>
  </si>
  <si>
    <t xml:space="preserve">Jake Stringer</t>
  </si>
  <si>
    <t xml:space="preserve">James Stewart</t>
  </si>
  <si>
    <t xml:space="preserve">Jayden Laverde</t>
  </si>
  <si>
    <t xml:space="preserve">Jordan Ridley</t>
  </si>
  <si>
    <t xml:space="preserve">Jye Caldwell</t>
  </si>
  <si>
    <t xml:space="preserve">Kyle Langford</t>
  </si>
  <si>
    <t xml:space="preserve">Martin Gleeson</t>
  </si>
  <si>
    <t xml:space="preserve">Mason Redman</t>
  </si>
  <si>
    <t xml:space="preserve">Matt Guelfi</t>
  </si>
  <si>
    <t xml:space="preserve">Ned Cahill</t>
  </si>
  <si>
    <t xml:space="preserve">Nick Bryan</t>
  </si>
  <si>
    <t xml:space="preserve">Nick Hind</t>
  </si>
  <si>
    <t xml:space="preserve">Nik Cox</t>
  </si>
  <si>
    <t xml:space="preserve">Patrick Ambrose</t>
  </si>
  <si>
    <t xml:space="preserve">Peter Wright</t>
  </si>
  <si>
    <t xml:space="preserve">Sam Draper</t>
  </si>
  <si>
    <t xml:space="preserve">Sam Durham</t>
  </si>
  <si>
    <t xml:space="preserve">Tom Cutler</t>
  </si>
  <si>
    <t xml:space="preserve">Will Snelling</t>
  </si>
  <si>
    <t xml:space="preserve">Zach Merrett</t>
  </si>
  <si>
    <t xml:space="preserve">Zach Reid</t>
  </si>
  <si>
    <t xml:space="preserve">Fremantle</t>
  </si>
  <si>
    <t xml:space="preserve">Adam Cerra</t>
  </si>
  <si>
    <t xml:space="preserve">Alex Pearce</t>
  </si>
  <si>
    <t xml:space="preserve">Andrew Brayshaw</t>
  </si>
  <si>
    <t xml:space="preserve">Bailey Banfield</t>
  </si>
  <si>
    <t xml:space="preserve">Blake Acres</t>
  </si>
  <si>
    <t xml:space="preserve">Brandon Walker</t>
  </si>
  <si>
    <t xml:space="preserve">Brennan Cox</t>
  </si>
  <si>
    <t xml:space="preserve">Brett Bewley</t>
  </si>
  <si>
    <t xml:space="preserve">Caleb Serong</t>
  </si>
  <si>
    <t xml:space="preserve">Connor Blakely</t>
  </si>
  <si>
    <t xml:space="preserve">Darcy Tucker</t>
  </si>
  <si>
    <t xml:space="preserve">David Mundy</t>
  </si>
  <si>
    <t xml:space="preserve">Ethan Hughes</t>
  </si>
  <si>
    <t xml:space="preserve">Griffin Logue</t>
  </si>
  <si>
    <t xml:space="preserve">Hayden Young</t>
  </si>
  <si>
    <t xml:space="preserve">Heath Chapman</t>
  </si>
  <si>
    <t xml:space="preserve">James Aish</t>
  </si>
  <si>
    <t xml:space="preserve">Joel Hamling</t>
  </si>
  <si>
    <t xml:space="preserve">Joel Western</t>
  </si>
  <si>
    <t xml:space="preserve">Josh Treacy</t>
  </si>
  <si>
    <t xml:space="preserve">Lachie Schultz</t>
  </si>
  <si>
    <t xml:space="preserve">Liam Henry</t>
  </si>
  <si>
    <t xml:space="preserve">Lloyd Meek</t>
  </si>
  <si>
    <t xml:space="preserve">Luke Ryan</t>
  </si>
  <si>
    <t xml:space="preserve">Matthew Taberner</t>
  </si>
  <si>
    <t xml:space="preserve">Michael Frederick</t>
  </si>
  <si>
    <t xml:space="preserve">Michael Walters</t>
  </si>
  <si>
    <t xml:space="preserve">Mitch Crowden</t>
  </si>
  <si>
    <t xml:space="preserve">Nat Fyfe</t>
  </si>
  <si>
    <t xml:space="preserve">Nathan Wilson</t>
  </si>
  <si>
    <t xml:space="preserve">Reece Conca</t>
  </si>
  <si>
    <t xml:space="preserve">Rory Lobb</t>
  </si>
  <si>
    <t xml:space="preserve">Sam Sturt</t>
  </si>
  <si>
    <t xml:space="preserve">Sam Switkowski</t>
  </si>
  <si>
    <t xml:space="preserve">Sean Darcy</t>
  </si>
  <si>
    <t xml:space="preserve">Stefan Giro</t>
  </si>
  <si>
    <t xml:space="preserve">Taylin Duman</t>
  </si>
  <si>
    <t xml:space="preserve">Tobe Watson</t>
  </si>
  <si>
    <t xml:space="preserve">Travis Colyer</t>
  </si>
  <si>
    <t xml:space="preserve">GWS</t>
  </si>
  <si>
    <t xml:space="preserve">Adam Kennedy</t>
  </si>
  <si>
    <t xml:space="preserve">Bobby Hill</t>
  </si>
  <si>
    <t xml:space="preserve">Brent Daniels</t>
  </si>
  <si>
    <t xml:space="preserve">Callan Ward</t>
  </si>
  <si>
    <t xml:space="preserve">Connor Idun</t>
  </si>
  <si>
    <t xml:space="preserve">Conor Stone</t>
  </si>
  <si>
    <t xml:space="preserve">Daniel Lloyd</t>
  </si>
  <si>
    <t xml:space="preserve">Harrison Himmelberg</t>
  </si>
  <si>
    <t xml:space="preserve">Harry Perryman</t>
  </si>
  <si>
    <t xml:space="preserve">Isaac Cumming</t>
  </si>
  <si>
    <t xml:space="preserve">Jack Buckley</t>
  </si>
  <si>
    <t xml:space="preserve">Jacob Hopper</t>
  </si>
  <si>
    <t xml:space="preserve">Jake Riccardi</t>
  </si>
  <si>
    <t xml:space="preserve">Jake Stein</t>
  </si>
  <si>
    <t xml:space="preserve">James Peatling</t>
  </si>
  <si>
    <t xml:space="preserve">Jeremy Finlayson</t>
  </si>
  <si>
    <t xml:space="preserve">Jesse Hogan</t>
  </si>
  <si>
    <t xml:space="preserve">Josh Kelly</t>
  </si>
  <si>
    <t xml:space="preserve">Kieren Briggs</t>
  </si>
  <si>
    <t xml:space="preserve">Lachie Ash</t>
  </si>
  <si>
    <t xml:space="preserve">Lachie Whitfield</t>
  </si>
  <si>
    <t xml:space="preserve">Lachlan Keeffe</t>
  </si>
  <si>
    <t xml:space="preserve">Matt Buntine</t>
  </si>
  <si>
    <t xml:space="preserve">Matt Flynn</t>
  </si>
  <si>
    <t xml:space="preserve">Matthew de Boer</t>
  </si>
  <si>
    <t xml:space="preserve">Nick Haynes</t>
  </si>
  <si>
    <t xml:space="preserve">Nick Shipley</t>
  </si>
  <si>
    <t xml:space="preserve">Phil Davis</t>
  </si>
  <si>
    <t xml:space="preserve">Sam Reid</t>
  </si>
  <si>
    <t xml:space="preserve">Sam Taylor</t>
  </si>
  <si>
    <t xml:space="preserve">Shane Mumford</t>
  </si>
  <si>
    <t xml:space="preserve">Stephen Coniglio</t>
  </si>
  <si>
    <t xml:space="preserve">Tanner Bruhn</t>
  </si>
  <si>
    <t xml:space="preserve">Tim Taranto</t>
  </si>
  <si>
    <t xml:space="preserve">Toby Greene</t>
  </si>
  <si>
    <t xml:space="preserve">Tom Green</t>
  </si>
  <si>
    <t xml:space="preserve">Xavier OHalloran</t>
  </si>
  <si>
    <t xml:space="preserve">Zach Sproule</t>
  </si>
  <si>
    <t xml:space="preserve">Geelong</t>
  </si>
  <si>
    <t xml:space="preserve">Brad Close</t>
  </si>
  <si>
    <t xml:space="preserve">Brandan Parfitt</t>
  </si>
  <si>
    <t xml:space="preserve">Cameron Guthrie</t>
  </si>
  <si>
    <t xml:space="preserve">Charlie Constable</t>
  </si>
  <si>
    <t xml:space="preserve">Esava Ratugolea</t>
  </si>
  <si>
    <t xml:space="preserve">Francis Evans</t>
  </si>
  <si>
    <t xml:space="preserve">Gary Rohan</t>
  </si>
  <si>
    <t xml:space="preserve">Gryan Miers</t>
  </si>
  <si>
    <t xml:space="preserve">Isaac Smith</t>
  </si>
  <si>
    <t xml:space="preserve">Jack Henry</t>
  </si>
  <si>
    <t xml:space="preserve">Jake Kolodjashnij</t>
  </si>
  <si>
    <t xml:space="preserve">Jed Bews</t>
  </si>
  <si>
    <t xml:space="preserve">Jeremy Cameron</t>
  </si>
  <si>
    <t xml:space="preserve">Joel Selwood</t>
  </si>
  <si>
    <t xml:space="preserve">Jordan Clark</t>
  </si>
  <si>
    <t xml:space="preserve">Josh Jenkins</t>
  </si>
  <si>
    <t xml:space="preserve">Lachie Henderson</t>
  </si>
  <si>
    <t xml:space="preserve">Luke Dahlhaus</t>
  </si>
  <si>
    <t xml:space="preserve">Mark Blicavs</t>
  </si>
  <si>
    <t xml:space="preserve">Mark OConnor</t>
  </si>
  <si>
    <t xml:space="preserve">Max Holmes</t>
  </si>
  <si>
    <t xml:space="preserve">Mitch Duncan</t>
  </si>
  <si>
    <t xml:space="preserve">Nathan Kreuger</t>
  </si>
  <si>
    <t xml:space="preserve">Patrick Dangerfield</t>
  </si>
  <si>
    <t xml:space="preserve">Quinton Narkle</t>
  </si>
  <si>
    <t xml:space="preserve">Rhys Stanley</t>
  </si>
  <si>
    <t xml:space="preserve">Sam De Koning</t>
  </si>
  <si>
    <t xml:space="preserve">Sam Menegola</t>
  </si>
  <si>
    <t xml:space="preserve">Sam Simpson</t>
  </si>
  <si>
    <t xml:space="preserve">Shaun Higgins</t>
  </si>
  <si>
    <t xml:space="preserve">Tom Atkins</t>
  </si>
  <si>
    <t xml:space="preserve">Tom Hawkins</t>
  </si>
  <si>
    <t xml:space="preserve">Tom Stewart</t>
  </si>
  <si>
    <t xml:space="preserve">Zach Guthrie</t>
  </si>
  <si>
    <t xml:space="preserve">Zach Tuohy</t>
  </si>
  <si>
    <t xml:space="preserve">Gold Coast</t>
  </si>
  <si>
    <t xml:space="preserve">Alex Davies</t>
  </si>
  <si>
    <t xml:space="preserve">Alex Sexton</t>
  </si>
  <si>
    <t xml:space="preserve">Ben Ainsworth</t>
  </si>
  <si>
    <t xml:space="preserve">Ben King</t>
  </si>
  <si>
    <t xml:space="preserve">Brandon Ellis</t>
  </si>
  <si>
    <t xml:space="preserve">Brayden Fiorini</t>
  </si>
  <si>
    <t xml:space="preserve">Caleb Graham</t>
  </si>
  <si>
    <t xml:space="preserve">Charlie Ballard</t>
  </si>
  <si>
    <t xml:space="preserve">Chris Burgess</t>
  </si>
  <si>
    <t xml:space="preserve">Connor Budarick</t>
  </si>
  <si>
    <t xml:space="preserve">Darcy MacPherson</t>
  </si>
  <si>
    <t xml:space="preserve">David Swallow</t>
  </si>
  <si>
    <t xml:space="preserve">Hugh Greenwood</t>
  </si>
  <si>
    <t xml:space="preserve">Izak Rankine</t>
  </si>
  <si>
    <t xml:space="preserve">Jack Bowes</t>
  </si>
  <si>
    <t xml:space="preserve">Jack Lukosius</t>
  </si>
  <si>
    <t xml:space="preserve">Jacob Townsend</t>
  </si>
  <si>
    <t xml:space="preserve">Jarrod Harbrow</t>
  </si>
  <si>
    <t xml:space="preserve">Jarrod Witts</t>
  </si>
  <si>
    <t xml:space="preserve">Jeremy Sharp</t>
  </si>
  <si>
    <t xml:space="preserve">Joel Jeffrey</t>
  </si>
  <si>
    <t xml:space="preserve">Josh Corbett</t>
  </si>
  <si>
    <t xml:space="preserve">Jy Farrar</t>
  </si>
  <si>
    <t xml:space="preserve">Lachie Weller</t>
  </si>
  <si>
    <t xml:space="preserve">Malcolm Rosas</t>
  </si>
  <si>
    <t xml:space="preserve">Matt Rowell</t>
  </si>
  <si>
    <t xml:space="preserve">Nick Holman</t>
  </si>
  <si>
    <t xml:space="preserve">Noah Anderson</t>
  </si>
  <si>
    <t xml:space="preserve">Oleg Markov</t>
  </si>
  <si>
    <t xml:space="preserve">Rory Atkins</t>
  </si>
  <si>
    <t xml:space="preserve">Sam Collins</t>
  </si>
  <si>
    <t xml:space="preserve">Sam Day</t>
  </si>
  <si>
    <t xml:space="preserve">Sam Flanders</t>
  </si>
  <si>
    <t xml:space="preserve">Sean Lemmens</t>
  </si>
  <si>
    <t xml:space="preserve">Touk Miller</t>
  </si>
  <si>
    <t xml:space="preserve">Wil Powell</t>
  </si>
  <si>
    <t xml:space="preserve">Will Brodie</t>
  </si>
  <si>
    <t xml:space="preserve">Zac Smith</t>
  </si>
  <si>
    <t xml:space="preserve">Hawthorn</t>
  </si>
  <si>
    <t xml:space="preserve">Ben McEvoy</t>
  </si>
  <si>
    <t xml:space="preserve">Blake Hardwick</t>
  </si>
  <si>
    <t xml:space="preserve">Chad Wingard</t>
  </si>
  <si>
    <t xml:space="preserve">Changkuoth Jiath</t>
  </si>
  <si>
    <t xml:space="preserve">Connor Downie</t>
  </si>
  <si>
    <t xml:space="preserve">Conor Nash</t>
  </si>
  <si>
    <t xml:space="preserve">Damon Greaves</t>
  </si>
  <si>
    <t xml:space="preserve">Daniel Howe</t>
  </si>
  <si>
    <t xml:space="preserve">Denver Grainger-Barras</t>
  </si>
  <si>
    <t xml:space="preserve">Dylan Moore</t>
  </si>
  <si>
    <t xml:space="preserve">Emerson Jeka</t>
  </si>
  <si>
    <t xml:space="preserve">Finn Maginness</t>
  </si>
  <si>
    <t xml:space="preserve">Harry Morrison</t>
  </si>
  <si>
    <t xml:space="preserve">Jack Gunston</t>
  </si>
  <si>
    <t xml:space="preserve">Jack Scrimshaw</t>
  </si>
  <si>
    <t xml:space="preserve">Jacob Koschitzke</t>
  </si>
  <si>
    <t xml:space="preserve">Jaeger OMeara</t>
  </si>
  <si>
    <t xml:space="preserve">Jai Newcombe</t>
  </si>
  <si>
    <t xml:space="preserve">James Cousins</t>
  </si>
  <si>
    <t xml:space="preserve">James Worpel</t>
  </si>
  <si>
    <t xml:space="preserve">Jarman Impey</t>
  </si>
  <si>
    <t xml:space="preserve">Jonathon Ceglar</t>
  </si>
  <si>
    <t xml:space="preserve">Josh Morris</t>
  </si>
  <si>
    <t xml:space="preserve">Kyle Hartigan</t>
  </si>
  <si>
    <t xml:space="preserve">Lachlan Bramble</t>
  </si>
  <si>
    <t xml:space="preserve">Liam Shiels</t>
  </si>
  <si>
    <t xml:space="preserve">Luke Breust</t>
  </si>
  <si>
    <t xml:space="preserve">Michael Hartley</t>
  </si>
  <si>
    <t xml:space="preserve">Mitch Lewis</t>
  </si>
  <si>
    <t xml:space="preserve">Ned Reeves</t>
  </si>
  <si>
    <t xml:space="preserve">Oliver Hanrahan</t>
  </si>
  <si>
    <t xml:space="preserve">Sam Frost</t>
  </si>
  <si>
    <t xml:space="preserve">Shaun Burgoyne</t>
  </si>
  <si>
    <t xml:space="preserve">Tim OBrien</t>
  </si>
  <si>
    <t xml:space="preserve">Tom Mitchell</t>
  </si>
  <si>
    <t xml:space="preserve">Tom Phillips</t>
  </si>
  <si>
    <t xml:space="preserve">Tyler Brockman</t>
  </si>
  <si>
    <t xml:space="preserve">Will Day</t>
  </si>
  <si>
    <t xml:space="preserve">Melbourne</t>
  </si>
  <si>
    <t xml:space="preserve">Aaron Vandenberg</t>
  </si>
  <si>
    <t xml:space="preserve">Adam Tomlinson</t>
  </si>
  <si>
    <t xml:space="preserve">Alex Neal-Bullen</t>
  </si>
  <si>
    <t xml:space="preserve">Angus Brayshaw</t>
  </si>
  <si>
    <t xml:space="preserve">Bayley Fritsch</t>
  </si>
  <si>
    <t xml:space="preserve">Ben Brown</t>
  </si>
  <si>
    <t xml:space="preserve">Charlie Spargo</t>
  </si>
  <si>
    <t xml:space="preserve">Christian Petracca</t>
  </si>
  <si>
    <t xml:space="preserve">Christian Salem</t>
  </si>
  <si>
    <t xml:space="preserve">Clayton Oliver</t>
  </si>
  <si>
    <t xml:space="preserve">Ed Langdon</t>
  </si>
  <si>
    <t xml:space="preserve">Harry Petty</t>
  </si>
  <si>
    <t xml:space="preserve">Jack Viney</t>
  </si>
  <si>
    <t xml:space="preserve">Jake Bowey</t>
  </si>
  <si>
    <t xml:space="preserve">Jake Lever</t>
  </si>
  <si>
    <t xml:space="preserve">Jake Melksham</t>
  </si>
  <si>
    <t xml:space="preserve">James Harmes</t>
  </si>
  <si>
    <t xml:space="preserve">James Jordon</t>
  </si>
  <si>
    <t xml:space="preserve">Jayden Hunt</t>
  </si>
  <si>
    <t xml:space="preserve">Joel Smith</t>
  </si>
  <si>
    <t xml:space="preserve">Kade Chandler</t>
  </si>
  <si>
    <t xml:space="preserve">Kysaiah Pickett</t>
  </si>
  <si>
    <t xml:space="preserve">Luke Jackson</t>
  </si>
  <si>
    <t xml:space="preserve">Max Gawn</t>
  </si>
  <si>
    <t xml:space="preserve">Michael Hibberd</t>
  </si>
  <si>
    <t xml:space="preserve">Mitch Brown</t>
  </si>
  <si>
    <t xml:space="preserve">Nathan Jones</t>
  </si>
  <si>
    <t xml:space="preserve">Neville Jetta</t>
  </si>
  <si>
    <t xml:space="preserve">Oskar Baker</t>
  </si>
  <si>
    <t xml:space="preserve">Sam Weideman</t>
  </si>
  <si>
    <t xml:space="preserve">Steven May</t>
  </si>
  <si>
    <t xml:space="preserve">Tom McDonald</t>
  </si>
  <si>
    <t xml:space="preserve">Tom Sparrow</t>
  </si>
  <si>
    <t xml:space="preserve">Trent Rivers</t>
  </si>
  <si>
    <t xml:space="preserve">North Melbourne</t>
  </si>
  <si>
    <t xml:space="preserve">Aaron Hall</t>
  </si>
  <si>
    <t xml:space="preserve">Aidan Corr</t>
  </si>
  <si>
    <t xml:space="preserve">Aiden Bonar</t>
  </si>
  <si>
    <t xml:space="preserve">Atu Bosenavulagi</t>
  </si>
  <si>
    <t xml:space="preserve">Bailey Scott</t>
  </si>
  <si>
    <t xml:space="preserve">Ben Cunnington</t>
  </si>
  <si>
    <t xml:space="preserve">Ben McKay</t>
  </si>
  <si>
    <t xml:space="preserve">Cameron Zurhaar</t>
  </si>
  <si>
    <t xml:space="preserve">Charlie Comben</t>
  </si>
  <si>
    <t xml:space="preserve">Charlie Lazzaro</t>
  </si>
  <si>
    <t xml:space="preserve">Connor Menadue</t>
  </si>
  <si>
    <t xml:space="preserve">Curtis Taylor</t>
  </si>
  <si>
    <t xml:space="preserve">Dom Tyson</t>
  </si>
  <si>
    <t xml:space="preserve">Eddie Ford</t>
  </si>
  <si>
    <t xml:space="preserve">Jack Mahony</t>
  </si>
  <si>
    <t xml:space="preserve">Jack Ziebell</t>
  </si>
  <si>
    <t xml:space="preserve">Jaidyn Stephenson</t>
  </si>
  <si>
    <t xml:space="preserve">Jared Polec</t>
  </si>
  <si>
    <t xml:space="preserve">Jed Anderson</t>
  </si>
  <si>
    <t xml:space="preserve">Josh Walker</t>
  </si>
  <si>
    <t xml:space="preserve">Jy Simpkin</t>
  </si>
  <si>
    <t xml:space="preserve">Kayne Turner</t>
  </si>
  <si>
    <t xml:space="preserve">Kyron Hayden</t>
  </si>
  <si>
    <t xml:space="preserve">Lachie Young</t>
  </si>
  <si>
    <t xml:space="preserve">Luke Davies-Uniacke</t>
  </si>
  <si>
    <t xml:space="preserve">Luke McDonald</t>
  </si>
  <si>
    <t xml:space="preserve">Nick Larkey</t>
  </si>
  <si>
    <t xml:space="preserve">Phoenix Spicer</t>
  </si>
  <si>
    <t xml:space="preserve">Robbie Tarrant</t>
  </si>
  <si>
    <t xml:space="preserve">Shaun Atley</t>
  </si>
  <si>
    <t xml:space="preserve">Tarryn Thomas</t>
  </si>
  <si>
    <t xml:space="preserve">Taylor Garner</t>
  </si>
  <si>
    <t xml:space="preserve">Todd Goldstein</t>
  </si>
  <si>
    <t xml:space="preserve">Tom Campbell</t>
  </si>
  <si>
    <t xml:space="preserve">Tom Powell</t>
  </si>
  <si>
    <t xml:space="preserve">Trent Dumont</t>
  </si>
  <si>
    <t xml:space="preserve">Tristan Xerri</t>
  </si>
  <si>
    <t xml:space="preserve">Will Phillips</t>
  </si>
  <si>
    <t xml:space="preserve">Port Adelaide</t>
  </si>
  <si>
    <t xml:space="preserve">Aliir Aliir</t>
  </si>
  <si>
    <t xml:space="preserve">Boyd Woodcock</t>
  </si>
  <si>
    <t xml:space="preserve">Charlie Dixon</t>
  </si>
  <si>
    <t xml:space="preserve">Connor Rozee</t>
  </si>
  <si>
    <t xml:space="preserve">Dan Houston</t>
  </si>
  <si>
    <t xml:space="preserve">Darcy Byrne-Jones</t>
  </si>
  <si>
    <t xml:space="preserve">Dylan Williams</t>
  </si>
  <si>
    <t xml:space="preserve">Hamish Hartlett</t>
  </si>
  <si>
    <t xml:space="preserve">Jarrod Lienert</t>
  </si>
  <si>
    <t xml:space="preserve">Jed McEntee</t>
  </si>
  <si>
    <t xml:space="preserve">Kane Farrell</t>
  </si>
  <si>
    <t xml:space="preserve">Karl Amon</t>
  </si>
  <si>
    <t xml:space="preserve">Lachie Jones</t>
  </si>
  <si>
    <t xml:space="preserve">Martin Frederick</t>
  </si>
  <si>
    <t xml:space="preserve">Miles Bergman</t>
  </si>
  <si>
    <t xml:space="preserve">Mitch Georgiades</t>
  </si>
  <si>
    <t xml:space="preserve">Ollie Wines</t>
  </si>
  <si>
    <t xml:space="preserve">Orazio Fantasia</t>
  </si>
  <si>
    <t xml:space="preserve">Peter Ladhams</t>
  </si>
  <si>
    <t xml:space="preserve">Riley Bonner</t>
  </si>
  <si>
    <t xml:space="preserve">Robbie Gray</t>
  </si>
  <si>
    <t xml:space="preserve">Ryan Burton</t>
  </si>
  <si>
    <t xml:space="preserve">Sam Mayes</t>
  </si>
  <si>
    <t xml:space="preserve">Sam Powell-Pepper</t>
  </si>
  <si>
    <t xml:space="preserve">Scott Lycett</t>
  </si>
  <si>
    <t xml:space="preserve">Steven Motlop</t>
  </si>
  <si>
    <t xml:space="preserve">Todd Marshall</t>
  </si>
  <si>
    <t xml:space="preserve">Tom Clurey</t>
  </si>
  <si>
    <t xml:space="preserve">Tom Jonas</t>
  </si>
  <si>
    <t xml:space="preserve">Tom Rockliff</t>
  </si>
  <si>
    <t xml:space="preserve">Travis Boak</t>
  </si>
  <si>
    <t xml:space="preserve">Trent McKenzie</t>
  </si>
  <si>
    <t xml:space="preserve">Willem Drew</t>
  </si>
  <si>
    <t xml:space="preserve">Xavier Duursma</t>
  </si>
  <si>
    <t xml:space="preserve">Zak Butters</t>
  </si>
  <si>
    <t xml:space="preserve">Richmond</t>
  </si>
  <si>
    <t xml:space="preserve">Bachar Houli</t>
  </si>
  <si>
    <t xml:space="preserve">Ben Miller</t>
  </si>
  <si>
    <t xml:space="preserve">Callum Coleman-Jones</t>
  </si>
  <si>
    <t xml:space="preserve">Daniel Rioli</t>
  </si>
  <si>
    <t xml:space="preserve">David Astbury</t>
  </si>
  <si>
    <t xml:space="preserve">Derek Eggmolesse-Smith</t>
  </si>
  <si>
    <t xml:space="preserve">Dion Prestia</t>
  </si>
  <si>
    <t xml:space="preserve">Dustin Martin</t>
  </si>
  <si>
    <t xml:space="preserve">Dylan Grimes</t>
  </si>
  <si>
    <t xml:space="preserve">Hugo Ralphsmith</t>
  </si>
  <si>
    <t xml:space="preserve">Jack Graham</t>
  </si>
  <si>
    <t xml:space="preserve">Jack Riewoldt</t>
  </si>
  <si>
    <t xml:space="preserve">Jack Ross</t>
  </si>
  <si>
    <t xml:space="preserve">Jake Aarts</t>
  </si>
  <si>
    <t xml:space="preserve">Jason Castagna</t>
  </si>
  <si>
    <t xml:space="preserve">Jayden Short</t>
  </si>
  <si>
    <t xml:space="preserve">Josh Caddy</t>
  </si>
  <si>
    <t xml:space="preserve">Kamdyn McIntosh</t>
  </si>
  <si>
    <t xml:space="preserve">Kane Lambert</t>
  </si>
  <si>
    <t xml:space="preserve">Liam Baker</t>
  </si>
  <si>
    <t xml:space="preserve">Mabior Chol</t>
  </si>
  <si>
    <t xml:space="preserve">Marlion Pickett</t>
  </si>
  <si>
    <t xml:space="preserve">Matthew Parker</t>
  </si>
  <si>
    <t xml:space="preserve">Maurice Rioli</t>
  </si>
  <si>
    <t xml:space="preserve">Nathan Broad</t>
  </si>
  <si>
    <t xml:space="preserve">Nick Vlastuin</t>
  </si>
  <si>
    <t xml:space="preserve">Noah Balta</t>
  </si>
  <si>
    <t xml:space="preserve">Patrick Naish</t>
  </si>
  <si>
    <t xml:space="preserve">Rhyan Mansell</t>
  </si>
  <si>
    <t xml:space="preserve">Riley Collier-Dawkins</t>
  </si>
  <si>
    <t xml:space="preserve">Ryan Garthwaite</t>
  </si>
  <si>
    <t xml:space="preserve">Samson Ryan</t>
  </si>
  <si>
    <t xml:space="preserve">Shai Bolton</t>
  </si>
  <si>
    <t xml:space="preserve">Shane Edwards</t>
  </si>
  <si>
    <t xml:space="preserve">Sydney Stack</t>
  </si>
  <si>
    <t xml:space="preserve">Thomson Dow</t>
  </si>
  <si>
    <t xml:space="preserve">Toby Nankervis</t>
  </si>
  <si>
    <t xml:space="preserve">Trent Cotchin</t>
  </si>
  <si>
    <t xml:space="preserve">Will Martyn</t>
  </si>
  <si>
    <t xml:space="preserve">St Kilda</t>
  </si>
  <si>
    <t xml:space="preserve">Ben Long</t>
  </si>
  <si>
    <t xml:space="preserve">Brad Crouch</t>
  </si>
  <si>
    <t xml:space="preserve">Bradley Hill</t>
  </si>
  <si>
    <t xml:space="preserve">Callum Wilkie</t>
  </si>
  <si>
    <t xml:space="preserve">Cooper Sharman</t>
  </si>
  <si>
    <t xml:space="preserve">Dan Butler</t>
  </si>
  <si>
    <t xml:space="preserve">Dan Hannebery</t>
  </si>
  <si>
    <t xml:space="preserve">Daniel McKenzie</t>
  </si>
  <si>
    <t xml:space="preserve">Darragh Joyce</t>
  </si>
  <si>
    <t xml:space="preserve">Dean Kent</t>
  </si>
  <si>
    <t xml:space="preserve">Dougal Howard</t>
  </si>
  <si>
    <t xml:space="preserve">Hunter Clark</t>
  </si>
  <si>
    <t xml:space="preserve">Jack Billings</t>
  </si>
  <si>
    <t xml:space="preserve">Jack Bytel</t>
  </si>
  <si>
    <t xml:space="preserve">Jack Higgins</t>
  </si>
  <si>
    <t xml:space="preserve">Jack Lonie</t>
  </si>
  <si>
    <t xml:space="preserve">Jack Sinclair</t>
  </si>
  <si>
    <t xml:space="preserve">Jack Steele</t>
  </si>
  <si>
    <t xml:space="preserve">Jade Gresham</t>
  </si>
  <si>
    <t xml:space="preserve">Jake Carlisle</t>
  </si>
  <si>
    <t xml:space="preserve">James Frawley</t>
  </si>
  <si>
    <t xml:space="preserve">Jarryn Geary</t>
  </si>
  <si>
    <t xml:space="preserve">Jimmy Webster</t>
  </si>
  <si>
    <t xml:space="preserve">Josh Battle</t>
  </si>
  <si>
    <t xml:space="preserve">Leo Connolly</t>
  </si>
  <si>
    <t xml:space="preserve">Luke Dunstan</t>
  </si>
  <si>
    <t xml:space="preserve">Mason Wood</t>
  </si>
  <si>
    <t xml:space="preserve">Max King</t>
  </si>
  <si>
    <t xml:space="preserve">Nick Coffield</t>
  </si>
  <si>
    <t xml:space="preserve">Oscar Clavarino</t>
  </si>
  <si>
    <t xml:space="preserve">Patrick Ryder</t>
  </si>
  <si>
    <t xml:space="preserve">Paul Hunter</t>
  </si>
  <si>
    <t xml:space="preserve">Rowan Marshall</t>
  </si>
  <si>
    <t xml:space="preserve">Ryan Byrnes</t>
  </si>
  <si>
    <t xml:space="preserve">Sebastian Ross</t>
  </si>
  <si>
    <t xml:space="preserve">Shaun McKernan</t>
  </si>
  <si>
    <t xml:space="preserve">Tim Membrey</t>
  </si>
  <si>
    <t xml:space="preserve">Tom Highmore</t>
  </si>
  <si>
    <t xml:space="preserve">Zak Jones</t>
  </si>
  <si>
    <t xml:space="preserve">Sydney</t>
  </si>
  <si>
    <t xml:space="preserve">Ben Ronke</t>
  </si>
  <si>
    <t xml:space="preserve">Braeden Campbell</t>
  </si>
  <si>
    <t xml:space="preserve">Callum Mills</t>
  </si>
  <si>
    <t xml:space="preserve">Callum Sinclair</t>
  </si>
  <si>
    <t xml:space="preserve">Chad Warner</t>
  </si>
  <si>
    <t xml:space="preserve">Colin ORiordan</t>
  </si>
  <si>
    <t xml:space="preserve">Dane Rampe</t>
  </si>
  <si>
    <t xml:space="preserve">Dylan Stephens</t>
  </si>
  <si>
    <t xml:space="preserve">Errol Gulden</t>
  </si>
  <si>
    <t xml:space="preserve">George Hewett</t>
  </si>
  <si>
    <t xml:space="preserve">Harry Cunningham</t>
  </si>
  <si>
    <t xml:space="preserve">Hayden McLean</t>
  </si>
  <si>
    <t xml:space="preserve">Isaac Heeney</t>
  </si>
  <si>
    <t xml:space="preserve">Jake Lloyd</t>
  </si>
  <si>
    <t xml:space="preserve">James Bell</t>
  </si>
  <si>
    <t xml:space="preserve">James Rowbottom</t>
  </si>
  <si>
    <t xml:space="preserve">Joel Amartey</t>
  </si>
  <si>
    <t xml:space="preserve">Jordan Dawson</t>
  </si>
  <si>
    <t xml:space="preserve">Josh Kennedy</t>
  </si>
  <si>
    <t xml:space="preserve">Justin McInerney</t>
  </si>
  <si>
    <t xml:space="preserve">Kaiden Brand</t>
  </si>
  <si>
    <t xml:space="preserve">Lance Franklin</t>
  </si>
  <si>
    <t xml:space="preserve">Lewis Melican</t>
  </si>
  <si>
    <t xml:space="preserve">Lewis Taylor</t>
  </si>
  <si>
    <t xml:space="preserve">Logan McDonald</t>
  </si>
  <si>
    <t xml:space="preserve">Luke Parker</t>
  </si>
  <si>
    <t xml:space="preserve">Matt Ling</t>
  </si>
  <si>
    <t xml:space="preserve">Nick Blakey</t>
  </si>
  <si>
    <t xml:space="preserve">Oliver Florent</t>
  </si>
  <si>
    <t xml:space="preserve">Robbie Fox</t>
  </si>
  <si>
    <t xml:space="preserve">Ryan Clarke</t>
  </si>
  <si>
    <t xml:space="preserve">Sam Wicks</t>
  </si>
  <si>
    <t xml:space="preserve">Tom Hickey</t>
  </si>
  <si>
    <t xml:space="preserve">Tom McCartin</t>
  </si>
  <si>
    <t xml:space="preserve">Tom Papley</t>
  </si>
  <si>
    <t xml:space="preserve">Will Hayward</t>
  </si>
  <si>
    <t xml:space="preserve">West Coast</t>
  </si>
  <si>
    <t xml:space="preserve">Alex Witherden</t>
  </si>
  <si>
    <t xml:space="preserve">Andrew Gaff</t>
  </si>
  <si>
    <t xml:space="preserve">Bailey Williams</t>
  </si>
  <si>
    <t xml:space="preserve">Brad Sheppard</t>
  </si>
  <si>
    <t xml:space="preserve">Brayden Ainsworth</t>
  </si>
  <si>
    <t xml:space="preserve">Brendon Ah Chee</t>
  </si>
  <si>
    <t xml:space="preserve">Connor West</t>
  </si>
  <si>
    <t xml:space="preserve">Dom Sheed</t>
  </si>
  <si>
    <t xml:space="preserve">Elliot Yeo</t>
  </si>
  <si>
    <t xml:space="preserve">Harry Edwards</t>
  </si>
  <si>
    <t xml:space="preserve">Isiah Winder</t>
  </si>
  <si>
    <t xml:space="preserve">Jack Darling</t>
  </si>
  <si>
    <t xml:space="preserve">Jack Petruccelle</t>
  </si>
  <si>
    <t xml:space="preserve">Jack Redden</t>
  </si>
  <si>
    <t xml:space="preserve">Jackson Nelson</t>
  </si>
  <si>
    <t xml:space="preserve">Jake Waterman</t>
  </si>
  <si>
    <t xml:space="preserve">Jamaine Jones</t>
  </si>
  <si>
    <t xml:space="preserve">Jamie Cripps</t>
  </si>
  <si>
    <t xml:space="preserve">Jarrod Brander</t>
  </si>
  <si>
    <t xml:space="preserve">Jeremy McGovern</t>
  </si>
  <si>
    <t xml:space="preserve">Josh Rotham</t>
  </si>
  <si>
    <t xml:space="preserve">Liam Duggan</t>
  </si>
  <si>
    <t xml:space="preserve">Liam Ryan</t>
  </si>
  <si>
    <t xml:space="preserve">Luke Edwards</t>
  </si>
  <si>
    <t xml:space="preserve">Luke Foley</t>
  </si>
  <si>
    <t xml:space="preserve">Luke Shuey</t>
  </si>
  <si>
    <t xml:space="preserve">Mark Hutchings</t>
  </si>
  <si>
    <t xml:space="preserve">Nathan Vardy</t>
  </si>
  <si>
    <t xml:space="preserve">Nic Naitanui</t>
  </si>
  <si>
    <t xml:space="preserve">Oscar Allen</t>
  </si>
  <si>
    <t xml:space="preserve">Shannon Hurn</t>
  </si>
  <si>
    <t xml:space="preserve">Tim Kelly</t>
  </si>
  <si>
    <t xml:space="preserve">Tom Barrass</t>
  </si>
  <si>
    <t xml:space="preserve">Tom Cole</t>
  </si>
  <si>
    <t xml:space="preserve">Xavier ONeill</t>
  </si>
  <si>
    <t xml:space="preserve">Zac Langdon</t>
  </si>
  <si>
    <t xml:space="preserve">Western Bulldogs</t>
  </si>
  <si>
    <t xml:space="preserve">Aaron Naughton</t>
  </si>
  <si>
    <t xml:space="preserve">Adam Treloar</t>
  </si>
  <si>
    <t xml:space="preserve">Alex Keath</t>
  </si>
  <si>
    <t xml:space="preserve">Anthony Scott</t>
  </si>
  <si>
    <t xml:space="preserve">Bailey Dale</t>
  </si>
  <si>
    <t xml:space="preserve">Bailey Smith</t>
  </si>
  <si>
    <t xml:space="preserve">Ben Cavarra</t>
  </si>
  <si>
    <t xml:space="preserve">Buku Khamis</t>
  </si>
  <si>
    <t xml:space="preserve">Caleb Daniel</t>
  </si>
  <si>
    <t xml:space="preserve">Cody Weightman</t>
  </si>
  <si>
    <t xml:space="preserve">Easton Wood</t>
  </si>
  <si>
    <t xml:space="preserve">Ed Richards</t>
  </si>
  <si>
    <t xml:space="preserve">Hayden Crozier</t>
  </si>
  <si>
    <t xml:space="preserve">Jack Macrae</t>
  </si>
  <si>
    <t xml:space="preserve">Jamarra Ugle-Hagan</t>
  </si>
  <si>
    <t xml:space="preserve">Jason Johannisen</t>
  </si>
  <si>
    <t xml:space="preserve">Jordon Sweet</t>
  </si>
  <si>
    <t xml:space="preserve">Josh Bruce</t>
  </si>
  <si>
    <t xml:space="preserve">Josh Dunkley</t>
  </si>
  <si>
    <t xml:space="preserve">Josh Schache</t>
  </si>
  <si>
    <t xml:space="preserve">Lachie Hunter</t>
  </si>
  <si>
    <t xml:space="preserve">Lachlan McNeil</t>
  </si>
  <si>
    <t xml:space="preserve">Laitham Vandermeer</t>
  </si>
  <si>
    <t xml:space="preserve">Lewis Young</t>
  </si>
  <si>
    <t xml:space="preserve">Lin Jong</t>
  </si>
  <si>
    <t xml:space="preserve">Louis Butler</t>
  </si>
  <si>
    <t xml:space="preserve">Marcus Bontempelli</t>
  </si>
  <si>
    <t xml:space="preserve">Mitch Hannan</t>
  </si>
  <si>
    <t xml:space="preserve">Mitch Wallis</t>
  </si>
  <si>
    <t xml:space="preserve">Patrick Lipinski</t>
  </si>
  <si>
    <t xml:space="preserve">Rhylee West</t>
  </si>
  <si>
    <t xml:space="preserve">Riley Garcia</t>
  </si>
  <si>
    <t xml:space="preserve">Roarke Smith</t>
  </si>
  <si>
    <t xml:space="preserve">Ryan Gardner</t>
  </si>
  <si>
    <t xml:space="preserve">Stefan Martin</t>
  </si>
  <si>
    <t xml:space="preserve">Taylor Duryea</t>
  </si>
  <si>
    <t xml:space="preserve">Tim English</t>
  </si>
  <si>
    <t xml:space="preserve">Toby McLean</t>
  </si>
  <si>
    <t xml:space="preserve">Tom Liberatore</t>
  </si>
  <si>
    <t xml:space="preserve">Zaine Cordy</t>
  </si>
  <si>
    <t xml:space="preserve">Jake Soligo</t>
  </si>
  <si>
    <t xml:space="preserve">Josh Rachele</t>
  </si>
  <si>
    <t xml:space="preserve">Matt Crouch</t>
  </si>
  <si>
    <t xml:space="preserve">Patrick Parnell</t>
  </si>
  <si>
    <t xml:space="preserve">Wayne Milera</t>
  </si>
  <si>
    <t xml:space="preserve">Cam Rayner</t>
  </si>
  <si>
    <t xml:space="preserve">Carter Michael</t>
  </si>
  <si>
    <t xml:space="preserve">Darcy Fort</t>
  </si>
  <si>
    <t xml:space="preserve">Darcy Wilmot</t>
  </si>
  <si>
    <t xml:space="preserve">James Tunstill</t>
  </si>
  <si>
    <t xml:space="preserve">Kai Lohmann</t>
  </si>
  <si>
    <t xml:space="preserve">Noah Answerth</t>
  </si>
  <si>
    <t xml:space="preserve">Caleb Marchbank</t>
  </si>
  <si>
    <t xml:space="preserve">Jack Carroll</t>
  </si>
  <si>
    <t xml:space="preserve">Jesse Motlop</t>
  </si>
  <si>
    <t xml:space="preserve">Jordan Boyd</t>
  </si>
  <si>
    <t xml:space="preserve">Sam Durdin</t>
  </si>
  <si>
    <t xml:space="preserve">Will Hayes</t>
  </si>
  <si>
    <t xml:space="preserve">Aiden Begg</t>
  </si>
  <si>
    <t xml:space="preserve">Ash Johnson</t>
  </si>
  <si>
    <t xml:space="preserve">Isaac Chugg</t>
  </si>
  <si>
    <t xml:space="preserve">Josh Carmichael</t>
  </si>
  <si>
    <t xml:space="preserve">Nick Daicos</t>
  </si>
  <si>
    <t xml:space="preserve">Reef McInnes</t>
  </si>
  <si>
    <t xml:space="preserve">Alastair Lord</t>
  </si>
  <si>
    <t xml:space="preserve">Ben Hobbs</t>
  </si>
  <si>
    <t xml:space="preserve">Jye Menzie</t>
  </si>
  <si>
    <t xml:space="preserve">Kaine Baldwin</t>
  </si>
  <si>
    <t xml:space="preserve">Massimo DAmbrosio</t>
  </si>
  <si>
    <t xml:space="preserve">Michael Hurley</t>
  </si>
  <si>
    <t xml:space="preserve">Nic Martin</t>
  </si>
  <si>
    <t xml:space="preserve">Tex Wanganeen</t>
  </si>
  <si>
    <t xml:space="preserve">Jye Amiss</t>
  </si>
  <si>
    <t xml:space="preserve">Nathan ODriscoll</t>
  </si>
  <si>
    <t xml:space="preserve">Neil Erasmus</t>
  </si>
  <si>
    <t xml:space="preserve">Braydon Preuss</t>
  </si>
  <si>
    <t xml:space="preserve">Cooper Hamilton</t>
  </si>
  <si>
    <t xml:space="preserve">Finn Callaghan</t>
  </si>
  <si>
    <t xml:space="preserve">Jacob Wehr</t>
  </si>
  <si>
    <t xml:space="preserve">Leek Aleer</t>
  </si>
  <si>
    <t xml:space="preserve">Ryan Angwin</t>
  </si>
  <si>
    <t xml:space="preserve">Cooper Stephens</t>
  </si>
  <si>
    <t xml:space="preserve">Mitch Knevitt</t>
  </si>
  <si>
    <t xml:space="preserve">Oliver Dempsey</t>
  </si>
  <si>
    <t xml:space="preserve">Shannon Neale</t>
  </si>
  <si>
    <t xml:space="preserve">Tyson Stengle</t>
  </si>
  <si>
    <t xml:space="preserve">Elijah Hollands</t>
  </si>
  <si>
    <t xml:space="preserve">Heber Quinton</t>
  </si>
  <si>
    <t xml:space="preserve">James Tsitas</t>
  </si>
  <si>
    <t xml:space="preserve">Mac Andrew</t>
  </si>
  <si>
    <t xml:space="preserve">Rory Thompson</t>
  </si>
  <si>
    <t xml:space="preserve">Connor Macdonald</t>
  </si>
  <si>
    <t xml:space="preserve">Jack Saunders</t>
  </si>
  <si>
    <t xml:space="preserve">Jackson Callow</t>
  </si>
  <si>
    <t xml:space="preserve">Jai Serong</t>
  </si>
  <si>
    <t xml:space="preserve">James Blanck</t>
  </si>
  <si>
    <t xml:space="preserve">James Sicily</t>
  </si>
  <si>
    <t xml:space="preserve">Josh Ward</t>
  </si>
  <si>
    <t xml:space="preserve">Ned Long</t>
  </si>
  <si>
    <t xml:space="preserve">Sam Butler</t>
  </si>
  <si>
    <t xml:space="preserve">Daniel Turner</t>
  </si>
  <si>
    <t xml:space="preserve">Toby Bedford</t>
  </si>
  <si>
    <t xml:space="preserve">Flynn Perez</t>
  </si>
  <si>
    <t xml:space="preserve">Jackson Archer</t>
  </si>
  <si>
    <t xml:space="preserve">Jason Horne-Francis</t>
  </si>
  <si>
    <t xml:space="preserve">Josh Goater</t>
  </si>
  <si>
    <t xml:space="preserve">Kallan Dawson</t>
  </si>
  <si>
    <t xml:space="preserve">Miller Bergman</t>
  </si>
  <si>
    <t xml:space="preserve">Paul Curtis</t>
  </si>
  <si>
    <t xml:space="preserve">Brynn Teakle</t>
  </si>
  <si>
    <t xml:space="preserve">Jackson Mead</t>
  </si>
  <si>
    <t xml:space="preserve">Jase Burgoyne</t>
  </si>
  <si>
    <t xml:space="preserve">Josh Sinn</t>
  </si>
  <si>
    <t xml:space="preserve">Sam Hayes</t>
  </si>
  <si>
    <t xml:space="preserve">Sam Skinner</t>
  </si>
  <si>
    <t xml:space="preserve">Bigoa Nyuon</t>
  </si>
  <si>
    <t xml:space="preserve">Ivan Soldo</t>
  </si>
  <si>
    <t xml:space="preserve">Josh Gibcus</t>
  </si>
  <si>
    <t xml:space="preserve">Judson Clarke</t>
  </si>
  <si>
    <t xml:space="preserve">Noah Cumberland</t>
  </si>
  <si>
    <t xml:space="preserve">Tyler Sonsie</t>
  </si>
  <si>
    <t xml:space="preserve">Ben Paton</t>
  </si>
  <si>
    <t xml:space="preserve">Jack Hayes</t>
  </si>
  <si>
    <t xml:space="preserve">Marcus Windhager</t>
  </si>
  <si>
    <t xml:space="preserve">Mitch Owens</t>
  </si>
  <si>
    <t xml:space="preserve">Nasiah Wanganeen-Milera</t>
  </si>
  <si>
    <t xml:space="preserve">Angus Sheldrick</t>
  </si>
  <si>
    <t xml:space="preserve">Matt Roberts</t>
  </si>
  <si>
    <t xml:space="preserve">Paddy McCartin</t>
  </si>
  <si>
    <t xml:space="preserve">Aaron Black</t>
  </si>
  <si>
    <t xml:space="preserve">Angus Litherland</t>
  </si>
  <si>
    <t xml:space="preserve">Brady Hough</t>
  </si>
  <si>
    <t xml:space="preserve">Callum Jamieson</t>
  </si>
  <si>
    <t xml:space="preserve">Declan Mountford</t>
  </si>
  <si>
    <t xml:space="preserve">Greg Clark</t>
  </si>
  <si>
    <t xml:space="preserve">Hugh Dixon</t>
  </si>
  <si>
    <t xml:space="preserve">Jack Williams</t>
  </si>
  <si>
    <t xml:space="preserve">Jai Culley</t>
  </si>
  <si>
    <t xml:space="preserve">Jake Florenca</t>
  </si>
  <si>
    <t xml:space="preserve">Luke Strnadica</t>
  </si>
  <si>
    <t xml:space="preserve">Rhett Bazzo</t>
  </si>
  <si>
    <t xml:space="preserve">Willie Rioli</t>
  </si>
  <si>
    <t xml:space="preserve">Zane Trew</t>
  </si>
  <si>
    <t xml:space="preserve">Dominic Bedendo</t>
  </si>
  <si>
    <t xml:space="preserve">Luke Cleary</t>
  </si>
  <si>
    <t xml:space="preserve">Robbie McComb</t>
  </si>
  <si>
    <t xml:space="preserve">Sam Darcy</t>
  </si>
  <si>
    <t xml:space="preserve">James Borlase</t>
  </si>
  <si>
    <t xml:space="preserve">Luke Nankervis</t>
  </si>
  <si>
    <t xml:space="preserve">Max Michalanney</t>
  </si>
  <si>
    <t xml:space="preserve">Conor McKenna</t>
  </si>
  <si>
    <t xml:space="preserve">Jaspa Fletcher</t>
  </si>
  <si>
    <t xml:space="preserve">Will Ashcroft</t>
  </si>
  <si>
    <t xml:space="preserve">Alex Cincotta</t>
  </si>
  <si>
    <t xml:space="preserve">Lachlan Cowan</t>
  </si>
  <si>
    <t xml:space="preserve">Oliver Hollands</t>
  </si>
  <si>
    <t xml:space="preserve">Harvey Harrison</t>
  </si>
  <si>
    <t xml:space="preserve">Jakob Ryan</t>
  </si>
  <si>
    <t xml:space="preserve">Alwyn Davey</t>
  </si>
  <si>
    <t xml:space="preserve">Elijah Tsatas</t>
  </si>
  <si>
    <t xml:space="preserve">Corey Wagner</t>
  </si>
  <si>
    <t xml:space="preserve">Ethan Stanley</t>
  </si>
  <si>
    <t xml:space="preserve">Karl Worner</t>
  </si>
  <si>
    <t xml:space="preserve">Matthew Johnson</t>
  </si>
  <si>
    <t xml:space="preserve">Tom Emmett</t>
  </si>
  <si>
    <t xml:space="preserve">Aaron Cadman</t>
  </si>
  <si>
    <t xml:space="preserve">Cameron Fleeton</t>
  </si>
  <si>
    <t xml:space="preserve">Harry Rowston</t>
  </si>
  <si>
    <t xml:space="preserve">Josh Fahey</t>
  </si>
  <si>
    <t xml:space="preserve">Toby McMullin</t>
  </si>
  <si>
    <t xml:space="preserve">Cooper Whyte</t>
  </si>
  <si>
    <t xml:space="preserve">Jhye Clark</t>
  </si>
  <si>
    <t xml:space="preserve">Oisin Mullin</t>
  </si>
  <si>
    <t xml:space="preserve">Ted Clohesy</t>
  </si>
  <si>
    <t xml:space="preserve">Toby Conway</t>
  </si>
  <si>
    <t xml:space="preserve">Bailey Humphrey</t>
  </si>
  <si>
    <t xml:space="preserve">Bodhi Uwland</t>
  </si>
  <si>
    <t xml:space="preserve">Hewago Oea</t>
  </si>
  <si>
    <t xml:space="preserve">Lloyd Johnston</t>
  </si>
  <si>
    <t xml:space="preserve">Ned Moyle</t>
  </si>
  <si>
    <t xml:space="preserve">Bailey Macdonald</t>
  </si>
  <si>
    <t xml:space="preserve">Brandon Ryan</t>
  </si>
  <si>
    <t xml:space="preserve">Cam Mackenzie</t>
  </si>
  <si>
    <t xml:space="preserve">Fergus Greene</t>
  </si>
  <si>
    <t xml:space="preserve">Henry Hustwaite</t>
  </si>
  <si>
    <t xml:space="preserve">Josh Weddle</t>
  </si>
  <si>
    <t xml:space="preserve">Max Ramsden</t>
  </si>
  <si>
    <t xml:space="preserve">Seamus Mitchell</t>
  </si>
  <si>
    <t xml:space="preserve">Bailey Laurie</t>
  </si>
  <si>
    <t xml:space="preserve">Jacob van Rooyen</t>
  </si>
  <si>
    <t xml:space="preserve">Judd McVee</t>
  </si>
  <si>
    <t xml:space="preserve">Taj Woewodin</t>
  </si>
  <si>
    <t xml:space="preserve">Blake Drury</t>
  </si>
  <si>
    <t xml:space="preserve">Cooper Harvey</t>
  </si>
  <si>
    <t xml:space="preserve">George Wardlaw</t>
  </si>
  <si>
    <t xml:space="preserve">Harry Sheezel</t>
  </si>
  <si>
    <t xml:space="preserve">Robert Hansen</t>
  </si>
  <si>
    <t xml:space="preserve">Dante Visentini</t>
  </si>
  <si>
    <t xml:space="preserve">Ollie Lord</t>
  </si>
  <si>
    <t xml:space="preserve">Jacob Bauer</t>
  </si>
  <si>
    <t xml:space="preserve">James Trezise</t>
  </si>
  <si>
    <t xml:space="preserve">Matthew Coulthard</t>
  </si>
  <si>
    <t xml:space="preserve">Sam Banks</t>
  </si>
  <si>
    <t xml:space="preserve">Tom Brown</t>
  </si>
  <si>
    <t xml:space="preserve">Tylar Young</t>
  </si>
  <si>
    <t xml:space="preserve">Anthony Caminiti</t>
  </si>
  <si>
    <t xml:space="preserve">Jack Peris</t>
  </si>
  <si>
    <t xml:space="preserve">Mattaes Phillipou</t>
  </si>
  <si>
    <t xml:space="preserve">Corey Warner</t>
  </si>
  <si>
    <t xml:space="preserve">Jack Buller</t>
  </si>
  <si>
    <t xml:space="preserve">Lachlan McAndrew</t>
  </si>
  <si>
    <t xml:space="preserve">Marc Sheather</t>
  </si>
  <si>
    <t xml:space="preserve">Will Gould</t>
  </si>
  <si>
    <t xml:space="preserve">Campbell Chesser</t>
  </si>
  <si>
    <t xml:space="preserve">Elijah Hewett</t>
  </si>
  <si>
    <t xml:space="preserve">Harry Barnett</t>
  </si>
  <si>
    <t xml:space="preserve">Noah Long</t>
  </si>
  <si>
    <t xml:space="preserve">Reuben Ginbey</t>
  </si>
  <si>
    <t xml:space="preserve">Ryan Maric</t>
  </si>
  <si>
    <t xml:space="preserve">Arthur Jones</t>
  </si>
  <si>
    <t xml:space="preserve">James ODonnell</t>
  </si>
  <si>
    <t xml:space="preserve">Basis</t>
  </si>
  <si>
    <t xml:space="preserve">List Worth ($M)</t>
  </si>
  <si>
    <t xml:space="preserve">Surplus ($M)</t>
  </si>
  <si>
    <t xml:space="preserve">Surplus (%)</t>
  </si>
  <si>
    <t xml:space="preserve">EW (helper)</t>
  </si>
  <si>
    <t xml:space="preserve">PV</t>
  </si>
  <si>
    <t xml:space="preserve">EW PROXY</t>
  </si>
  <si>
    <t xml:space="preserve">2023 SNAPSHOT, MIN 8 GAMES, post stress-test (career floor applied). Live table: Player Ledger.</t>
  </si>
  <si>
    <t xml:space="preserve">MOST UNDERPAID (PRODUCTION AHEAD OF REPUTATION)</t>
  </si>
  <si>
    <t xml:space="preserve">Career G</t>
  </si>
  <si>
    <t xml:space="preserve">Est Band ($K)</t>
  </si>
  <si>
    <t xml:space="preserve">Gap ($K)</t>
  </si>
  <si>
    <t xml:space="preserve">140 - 250</t>
  </si>
  <si>
    <t xml:space="preserve">500 - 680</t>
  </si>
  <si>
    <t xml:space="preserve">380 - 500</t>
  </si>
  <si>
    <t xml:space="preserve">250 - 380</t>
  </si>
  <si>
    <t xml:space="preserve">MOST OVERPAID (REPUTATION AHEAD OF PRODUCTION)</t>
  </si>
  <si>
    <t xml:space="preserve">950 - 1300</t>
  </si>
  <si>
    <t xml:space="preserve">1300 - 1700</t>
  </si>
  <si>
    <t xml:space="preserve">680 - 950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</si>
</sst>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0"/>
    <numFmt numFmtId="166" formatCode="0.0"/>
    <numFmt numFmtId="167" formatCode="0%"/>
    <numFmt numFmtId="168" formatCode="\$#,##0;&quot;($&quot;#,##0\)"/>
    <numFmt numFmtId="169" formatCode="0.00;\(0.00\)"/>
    <numFmt numFmtId="170" formatCode="0.0%;\(0.0%\)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B2A4A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00FF"/>
      <name val="Arial"/>
      <family val="0"/>
      <charset val="1"/>
    </font>
    <font>
      <i val="true"/>
      <sz val="9"/>
      <color rgb="FF666666"/>
      <name val="Arial"/>
      <family val="0"/>
      <charset val="1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1B2A4A"/>
        <bgColor rgb="FF003366"/>
      </patternFill>
    </fill>
    <fill>
      <patternFill patternType="solid">
        <fgColor rgb="FFFFFF00"/>
        <bgColor rgb="FFFFFF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CCCCCC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5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3">
    <dxf>
      <fill>
        <patternFill patternType="solid">
          <fgColor rgb="FF1B2A4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B2A4A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1.v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8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/>
    </row>
    <row r="3" customFormat="false" ht="35.05" hidden="false" customHeight="false" outlineLevel="0" collapsed="false">
      <c r="A3" s="3" t="s">
        <v>1</v>
      </c>
    </row>
    <row r="4" customFormat="false" ht="15" hidden="false" customHeight="false" outlineLevel="0" collapsed="false">
      <c r="A4" s="2"/>
    </row>
    <row r="5" customFormat="false" ht="15" hidden="false" customHeight="false" outlineLevel="0" collapsed="false">
      <c r="A5" s="3" t="s">
        <v>2</v>
      </c>
    </row>
    <row r="6" customFormat="false" ht="23.85" hidden="false" customHeight="false" outlineLevel="0" collapsed="false">
      <c r="A6" s="2" t="s">
        <v>3</v>
      </c>
    </row>
    <row r="7" customFormat="false" ht="23.85" hidden="false" customHeight="false" outlineLevel="0" collapsed="false">
      <c r="A7" s="2" t="s">
        <v>4</v>
      </c>
    </row>
    <row r="8" customFormat="false" ht="46.25" hidden="false" customHeight="false" outlineLevel="0" collapsed="false">
      <c r="A8" s="2" t="s">
        <v>5</v>
      </c>
    </row>
    <row r="9" customFormat="false" ht="46.25" hidden="false" customHeight="false" outlineLevel="0" collapsed="false">
      <c r="A9" s="2" t="s">
        <v>6</v>
      </c>
    </row>
    <row r="10" customFormat="false" ht="15" hidden="false" customHeight="false" outlineLevel="0" collapsed="false">
      <c r="A10" s="2" t="s">
        <v>7</v>
      </c>
    </row>
    <row r="11" customFormat="false" ht="15" hidden="false" customHeight="false" outlineLevel="0" collapsed="false">
      <c r="A11" s="2" t="s">
        <v>8</v>
      </c>
    </row>
    <row r="12" customFormat="false" ht="23.8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/>
    </row>
    <row r="16" customFormat="false" ht="23.85" hidden="false" customHeight="false" outlineLevel="0" collapsed="false">
      <c r="A16" s="3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12"/>
    <col collapsed="false" customWidth="true" hidden="false" outlineLevel="0" max="3" min="3" style="0" width="22"/>
    <col collapsed="false" customWidth="true" hidden="false" outlineLevel="0" max="4" min="4" style="0" width="20"/>
  </cols>
  <sheetData>
    <row r="1" customFormat="false" ht="17.35" hidden="false" customHeight="false" outlineLevel="0" collapsed="false">
      <c r="A1" s="1" t="s">
        <v>12</v>
      </c>
    </row>
    <row r="3" customFormat="false" ht="15" hidden="false" customHeight="false" outlineLevel="0" collapsed="false">
      <c r="A3" s="4" t="s">
        <v>13</v>
      </c>
      <c r="B3" s="4" t="s">
        <v>14</v>
      </c>
      <c r="C3" s="4" t="s">
        <v>15</v>
      </c>
      <c r="D3" s="4" t="s">
        <v>16</v>
      </c>
    </row>
    <row r="4" customFormat="false" ht="15" hidden="false" customHeight="false" outlineLevel="0" collapsed="false">
      <c r="A4" s="5" t="s">
        <v>17</v>
      </c>
      <c r="B4" s="6" t="n">
        <v>13</v>
      </c>
      <c r="C4" s="5" t="n">
        <f aca="false">SUMIFS('Player Ledger'!$E:$E,'Player Ledger'!$A:$A,2021)</f>
        <v>1804.74</v>
      </c>
      <c r="D4" s="7" t="n">
        <f aca="false">18*B4*1000/C4</f>
        <v>129.658565776788</v>
      </c>
    </row>
    <row r="5" customFormat="false" ht="15" hidden="false" customHeight="false" outlineLevel="0" collapsed="false">
      <c r="A5" s="5" t="s">
        <v>18</v>
      </c>
      <c r="B5" s="8" t="n">
        <v>13.54</v>
      </c>
      <c r="C5" s="5" t="n">
        <f aca="false">SUMIFS('Player Ledger'!$E:$E,'Player Ledger'!$A:$A,2022)</f>
        <v>1809.32</v>
      </c>
      <c r="D5" s="7" t="n">
        <f aca="false">18*B5*1000/C5</f>
        <v>134.702540180841</v>
      </c>
    </row>
    <row r="6" customFormat="false" ht="15" hidden="false" customHeight="false" outlineLevel="0" collapsed="false">
      <c r="A6" s="5" t="s">
        <v>19</v>
      </c>
      <c r="B6" s="8" t="n">
        <v>15.02</v>
      </c>
      <c r="C6" s="5" t="n">
        <f aca="false">SUMIFS('Player Ledger'!$E:$E,'Player Ledger'!$A:$A,2023)</f>
        <v>1806.89</v>
      </c>
      <c r="D6" s="7" t="n">
        <f aca="false">18*B6*1000/C6</f>
        <v>149.627260098844</v>
      </c>
    </row>
    <row r="7" customFormat="false" ht="15" hidden="false" customHeight="false" outlineLevel="0" collapsed="false">
      <c r="A7" s="5" t="s">
        <v>20</v>
      </c>
      <c r="B7" s="8" t="n">
        <v>15.79</v>
      </c>
      <c r="C7" s="9" t="s">
        <v>21</v>
      </c>
    </row>
    <row r="8" customFormat="false" ht="15" hidden="false" customHeight="false" outlineLevel="0" collapsed="false">
      <c r="A8" s="5" t="s">
        <v>22</v>
      </c>
      <c r="B8" s="8" t="n">
        <v>17.8</v>
      </c>
      <c r="C8" s="9" t="s">
        <v>21</v>
      </c>
    </row>
    <row r="10" customFormat="false" ht="15" hidden="false" customHeight="false" outlineLevel="0" collapsed="false">
      <c r="A10" s="5" t="s">
        <v>23</v>
      </c>
      <c r="B10" s="10" t="n">
        <v>0.15</v>
      </c>
    </row>
    <row r="12" customFormat="false" ht="15" hidden="false" customHeight="false" outlineLevel="0" collapsed="false">
      <c r="A12" s="9" t="s">
        <v>24</v>
      </c>
    </row>
    <row r="13" customFormat="false" ht="15" hidden="false" customHeight="false" outlineLevel="0" collapsed="false">
      <c r="A13" s="11" t="n">
        <v>99.3</v>
      </c>
      <c r="B13" s="11" t="n">
        <v>1300</v>
      </c>
      <c r="C13" s="11" t="n">
        <v>1700</v>
      </c>
    </row>
    <row r="14" customFormat="false" ht="15" hidden="false" customHeight="false" outlineLevel="0" collapsed="false">
      <c r="A14" s="11" t="n">
        <v>96.7</v>
      </c>
      <c r="B14" s="11" t="n">
        <v>950</v>
      </c>
      <c r="C14" s="11" t="n">
        <v>1300</v>
      </c>
    </row>
    <row r="15" customFormat="false" ht="15" hidden="false" customHeight="false" outlineLevel="0" collapsed="false">
      <c r="A15" s="11" t="n">
        <v>88</v>
      </c>
      <c r="B15" s="11" t="n">
        <v>680</v>
      </c>
      <c r="C15" s="11" t="n">
        <v>950</v>
      </c>
    </row>
    <row r="16" customFormat="false" ht="15" hidden="false" customHeight="false" outlineLevel="0" collapsed="false">
      <c r="A16" s="11" t="n">
        <v>70</v>
      </c>
      <c r="B16" s="11" t="n">
        <v>500</v>
      </c>
      <c r="C16" s="11" t="n">
        <v>680</v>
      </c>
    </row>
    <row r="17" customFormat="false" ht="15" hidden="false" customHeight="false" outlineLevel="0" collapsed="false">
      <c r="A17" s="11" t="n">
        <v>47</v>
      </c>
      <c r="B17" s="11" t="n">
        <v>380</v>
      </c>
      <c r="C17" s="11" t="n">
        <v>500</v>
      </c>
    </row>
    <row r="18" customFormat="false" ht="15" hidden="false" customHeight="false" outlineLevel="0" collapsed="false">
      <c r="A18" s="11" t="n">
        <v>22</v>
      </c>
      <c r="B18" s="11" t="n">
        <v>250</v>
      </c>
      <c r="C18" s="11" t="n">
        <v>380</v>
      </c>
    </row>
    <row r="19" customFormat="false" ht="15" hidden="false" customHeight="false" outlineLevel="0" collapsed="false">
      <c r="A19" s="11" t="n">
        <v>0</v>
      </c>
      <c r="B19" s="11" t="n">
        <v>140</v>
      </c>
      <c r="C19" s="11" t="n">
        <v>250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0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7"/>
    <col collapsed="false" customWidth="true" hidden="false" outlineLevel="0" max="3" min="3" style="0" width="24"/>
    <col collapsed="false" customWidth="true" hidden="false" outlineLevel="0" max="4" min="4" style="0" width="8"/>
    <col collapsed="false" customWidth="true" hidden="false" outlineLevel="0" max="5" min="5" style="0" width="14"/>
    <col collapsed="false" customWidth="true" hidden="false" outlineLevel="0" max="8" min="6" style="0" width="13"/>
    <col collapsed="false" customWidth="true" hidden="false" outlineLevel="0" max="9" min="9" style="0" width="15"/>
    <col collapsed="false" customWidth="true" hidden="false" outlineLevel="0" max="10" min="10" style="0" width="14"/>
    <col collapsed="false" customWidth="true" hidden="false" outlineLevel="0" max="11" min="11" style="0" width="12"/>
  </cols>
  <sheetData>
    <row r="1" customFormat="false" ht="46.25" hidden="false" customHeight="false" outlineLevel="0" collapsed="false">
      <c r="A1" s="12" t="s">
        <v>13</v>
      </c>
      <c r="B1" s="12" t="s">
        <v>25</v>
      </c>
      <c r="C1" s="12" t="s">
        <v>26</v>
      </c>
      <c r="D1" s="12" t="s">
        <v>27</v>
      </c>
      <c r="E1" s="12" t="s">
        <v>28</v>
      </c>
      <c r="F1" s="12" t="s">
        <v>29</v>
      </c>
      <c r="G1" s="12" t="s">
        <v>30</v>
      </c>
      <c r="H1" s="12" t="s">
        <v>31</v>
      </c>
      <c r="I1" s="12" t="s">
        <v>32</v>
      </c>
      <c r="J1" s="12" t="s">
        <v>33</v>
      </c>
      <c r="K1" s="12" t="s">
        <v>34</v>
      </c>
    </row>
    <row r="2" customFormat="false" ht="15" hidden="false" customHeight="false" outlineLevel="0" collapsed="false">
      <c r="A2" s="5" t="n">
        <v>2021</v>
      </c>
      <c r="B2" s="5" t="s">
        <v>35</v>
      </c>
      <c r="C2" s="5" t="s">
        <v>36</v>
      </c>
      <c r="D2" s="5" t="n">
        <v>18</v>
      </c>
      <c r="E2" s="13" t="n">
        <v>2.23</v>
      </c>
      <c r="F2" s="14" t="n">
        <f aca="false">E2*Assumptions!$D$4</f>
        <v>289.138601682237</v>
      </c>
      <c r="G2" s="14" t="n">
        <v>120</v>
      </c>
      <c r="H2" s="14" t="n">
        <v>215</v>
      </c>
      <c r="I2" s="14" t="n">
        <f aca="false">F2-(G2+H2)/2</f>
        <v>121.638601682237</v>
      </c>
      <c r="J2" s="5" t="str">
        <f aca="false">IF(D2&lt;8,"LOW SAMPLE",IF(F2&gt;H2*(1+Assumptions!$B$10),"UNDERPAID",IF(F2&lt;G2*(1-Assumptions!$B$10),"OVERPAID","FAIR")))</f>
        <v>UNDERPAID</v>
      </c>
      <c r="K2" s="5" t="n">
        <v>9</v>
      </c>
    </row>
    <row r="3" customFormat="false" ht="15" hidden="false" customHeight="false" outlineLevel="0" collapsed="false">
      <c r="A3" s="5" t="n">
        <v>2021</v>
      </c>
      <c r="B3" s="5" t="s">
        <v>35</v>
      </c>
      <c r="C3" s="5" t="s">
        <v>37</v>
      </c>
      <c r="D3" s="5" t="n">
        <v>4</v>
      </c>
      <c r="E3" s="13" t="n">
        <v>0.21</v>
      </c>
      <c r="F3" s="14" t="n">
        <f aca="false">E3*Assumptions!$D$4</f>
        <v>27.2282988131254</v>
      </c>
      <c r="G3" s="14" t="n">
        <v>120</v>
      </c>
      <c r="H3" s="14" t="n">
        <v>215</v>
      </c>
      <c r="I3" s="14" t="n">
        <f aca="false">F3-(G3+H3)/2</f>
        <v>-140.271701186875</v>
      </c>
      <c r="J3" s="5" t="str">
        <f aca="false">IF(D3&lt;8,"LOW SAMPLE",IF(F3&gt;H3*(1+Assumptions!$B$10),"UNDERPAID",IF(F3&lt;G3*(1-Assumptions!$B$10),"OVERPAID","FAIR")))</f>
        <v>LOW SAMPLE</v>
      </c>
      <c r="K3" s="5" t="n">
        <v>2</v>
      </c>
    </row>
    <row r="4" customFormat="false" ht="15" hidden="false" customHeight="false" outlineLevel="0" collapsed="false">
      <c r="A4" s="5" t="n">
        <v>2021</v>
      </c>
      <c r="B4" s="5" t="s">
        <v>35</v>
      </c>
      <c r="C4" s="5" t="s">
        <v>38</v>
      </c>
      <c r="D4" s="5" t="n">
        <v>22</v>
      </c>
      <c r="E4" s="13" t="n">
        <v>6.76</v>
      </c>
      <c r="F4" s="14" t="n">
        <f aca="false">E4*Assumptions!$D$4</f>
        <v>876.491904651085</v>
      </c>
      <c r="G4" s="14" t="n">
        <v>215</v>
      </c>
      <c r="H4" s="14" t="n">
        <v>330</v>
      </c>
      <c r="I4" s="14" t="n">
        <f aca="false">F4-(G4+H4)/2</f>
        <v>603.991904651085</v>
      </c>
      <c r="J4" s="5" t="str">
        <f aca="false">IF(D4&lt;8,"LOW SAMPLE",IF(F4&gt;H4*(1+Assumptions!$B$10),"UNDERPAID",IF(F4&lt;G4*(1-Assumptions!$B$10),"OVERPAID","FAIR")))</f>
        <v>UNDERPAID</v>
      </c>
      <c r="K4" s="5" t="n">
        <v>46</v>
      </c>
    </row>
    <row r="5" customFormat="false" ht="15" hidden="false" customHeight="false" outlineLevel="0" collapsed="false">
      <c r="A5" s="5" t="n">
        <v>2021</v>
      </c>
      <c r="B5" s="5" t="s">
        <v>35</v>
      </c>
      <c r="C5" s="5" t="s">
        <v>39</v>
      </c>
      <c r="D5" s="5" t="n">
        <v>10</v>
      </c>
      <c r="E5" s="13" t="n">
        <v>1.46</v>
      </c>
      <c r="F5" s="14" t="n">
        <f aca="false">E5*Assumptions!$D$4</f>
        <v>189.30150603411</v>
      </c>
      <c r="G5" s="14" t="n">
        <v>120</v>
      </c>
      <c r="H5" s="14" t="n">
        <v>215</v>
      </c>
      <c r="I5" s="14" t="n">
        <f aca="false">F5-(G5+H5)/2</f>
        <v>21.8015060341102</v>
      </c>
      <c r="J5" s="5" t="str">
        <f aca="false">IF(D5&lt;8,"LOW SAMPLE",IF(F5&gt;H5*(1+Assumptions!$B$10),"UNDERPAID",IF(F5&lt;G5*(1-Assumptions!$B$10),"OVERPAID","FAIR")))</f>
        <v>FAIR</v>
      </c>
      <c r="K5" s="5" t="n">
        <v>8</v>
      </c>
    </row>
    <row r="6" customFormat="false" ht="15" hidden="false" customHeight="false" outlineLevel="0" collapsed="false">
      <c r="A6" s="5" t="n">
        <v>2021</v>
      </c>
      <c r="B6" s="5" t="s">
        <v>35</v>
      </c>
      <c r="C6" s="5" t="s">
        <v>40</v>
      </c>
      <c r="D6" s="5" t="n">
        <v>3</v>
      </c>
      <c r="E6" s="13" t="n">
        <v>0.21</v>
      </c>
      <c r="F6" s="14" t="n">
        <f aca="false">E6*Assumptions!$D$4</f>
        <v>27.2282988131254</v>
      </c>
      <c r="G6" s="14" t="n">
        <v>215</v>
      </c>
      <c r="H6" s="14" t="n">
        <v>330</v>
      </c>
      <c r="I6" s="14" t="n">
        <f aca="false">F6-(G6+H6)/2</f>
        <v>-245.271701186875</v>
      </c>
      <c r="J6" s="5" t="str">
        <f aca="false">IF(D6&lt;8,"LOW SAMPLE",IF(F6&gt;H6*(1+Assumptions!$B$10),"UNDERPAID",IF(F6&lt;G6*(1-Assumptions!$B$10),"OVERPAID","FAIR")))</f>
        <v>LOW SAMPLE</v>
      </c>
      <c r="K6" s="5" t="n">
        <v>0</v>
      </c>
    </row>
    <row r="7" customFormat="false" ht="15" hidden="false" customHeight="false" outlineLevel="0" collapsed="false">
      <c r="A7" s="5" t="n">
        <v>2021</v>
      </c>
      <c r="B7" s="5" t="s">
        <v>35</v>
      </c>
      <c r="C7" s="5" t="s">
        <v>41</v>
      </c>
      <c r="D7" s="5" t="n">
        <v>21</v>
      </c>
      <c r="E7" s="13" t="n">
        <v>4.96</v>
      </c>
      <c r="F7" s="14" t="n">
        <f aca="false">E7*Assumptions!$D$4</f>
        <v>643.106486252867</v>
      </c>
      <c r="G7" s="14" t="n">
        <v>435</v>
      </c>
      <c r="H7" s="14" t="n">
        <v>590</v>
      </c>
      <c r="I7" s="14" t="n">
        <f aca="false">F7-(G7+H7)/2</f>
        <v>130.606486252867</v>
      </c>
      <c r="J7" s="5" t="str">
        <f aca="false">IF(D7&lt;8,"LOW SAMPLE",IF(F7&gt;H7*(1+Assumptions!$B$10),"UNDERPAID",IF(F7&lt;G7*(1-Assumptions!$B$10),"OVERPAID","FAIR")))</f>
        <v>FAIR</v>
      </c>
      <c r="K7" s="5" t="n">
        <v>107</v>
      </c>
    </row>
    <row r="8" customFormat="false" ht="15" hidden="false" customHeight="false" outlineLevel="0" collapsed="false">
      <c r="A8" s="5" t="n">
        <v>2021</v>
      </c>
      <c r="B8" s="5" t="s">
        <v>35</v>
      </c>
      <c r="C8" s="5" t="s">
        <v>42</v>
      </c>
      <c r="D8" s="5" t="n">
        <v>15</v>
      </c>
      <c r="E8" s="13" t="n">
        <v>1.78</v>
      </c>
      <c r="F8" s="14" t="n">
        <f aca="false">E8*Assumptions!$D$4</f>
        <v>230.792247082682</v>
      </c>
      <c r="G8" s="14" t="n">
        <v>215</v>
      </c>
      <c r="H8" s="14" t="n">
        <v>330</v>
      </c>
      <c r="I8" s="14" t="n">
        <f aca="false">F8-(G8+H8)/2</f>
        <v>-41.7077529173178</v>
      </c>
      <c r="J8" s="5" t="str">
        <f aca="false">IF(D8&lt;8,"LOW SAMPLE",IF(F8&gt;H8*(1+Assumptions!$B$10),"UNDERPAID",IF(F8&lt;G8*(1-Assumptions!$B$10),"OVERPAID","FAIR")))</f>
        <v>FAIR</v>
      </c>
      <c r="K8" s="5" t="n">
        <v>23</v>
      </c>
    </row>
    <row r="9" customFormat="false" ht="15" hidden="false" customHeight="false" outlineLevel="0" collapsed="false">
      <c r="A9" s="5" t="n">
        <v>2021</v>
      </c>
      <c r="B9" s="5" t="s">
        <v>35</v>
      </c>
      <c r="C9" s="5" t="s">
        <v>43</v>
      </c>
      <c r="D9" s="5" t="n">
        <v>17</v>
      </c>
      <c r="E9" s="13" t="n">
        <v>3.04</v>
      </c>
      <c r="F9" s="14" t="n">
        <f aca="false">E9*Assumptions!$D$4</f>
        <v>394.162039961435</v>
      </c>
      <c r="G9" s="14" t="n">
        <v>215</v>
      </c>
      <c r="H9" s="14" t="n">
        <v>330</v>
      </c>
      <c r="I9" s="14" t="n">
        <f aca="false">F9-(G9+H9)/2</f>
        <v>121.662039961435</v>
      </c>
      <c r="J9" s="5" t="str">
        <f aca="false">IF(D9&lt;8,"LOW SAMPLE",IF(F9&gt;H9*(1+Assumptions!$B$10),"UNDERPAID",IF(F9&lt;G9*(1-Assumptions!$B$10),"OVERPAID","FAIR")))</f>
        <v>UNDERPAID</v>
      </c>
      <c r="K9" s="5" t="n">
        <v>24</v>
      </c>
    </row>
    <row r="10" customFormat="false" ht="15" hidden="false" customHeight="false" outlineLevel="0" collapsed="false">
      <c r="A10" s="5" t="n">
        <v>2021</v>
      </c>
      <c r="B10" s="5" t="s">
        <v>35</v>
      </c>
      <c r="C10" s="5" t="s">
        <v>44</v>
      </c>
      <c r="D10" s="5" t="n">
        <v>18</v>
      </c>
      <c r="E10" s="13" t="n">
        <v>2.37</v>
      </c>
      <c r="F10" s="14" t="n">
        <f aca="false">E10*Assumptions!$D$4</f>
        <v>307.290800890987</v>
      </c>
      <c r="G10" s="14" t="n">
        <v>330</v>
      </c>
      <c r="H10" s="14" t="n">
        <v>435</v>
      </c>
      <c r="I10" s="14" t="n">
        <f aca="false">F10-(G10+H10)/2</f>
        <v>-75.209199109013</v>
      </c>
      <c r="J10" s="5" t="str">
        <f aca="false">IF(D10&lt;8,"LOW SAMPLE",IF(F10&gt;H10*(1+Assumptions!$B$10),"UNDERPAID",IF(F10&lt;G10*(1-Assumptions!$B$10),"OVERPAID","FAIR")))</f>
        <v>FAIR</v>
      </c>
      <c r="K10" s="5" t="n">
        <v>106</v>
      </c>
    </row>
    <row r="11" customFormat="false" ht="15" hidden="false" customHeight="false" outlineLevel="0" collapsed="false">
      <c r="A11" s="5" t="n">
        <v>2021</v>
      </c>
      <c r="B11" s="5" t="s">
        <v>35</v>
      </c>
      <c r="C11" s="5" t="s">
        <v>45</v>
      </c>
      <c r="D11" s="5" t="n">
        <v>8</v>
      </c>
      <c r="E11" s="13" t="n">
        <v>1.45</v>
      </c>
      <c r="F11" s="14" t="n">
        <f aca="false">E11*Assumptions!$D$4</f>
        <v>188.004920376342</v>
      </c>
      <c r="G11" s="14" t="n">
        <v>215</v>
      </c>
      <c r="H11" s="14" t="n">
        <v>330</v>
      </c>
      <c r="I11" s="14" t="n">
        <f aca="false">F11-(G11+H11)/2</f>
        <v>-84.4950796236577</v>
      </c>
      <c r="J11" s="5" t="str">
        <f aca="false">IF(D11&lt;8,"LOW SAMPLE",IF(F11&gt;H11*(1+Assumptions!$B$10),"UNDERPAID",IF(F11&lt;G11*(1-Assumptions!$B$10),"OVERPAID","FAIR")))</f>
        <v>FAIR</v>
      </c>
      <c r="K11" s="5" t="n">
        <v>19</v>
      </c>
    </row>
    <row r="12" customFormat="false" ht="15" hidden="false" customHeight="false" outlineLevel="0" collapsed="false">
      <c r="A12" s="5" t="n">
        <v>2021</v>
      </c>
      <c r="B12" s="5" t="s">
        <v>35</v>
      </c>
      <c r="C12" s="5" t="s">
        <v>46</v>
      </c>
      <c r="D12" s="5" t="n">
        <v>22</v>
      </c>
      <c r="E12" s="13" t="n">
        <v>4.44</v>
      </c>
      <c r="F12" s="14" t="n">
        <f aca="false">E12*Assumptions!$D$4</f>
        <v>575.684032048938</v>
      </c>
      <c r="G12" s="14" t="n">
        <v>120</v>
      </c>
      <c r="H12" s="14" t="n">
        <v>215</v>
      </c>
      <c r="I12" s="14" t="n">
        <f aca="false">F12-(G12+H12)/2</f>
        <v>408.184032048938</v>
      </c>
      <c r="J12" s="5" t="str">
        <f aca="false">IF(D12&lt;8,"LOW SAMPLE",IF(F12&gt;H12*(1+Assumptions!$B$10),"UNDERPAID",IF(F12&lt;G12*(1-Assumptions!$B$10),"OVERPAID","FAIR")))</f>
        <v>UNDERPAID</v>
      </c>
      <c r="K12" s="5" t="n">
        <v>8</v>
      </c>
    </row>
    <row r="13" customFormat="false" ht="15" hidden="false" customHeight="false" outlineLevel="0" collapsed="false">
      <c r="A13" s="5" t="n">
        <v>2021</v>
      </c>
      <c r="B13" s="5" t="s">
        <v>35</v>
      </c>
      <c r="C13" s="5" t="s">
        <v>47</v>
      </c>
      <c r="D13" s="5" t="n">
        <v>3</v>
      </c>
      <c r="E13" s="13" t="n">
        <v>0.31</v>
      </c>
      <c r="F13" s="14" t="n">
        <f aca="false">E13*Assumptions!$D$4</f>
        <v>40.1941553908042</v>
      </c>
      <c r="G13" s="14" t="n">
        <v>120</v>
      </c>
      <c r="H13" s="14" t="n">
        <v>215</v>
      </c>
      <c r="I13" s="14" t="n">
        <f aca="false">F13-(G13+H13)/2</f>
        <v>-127.305844609196</v>
      </c>
      <c r="J13" s="5" t="str">
        <f aca="false">IF(D13&lt;8,"LOW SAMPLE",IF(F13&gt;H13*(1+Assumptions!$B$10),"UNDERPAID",IF(F13&lt;G13*(1-Assumptions!$B$10),"OVERPAID","FAIR")))</f>
        <v>LOW SAMPLE</v>
      </c>
      <c r="K13" s="5" t="n">
        <v>13</v>
      </c>
    </row>
    <row r="14" customFormat="false" ht="15" hidden="false" customHeight="false" outlineLevel="0" collapsed="false">
      <c r="A14" s="5" t="n">
        <v>2021</v>
      </c>
      <c r="B14" s="5" t="s">
        <v>35</v>
      </c>
      <c r="C14" s="5" t="s">
        <v>48</v>
      </c>
      <c r="D14" s="5" t="n">
        <v>20</v>
      </c>
      <c r="E14" s="13" t="n">
        <v>3.02</v>
      </c>
      <c r="F14" s="14" t="n">
        <f aca="false">E14*Assumptions!$D$4</f>
        <v>391.568868645899</v>
      </c>
      <c r="G14" s="14" t="n">
        <v>330</v>
      </c>
      <c r="H14" s="14" t="n">
        <v>435</v>
      </c>
      <c r="I14" s="14" t="n">
        <f aca="false">F14-(G14+H14)/2</f>
        <v>9.0688686458991</v>
      </c>
      <c r="J14" s="5" t="str">
        <f aca="false">IF(D14&lt;8,"LOW SAMPLE",IF(F14&gt;H14*(1+Assumptions!$B$10),"UNDERPAID",IF(F14&lt;G14*(1-Assumptions!$B$10),"OVERPAID","FAIR")))</f>
        <v>FAIR</v>
      </c>
      <c r="K14" s="5" t="n">
        <v>90</v>
      </c>
    </row>
    <row r="15" customFormat="false" ht="15" hidden="false" customHeight="false" outlineLevel="0" collapsed="false">
      <c r="A15" s="5" t="n">
        <v>2021</v>
      </c>
      <c r="B15" s="5" t="s">
        <v>35</v>
      </c>
      <c r="C15" s="5" t="s">
        <v>49</v>
      </c>
      <c r="D15" s="5" t="n">
        <v>19</v>
      </c>
      <c r="E15" s="13" t="n">
        <v>2.38</v>
      </c>
      <c r="F15" s="14" t="n">
        <f aca="false">E15*Assumptions!$D$4</f>
        <v>308.587386548755</v>
      </c>
      <c r="G15" s="14" t="n">
        <v>215</v>
      </c>
      <c r="H15" s="14" t="n">
        <v>330</v>
      </c>
      <c r="I15" s="14" t="n">
        <f aca="false">F15-(G15+H15)/2</f>
        <v>36.0873865487549</v>
      </c>
      <c r="J15" s="5" t="str">
        <f aca="false">IF(D15&lt;8,"LOW SAMPLE",IF(F15&gt;H15*(1+Assumptions!$B$10),"UNDERPAID",IF(F15&lt;G15*(1-Assumptions!$B$10),"OVERPAID","FAIR")))</f>
        <v>FAIR</v>
      </c>
      <c r="K15" s="5" t="n">
        <v>0</v>
      </c>
    </row>
    <row r="16" customFormat="false" ht="15" hidden="false" customHeight="false" outlineLevel="0" collapsed="false">
      <c r="A16" s="5" t="n">
        <v>2021</v>
      </c>
      <c r="B16" s="5" t="s">
        <v>35</v>
      </c>
      <c r="C16" s="5" t="s">
        <v>50</v>
      </c>
      <c r="D16" s="5" t="n">
        <v>22</v>
      </c>
      <c r="E16" s="13" t="n">
        <v>3.33</v>
      </c>
      <c r="F16" s="14" t="n">
        <f aca="false">E16*Assumptions!$D$4</f>
        <v>431.763024036703</v>
      </c>
      <c r="G16" s="14" t="n">
        <v>120</v>
      </c>
      <c r="H16" s="14" t="n">
        <v>215</v>
      </c>
      <c r="I16" s="14" t="n">
        <f aca="false">F16-(G16+H16)/2</f>
        <v>264.263024036703</v>
      </c>
      <c r="J16" s="5" t="str">
        <f aca="false">IF(D16&lt;8,"LOW SAMPLE",IF(F16&gt;H16*(1+Assumptions!$B$10),"UNDERPAID",IF(F16&lt;G16*(1-Assumptions!$B$10),"OVERPAID","FAIR")))</f>
        <v>UNDERPAID</v>
      </c>
      <c r="K16" s="5" t="n">
        <v>2</v>
      </c>
    </row>
    <row r="17" customFormat="false" ht="15" hidden="false" customHeight="false" outlineLevel="0" collapsed="false">
      <c r="A17" s="5" t="n">
        <v>2021</v>
      </c>
      <c r="B17" s="5" t="s">
        <v>35</v>
      </c>
      <c r="C17" s="5" t="s">
        <v>51</v>
      </c>
      <c r="D17" s="5" t="n">
        <v>1</v>
      </c>
      <c r="E17" s="13" t="n">
        <v>0.05</v>
      </c>
      <c r="F17" s="14" t="n">
        <f aca="false">E17*Assumptions!$D$4</f>
        <v>6.48292828883939</v>
      </c>
      <c r="G17" s="14" t="n">
        <v>215</v>
      </c>
      <c r="H17" s="14" t="n">
        <v>330</v>
      </c>
      <c r="I17" s="14" t="n">
        <f aca="false">F17-(G17+H17)/2</f>
        <v>-266.017071711161</v>
      </c>
      <c r="J17" s="5" t="str">
        <f aca="false">IF(D17&lt;8,"LOW SAMPLE",IF(F17&gt;H17*(1+Assumptions!$B$10),"UNDERPAID",IF(F17&lt;G17*(1-Assumptions!$B$10),"OVERPAID","FAIR")))</f>
        <v>LOW SAMPLE</v>
      </c>
      <c r="K17" s="5" t="n">
        <v>0</v>
      </c>
    </row>
    <row r="18" customFormat="false" ht="15" hidden="false" customHeight="false" outlineLevel="0" collapsed="false">
      <c r="A18" s="5" t="n">
        <v>2021</v>
      </c>
      <c r="B18" s="5" t="s">
        <v>35</v>
      </c>
      <c r="C18" s="5" t="s">
        <v>52</v>
      </c>
      <c r="D18" s="5" t="n">
        <v>2</v>
      </c>
      <c r="E18" s="13" t="n">
        <v>0.4</v>
      </c>
      <c r="F18" s="14" t="n">
        <f aca="false">E18*Assumptions!$D$4</f>
        <v>51.8634263107151</v>
      </c>
      <c r="G18" s="14" t="n">
        <v>120</v>
      </c>
      <c r="H18" s="14" t="n">
        <v>215</v>
      </c>
      <c r="I18" s="14" t="n">
        <f aca="false">F18-(G18+H18)/2</f>
        <v>-115.636573689285</v>
      </c>
      <c r="J18" s="5" t="str">
        <f aca="false">IF(D18&lt;8,"LOW SAMPLE",IF(F18&gt;H18*(1+Assumptions!$B$10),"UNDERPAID",IF(F18&lt;G18*(1-Assumptions!$B$10),"OVERPAID","FAIR")))</f>
        <v>LOW SAMPLE</v>
      </c>
      <c r="K18" s="5" t="n">
        <v>1</v>
      </c>
    </row>
    <row r="19" customFormat="false" ht="15" hidden="false" customHeight="false" outlineLevel="0" collapsed="false">
      <c r="A19" s="5" t="n">
        <v>2021</v>
      </c>
      <c r="B19" s="5" t="s">
        <v>35</v>
      </c>
      <c r="C19" s="5" t="s">
        <v>53</v>
      </c>
      <c r="D19" s="5" t="n">
        <v>1</v>
      </c>
      <c r="E19" s="13" t="n">
        <v>0.17</v>
      </c>
      <c r="F19" s="14" t="n">
        <f aca="false">E19*Assumptions!$D$4</f>
        <v>22.0419561820539</v>
      </c>
      <c r="G19" s="14" t="n">
        <v>215</v>
      </c>
      <c r="H19" s="14" t="n">
        <v>330</v>
      </c>
      <c r="I19" s="14" t="n">
        <f aca="false">F19-(G19+H19)/2</f>
        <v>-250.458043817946</v>
      </c>
      <c r="J19" s="5" t="str">
        <f aca="false">IF(D19&lt;8,"LOW SAMPLE",IF(F19&gt;H19*(1+Assumptions!$B$10),"UNDERPAID",IF(F19&lt;G19*(1-Assumptions!$B$10),"OVERPAID","FAIR")))</f>
        <v>LOW SAMPLE</v>
      </c>
      <c r="K19" s="5" t="n">
        <v>0</v>
      </c>
    </row>
    <row r="20" customFormat="false" ht="15" hidden="false" customHeight="false" outlineLevel="0" collapsed="false">
      <c r="A20" s="5" t="n">
        <v>2021</v>
      </c>
      <c r="B20" s="5" t="s">
        <v>35</v>
      </c>
      <c r="C20" s="5" t="s">
        <v>54</v>
      </c>
      <c r="D20" s="5" t="n">
        <v>15</v>
      </c>
      <c r="E20" s="13" t="n">
        <v>2.06</v>
      </c>
      <c r="F20" s="14" t="n">
        <f aca="false">E20*Assumptions!$D$4</f>
        <v>267.096645500183</v>
      </c>
      <c r="G20" s="14" t="n">
        <v>330</v>
      </c>
      <c r="H20" s="14" t="n">
        <v>435</v>
      </c>
      <c r="I20" s="14" t="n">
        <f aca="false">F20-(G20+H20)/2</f>
        <v>-115.403354499817</v>
      </c>
      <c r="J20" s="5" t="str">
        <f aca="false">IF(D20&lt;8,"LOW SAMPLE",IF(F20&gt;H20*(1+Assumptions!$B$10),"UNDERPAID",IF(F20&lt;G20*(1-Assumptions!$B$10),"OVERPAID","FAIR")))</f>
        <v>OVERPAID</v>
      </c>
      <c r="K20" s="5" t="n">
        <v>44</v>
      </c>
    </row>
    <row r="21" customFormat="false" ht="15" hidden="false" customHeight="false" outlineLevel="0" collapsed="false">
      <c r="A21" s="5" t="n">
        <v>2021</v>
      </c>
      <c r="B21" s="5" t="s">
        <v>35</v>
      </c>
      <c r="C21" s="5" t="s">
        <v>55</v>
      </c>
      <c r="D21" s="5" t="n">
        <v>19</v>
      </c>
      <c r="E21" s="13" t="n">
        <v>2.59</v>
      </c>
      <c r="F21" s="14" t="n">
        <f aca="false">E21*Assumptions!$D$4</f>
        <v>335.81568536188</v>
      </c>
      <c r="G21" s="14" t="n">
        <v>120</v>
      </c>
      <c r="H21" s="14" t="n">
        <v>215</v>
      </c>
      <c r="I21" s="14" t="n">
        <f aca="false">F21-(G21+H21)/2</f>
        <v>168.31568536188</v>
      </c>
      <c r="J21" s="5" t="str">
        <f aca="false">IF(D21&lt;8,"LOW SAMPLE",IF(F21&gt;H21*(1+Assumptions!$B$10),"UNDERPAID",IF(F21&lt;G21*(1-Assumptions!$B$10),"OVERPAID","FAIR")))</f>
        <v>UNDERPAID</v>
      </c>
      <c r="K21" s="5" t="n">
        <v>8</v>
      </c>
    </row>
    <row r="22" customFormat="false" ht="15" hidden="false" customHeight="false" outlineLevel="0" collapsed="false">
      <c r="A22" s="5" t="n">
        <v>2021</v>
      </c>
      <c r="B22" s="5" t="s">
        <v>35</v>
      </c>
      <c r="C22" s="5" t="s">
        <v>56</v>
      </c>
      <c r="D22" s="5" t="n">
        <v>11</v>
      </c>
      <c r="E22" s="13" t="n">
        <v>1.67</v>
      </c>
      <c r="F22" s="14" t="n">
        <f aca="false">E22*Assumptions!$D$4</f>
        <v>216.529804847236</v>
      </c>
      <c r="G22" s="14" t="n">
        <v>330</v>
      </c>
      <c r="H22" s="14" t="n">
        <v>435</v>
      </c>
      <c r="I22" s="14" t="n">
        <f aca="false">F22-(G22+H22)/2</f>
        <v>-165.970195152764</v>
      </c>
      <c r="J22" s="5" t="str">
        <f aca="false">IF(D22&lt;8,"LOW SAMPLE",IF(F22&gt;H22*(1+Assumptions!$B$10),"UNDERPAID",IF(F22&lt;G22*(1-Assumptions!$B$10),"OVERPAID","FAIR")))</f>
        <v>OVERPAID</v>
      </c>
      <c r="K22" s="5" t="n">
        <v>121</v>
      </c>
    </row>
    <row r="23" customFormat="false" ht="15" hidden="false" customHeight="false" outlineLevel="0" collapsed="false">
      <c r="A23" s="5" t="n">
        <v>2021</v>
      </c>
      <c r="B23" s="5" t="s">
        <v>35</v>
      </c>
      <c r="C23" s="5" t="s">
        <v>57</v>
      </c>
      <c r="D23" s="5" t="n">
        <v>2</v>
      </c>
      <c r="E23" s="13" t="n">
        <v>0.15</v>
      </c>
      <c r="F23" s="14" t="n">
        <f aca="false">E23*Assumptions!$D$4</f>
        <v>19.4487848665182</v>
      </c>
      <c r="G23" s="14" t="n">
        <v>215</v>
      </c>
      <c r="H23" s="14" t="n">
        <v>330</v>
      </c>
      <c r="I23" s="14" t="n">
        <f aca="false">F23-(G23+H23)/2</f>
        <v>-253.051215133482</v>
      </c>
      <c r="J23" s="5" t="str">
        <f aca="false">IF(D23&lt;8,"LOW SAMPLE",IF(F23&gt;H23*(1+Assumptions!$B$10),"UNDERPAID",IF(F23&lt;G23*(1-Assumptions!$B$10),"OVERPAID","FAIR")))</f>
        <v>LOW SAMPLE</v>
      </c>
      <c r="K23" s="5" t="n">
        <v>0</v>
      </c>
    </row>
    <row r="24" customFormat="false" ht="15" hidden="false" customHeight="false" outlineLevel="0" collapsed="false">
      <c r="A24" s="5" t="n">
        <v>2021</v>
      </c>
      <c r="B24" s="5" t="s">
        <v>35</v>
      </c>
      <c r="C24" s="5" t="s">
        <v>58</v>
      </c>
      <c r="D24" s="5" t="n">
        <v>1</v>
      </c>
      <c r="E24" s="13" t="n">
        <v>0.08</v>
      </c>
      <c r="F24" s="14" t="n">
        <f aca="false">E24*Assumptions!$D$4</f>
        <v>10.372685262143</v>
      </c>
      <c r="G24" s="14" t="n">
        <v>120</v>
      </c>
      <c r="H24" s="14" t="n">
        <v>215</v>
      </c>
      <c r="I24" s="14" t="n">
        <f aca="false">F24-(G24+H24)/2</f>
        <v>-157.127314737857</v>
      </c>
      <c r="J24" s="5" t="str">
        <f aca="false">IF(D24&lt;8,"LOW SAMPLE",IF(F24&gt;H24*(1+Assumptions!$B$10),"UNDERPAID",IF(F24&lt;G24*(1-Assumptions!$B$10),"OVERPAID","FAIR")))</f>
        <v>LOW SAMPLE</v>
      </c>
      <c r="K24" s="5" t="n">
        <v>3</v>
      </c>
    </row>
    <row r="25" customFormat="false" ht="15" hidden="false" customHeight="false" outlineLevel="0" collapsed="false">
      <c r="A25" s="5" t="n">
        <v>2021</v>
      </c>
      <c r="B25" s="5" t="s">
        <v>35</v>
      </c>
      <c r="C25" s="5" t="s">
        <v>59</v>
      </c>
      <c r="D25" s="5" t="n">
        <v>21</v>
      </c>
      <c r="E25" s="13" t="n">
        <v>2.81</v>
      </c>
      <c r="F25" s="14" t="n">
        <f aca="false">E25*Assumptions!$D$4</f>
        <v>364.340569832774</v>
      </c>
      <c r="G25" s="14" t="n">
        <v>120</v>
      </c>
      <c r="H25" s="14" t="n">
        <v>215</v>
      </c>
      <c r="I25" s="14" t="n">
        <f aca="false">F25-(G25+H25)/2</f>
        <v>196.840569832774</v>
      </c>
      <c r="J25" s="5" t="str">
        <f aca="false">IF(D25&lt;8,"LOW SAMPLE",IF(F25&gt;H25*(1+Assumptions!$B$10),"UNDERPAID",IF(F25&lt;G25*(1-Assumptions!$B$10),"OVERPAID","FAIR")))</f>
        <v>UNDERPAID</v>
      </c>
      <c r="K25" s="5" t="n">
        <v>8</v>
      </c>
    </row>
    <row r="26" customFormat="false" ht="15" hidden="false" customHeight="false" outlineLevel="0" collapsed="false">
      <c r="A26" s="5" t="n">
        <v>2021</v>
      </c>
      <c r="B26" s="5" t="s">
        <v>35</v>
      </c>
      <c r="C26" s="5" t="s">
        <v>60</v>
      </c>
      <c r="D26" s="5" t="n">
        <v>13</v>
      </c>
      <c r="E26" s="13" t="n">
        <v>1.87</v>
      </c>
      <c r="F26" s="14" t="n">
        <f aca="false">E26*Assumptions!$D$4</f>
        <v>242.461518002593</v>
      </c>
      <c r="G26" s="14" t="n">
        <v>215</v>
      </c>
      <c r="H26" s="14" t="n">
        <v>330</v>
      </c>
      <c r="I26" s="14" t="n">
        <f aca="false">F26-(G26+H26)/2</f>
        <v>-30.0384819974068</v>
      </c>
      <c r="J26" s="5" t="str">
        <f aca="false">IF(D26&lt;8,"LOW SAMPLE",IF(F26&gt;H26*(1+Assumptions!$B$10),"UNDERPAID",IF(F26&lt;G26*(1-Assumptions!$B$10),"OVERPAID","FAIR")))</f>
        <v>FAIR</v>
      </c>
      <c r="K26" s="5" t="n">
        <v>0</v>
      </c>
    </row>
    <row r="27" customFormat="false" ht="15" hidden="false" customHeight="false" outlineLevel="0" collapsed="false">
      <c r="A27" s="5" t="n">
        <v>2021</v>
      </c>
      <c r="B27" s="5" t="s">
        <v>35</v>
      </c>
      <c r="C27" s="5" t="s">
        <v>61</v>
      </c>
      <c r="D27" s="5" t="n">
        <v>22</v>
      </c>
      <c r="E27" s="13" t="n">
        <v>5.26</v>
      </c>
      <c r="F27" s="14" t="n">
        <f aca="false">E27*Assumptions!$D$4</f>
        <v>682.004055985904</v>
      </c>
      <c r="G27" s="14" t="n">
        <v>330</v>
      </c>
      <c r="H27" s="14" t="n">
        <v>435</v>
      </c>
      <c r="I27" s="14" t="n">
        <f aca="false">F27-(G27+H27)/2</f>
        <v>299.504055985904</v>
      </c>
      <c r="J27" s="5" t="str">
        <f aca="false">IF(D27&lt;8,"LOW SAMPLE",IF(F27&gt;H27*(1+Assumptions!$B$10),"UNDERPAID",IF(F27&lt;G27*(1-Assumptions!$B$10),"OVERPAID","FAIR")))</f>
        <v>UNDERPAID</v>
      </c>
      <c r="K27" s="5" t="n">
        <v>73</v>
      </c>
    </row>
    <row r="28" customFormat="false" ht="15" hidden="false" customHeight="false" outlineLevel="0" collapsed="false">
      <c r="A28" s="5" t="n">
        <v>2021</v>
      </c>
      <c r="B28" s="5" t="s">
        <v>35</v>
      </c>
      <c r="C28" s="5" t="s">
        <v>62</v>
      </c>
      <c r="D28" s="5" t="n">
        <v>20</v>
      </c>
      <c r="E28" s="13" t="n">
        <v>5.15</v>
      </c>
      <c r="F28" s="14" t="n">
        <f aca="false">E28*Assumptions!$D$4</f>
        <v>667.741613750457</v>
      </c>
      <c r="G28" s="14" t="n">
        <v>590</v>
      </c>
      <c r="H28" s="14" t="n">
        <v>820</v>
      </c>
      <c r="I28" s="14" t="n">
        <f aca="false">F28-(G28+H28)/2</f>
        <v>-37.2583862495429</v>
      </c>
      <c r="J28" s="5" t="str">
        <f aca="false">IF(D28&lt;8,"LOW SAMPLE",IF(F28&gt;H28*(1+Assumptions!$B$10),"UNDERPAID",IF(F28&lt;G28*(1-Assumptions!$B$10),"OVERPAID","FAIR")))</f>
        <v>FAIR</v>
      </c>
      <c r="K28" s="5" t="n">
        <v>37</v>
      </c>
    </row>
    <row r="29" customFormat="false" ht="15" hidden="false" customHeight="false" outlineLevel="0" collapsed="false">
      <c r="A29" s="5" t="n">
        <v>2021</v>
      </c>
      <c r="B29" s="5" t="s">
        <v>35</v>
      </c>
      <c r="C29" s="5" t="s">
        <v>63</v>
      </c>
      <c r="D29" s="5" t="n">
        <v>14</v>
      </c>
      <c r="E29" s="13" t="n">
        <v>2.58</v>
      </c>
      <c r="F29" s="14" t="n">
        <f aca="false">E29*Assumptions!$D$4</f>
        <v>334.519099704113</v>
      </c>
      <c r="G29" s="14" t="n">
        <v>215</v>
      </c>
      <c r="H29" s="14" t="n">
        <v>330</v>
      </c>
      <c r="I29" s="14" t="n">
        <f aca="false">F29-(G29+H29)/2</f>
        <v>62.0190997041125</v>
      </c>
      <c r="J29" s="5" t="str">
        <f aca="false">IF(D29&lt;8,"LOW SAMPLE",IF(F29&gt;H29*(1+Assumptions!$B$10),"UNDERPAID",IF(F29&lt;G29*(1-Assumptions!$B$10),"OVERPAID","FAIR")))</f>
        <v>FAIR</v>
      </c>
      <c r="K29" s="5" t="n">
        <v>0</v>
      </c>
    </row>
    <row r="30" customFormat="false" ht="15" hidden="false" customHeight="false" outlineLevel="0" collapsed="false">
      <c r="A30" s="5" t="n">
        <v>2021</v>
      </c>
      <c r="B30" s="5" t="s">
        <v>35</v>
      </c>
      <c r="C30" s="5" t="s">
        <v>64</v>
      </c>
      <c r="D30" s="5" t="n">
        <v>3</v>
      </c>
      <c r="E30" s="13" t="n">
        <v>0.13</v>
      </c>
      <c r="F30" s="14" t="n">
        <f aca="false">E30*Assumptions!$D$4</f>
        <v>16.8556135509824</v>
      </c>
      <c r="G30" s="14" t="n">
        <v>215</v>
      </c>
      <c r="H30" s="14" t="n">
        <v>330</v>
      </c>
      <c r="I30" s="14" t="n">
        <f aca="false">F30-(G30+H30)/2</f>
        <v>-255.644386449018</v>
      </c>
      <c r="J30" s="5" t="str">
        <f aca="false">IF(D30&lt;8,"LOW SAMPLE",IF(F30&gt;H30*(1+Assumptions!$B$10),"UNDERPAID",IF(F30&lt;G30*(1-Assumptions!$B$10),"OVERPAID","FAIR")))</f>
        <v>LOW SAMPLE</v>
      </c>
      <c r="K30" s="5" t="n">
        <v>0</v>
      </c>
    </row>
    <row r="31" customFormat="false" ht="15" hidden="false" customHeight="false" outlineLevel="0" collapsed="false">
      <c r="A31" s="5" t="n">
        <v>2021</v>
      </c>
      <c r="B31" s="5" t="s">
        <v>35</v>
      </c>
      <c r="C31" s="5" t="s">
        <v>65</v>
      </c>
      <c r="D31" s="5" t="n">
        <v>22</v>
      </c>
      <c r="E31" s="13" t="n">
        <v>6.56</v>
      </c>
      <c r="F31" s="14" t="n">
        <f aca="false">E31*Assumptions!$D$4</f>
        <v>850.560191495728</v>
      </c>
      <c r="G31" s="14" t="n">
        <v>590</v>
      </c>
      <c r="H31" s="14" t="n">
        <v>820</v>
      </c>
      <c r="I31" s="14" t="n">
        <f aca="false">F31-(G31+H31)/2</f>
        <v>145.560191495728</v>
      </c>
      <c r="J31" s="5" t="str">
        <f aca="false">IF(D31&lt;8,"LOW SAMPLE",IF(F31&gt;H31*(1+Assumptions!$B$10),"UNDERPAID",IF(F31&lt;G31*(1-Assumptions!$B$10),"OVERPAID","FAIR")))</f>
        <v>FAIR</v>
      </c>
      <c r="K31" s="5" t="n">
        <v>126</v>
      </c>
    </row>
    <row r="32" customFormat="false" ht="15" hidden="false" customHeight="false" outlineLevel="0" collapsed="false">
      <c r="A32" s="5" t="n">
        <v>2021</v>
      </c>
      <c r="B32" s="5" t="s">
        <v>35</v>
      </c>
      <c r="C32" s="5" t="s">
        <v>66</v>
      </c>
      <c r="D32" s="5" t="n">
        <v>18</v>
      </c>
      <c r="E32" s="13" t="n">
        <v>4.83</v>
      </c>
      <c r="F32" s="14" t="n">
        <f aca="false">E32*Assumptions!$D$4</f>
        <v>626.250872701885</v>
      </c>
      <c r="G32" s="14" t="n">
        <v>435</v>
      </c>
      <c r="H32" s="14" t="n">
        <v>590</v>
      </c>
      <c r="I32" s="14" t="n">
        <f aca="false">F32-(G32+H32)/2</f>
        <v>113.750872701885</v>
      </c>
      <c r="J32" s="5" t="str">
        <f aca="false">IF(D32&lt;8,"LOW SAMPLE",IF(F32&gt;H32*(1+Assumptions!$B$10),"UNDERPAID",IF(F32&lt;G32*(1-Assumptions!$B$10),"OVERPAID","FAIR")))</f>
        <v>FAIR</v>
      </c>
      <c r="K32" s="5" t="n">
        <v>111</v>
      </c>
    </row>
    <row r="33" customFormat="false" ht="15" hidden="false" customHeight="false" outlineLevel="0" collapsed="false">
      <c r="A33" s="5" t="n">
        <v>2021</v>
      </c>
      <c r="B33" s="5" t="s">
        <v>35</v>
      </c>
      <c r="C33" s="5" t="s">
        <v>67</v>
      </c>
      <c r="D33" s="5" t="n">
        <v>17</v>
      </c>
      <c r="E33" s="13" t="n">
        <v>2.14</v>
      </c>
      <c r="F33" s="14" t="n">
        <f aca="false">E33*Assumptions!$D$4</f>
        <v>277.469330762326</v>
      </c>
      <c r="G33" s="14" t="n">
        <v>215</v>
      </c>
      <c r="H33" s="14" t="n">
        <v>330</v>
      </c>
      <c r="I33" s="14" t="n">
        <f aca="false">F33-(G33+H33)/2</f>
        <v>4.96933076232585</v>
      </c>
      <c r="J33" s="5" t="str">
        <f aca="false">IF(D33&lt;8,"LOW SAMPLE",IF(F33&gt;H33*(1+Assumptions!$B$10),"UNDERPAID",IF(F33&lt;G33*(1-Assumptions!$B$10),"OVERPAID","FAIR")))</f>
        <v>FAIR</v>
      </c>
      <c r="K33" s="5" t="n">
        <v>0</v>
      </c>
    </row>
    <row r="34" customFormat="false" ht="15" hidden="false" customHeight="false" outlineLevel="0" collapsed="false">
      <c r="A34" s="5" t="n">
        <v>2021</v>
      </c>
      <c r="B34" s="5" t="s">
        <v>35</v>
      </c>
      <c r="C34" s="5" t="s">
        <v>68</v>
      </c>
      <c r="D34" s="5" t="n">
        <v>15</v>
      </c>
      <c r="E34" s="13" t="n">
        <v>2.8</v>
      </c>
      <c r="F34" s="14" t="n">
        <f aca="false">E34*Assumptions!$D$4</f>
        <v>363.043984175006</v>
      </c>
      <c r="G34" s="14" t="n">
        <v>330</v>
      </c>
      <c r="H34" s="14" t="n">
        <v>435</v>
      </c>
      <c r="I34" s="14" t="n">
        <f aca="false">F34-(G34+H34)/2</f>
        <v>-19.4560158249942</v>
      </c>
      <c r="J34" s="5" t="str">
        <f aca="false">IF(D34&lt;8,"LOW SAMPLE",IF(F34&gt;H34*(1+Assumptions!$B$10),"UNDERPAID",IF(F34&lt;G34*(1-Assumptions!$B$10),"OVERPAID","FAIR")))</f>
        <v>FAIR</v>
      </c>
      <c r="K34" s="5" t="n">
        <v>13</v>
      </c>
    </row>
    <row r="35" customFormat="false" ht="15" hidden="false" customHeight="false" outlineLevel="0" collapsed="false">
      <c r="A35" s="5" t="n">
        <v>2021</v>
      </c>
      <c r="B35" s="5" t="s">
        <v>35</v>
      </c>
      <c r="C35" s="5" t="s">
        <v>69</v>
      </c>
      <c r="D35" s="5" t="n">
        <v>17</v>
      </c>
      <c r="E35" s="13" t="n">
        <v>5.33</v>
      </c>
      <c r="F35" s="14" t="n">
        <f aca="false">E35*Assumptions!$D$4</f>
        <v>691.080155590279</v>
      </c>
      <c r="G35" s="14" t="n">
        <v>435</v>
      </c>
      <c r="H35" s="14" t="n">
        <v>590</v>
      </c>
      <c r="I35" s="14" t="n">
        <f aca="false">F35-(G35+H35)/2</f>
        <v>178.580155590279</v>
      </c>
      <c r="J35" s="5" t="str">
        <f aca="false">IF(D35&lt;8,"LOW SAMPLE",IF(F35&gt;H35*(1+Assumptions!$B$10),"UNDERPAID",IF(F35&lt;G35*(1-Assumptions!$B$10),"OVERPAID","FAIR")))</f>
        <v>UNDERPAID</v>
      </c>
      <c r="K35" s="5" t="n">
        <v>119</v>
      </c>
    </row>
    <row r="36" customFormat="false" ht="15" hidden="false" customHeight="false" outlineLevel="0" collapsed="false">
      <c r="A36" s="5" t="n">
        <v>2021</v>
      </c>
      <c r="B36" s="5" t="s">
        <v>35</v>
      </c>
      <c r="C36" s="5" t="s">
        <v>70</v>
      </c>
      <c r="D36" s="5" t="n">
        <v>21</v>
      </c>
      <c r="E36" s="13" t="n">
        <v>4.72</v>
      </c>
      <c r="F36" s="14" t="n">
        <f aca="false">E36*Assumptions!$D$4</f>
        <v>611.988430466438</v>
      </c>
      <c r="G36" s="14" t="n">
        <v>215</v>
      </c>
      <c r="H36" s="14" t="n">
        <v>330</v>
      </c>
      <c r="I36" s="14" t="n">
        <f aca="false">F36-(G36+H36)/2</f>
        <v>339.488430466438</v>
      </c>
      <c r="J36" s="5" t="str">
        <f aca="false">IF(D36&lt;8,"LOW SAMPLE",IF(F36&gt;H36*(1+Assumptions!$B$10),"UNDERPAID",IF(F36&lt;G36*(1-Assumptions!$B$10),"OVERPAID","FAIR")))</f>
        <v>UNDERPAID</v>
      </c>
      <c r="K36" s="5" t="n">
        <v>30</v>
      </c>
    </row>
    <row r="37" customFormat="false" ht="15" hidden="false" customHeight="false" outlineLevel="0" collapsed="false">
      <c r="A37" s="5" t="n">
        <v>2021</v>
      </c>
      <c r="B37" s="5" t="s">
        <v>35</v>
      </c>
      <c r="C37" s="5" t="s">
        <v>71</v>
      </c>
      <c r="D37" s="5" t="n">
        <v>12</v>
      </c>
      <c r="E37" s="13" t="n">
        <v>2.01</v>
      </c>
      <c r="F37" s="14" t="n">
        <f aca="false">E37*Assumptions!$D$4</f>
        <v>260.613717211343</v>
      </c>
      <c r="G37" s="14" t="n">
        <v>1125</v>
      </c>
      <c r="H37" s="14" t="n">
        <v>1470</v>
      </c>
      <c r="I37" s="14" t="n">
        <f aca="false">F37-(G37+H37)/2</f>
        <v>-1036.88628278866</v>
      </c>
      <c r="J37" s="5" t="str">
        <f aca="false">IF(D37&lt;8,"LOW SAMPLE",IF(F37&gt;H37*(1+Assumptions!$B$10),"UNDERPAID",IF(F37&lt;G37*(1-Assumptions!$B$10),"OVERPAID","FAIR")))</f>
        <v>OVERPAID</v>
      </c>
      <c r="K37" s="5" t="n">
        <v>230</v>
      </c>
    </row>
    <row r="38" customFormat="false" ht="15" hidden="false" customHeight="false" outlineLevel="0" collapsed="false">
      <c r="A38" s="5" t="n">
        <v>2021</v>
      </c>
      <c r="B38" s="5" t="s">
        <v>35</v>
      </c>
      <c r="C38" s="5" t="s">
        <v>72</v>
      </c>
      <c r="D38" s="5" t="n">
        <v>17</v>
      </c>
      <c r="E38" s="13" t="n">
        <v>1.58</v>
      </c>
      <c r="F38" s="14" t="n">
        <f aca="false">E38*Assumptions!$D$4</f>
        <v>204.860533927325</v>
      </c>
      <c r="G38" s="14" t="n">
        <v>120</v>
      </c>
      <c r="H38" s="14" t="n">
        <v>215</v>
      </c>
      <c r="I38" s="14" t="n">
        <f aca="false">F38-(G38+H38)/2</f>
        <v>37.3605339273247</v>
      </c>
      <c r="J38" s="5" t="str">
        <f aca="false">IF(D38&lt;8,"LOW SAMPLE",IF(F38&gt;H38*(1+Assumptions!$B$10),"UNDERPAID",IF(F38&lt;G38*(1-Assumptions!$B$10),"OVERPAID","FAIR")))</f>
        <v>FAIR</v>
      </c>
      <c r="K38" s="5" t="n">
        <v>8</v>
      </c>
    </row>
    <row r="39" customFormat="false" ht="15" hidden="false" customHeight="false" outlineLevel="0" collapsed="false">
      <c r="A39" s="5" t="n">
        <v>2021</v>
      </c>
      <c r="B39" s="5" t="s">
        <v>73</v>
      </c>
      <c r="C39" s="5" t="s">
        <v>74</v>
      </c>
      <c r="D39" s="5" t="n">
        <v>24</v>
      </c>
      <c r="E39" s="13" t="n">
        <v>3.42</v>
      </c>
      <c r="F39" s="14" t="n">
        <f aca="false">E39*Assumptions!$D$4</f>
        <v>443.432294956614</v>
      </c>
      <c r="G39" s="14" t="n">
        <v>215</v>
      </c>
      <c r="H39" s="14" t="n">
        <v>330</v>
      </c>
      <c r="I39" s="14" t="n">
        <f aca="false">F39-(G39+H39)/2</f>
        <v>170.932294956614</v>
      </c>
      <c r="J39" s="5" t="str">
        <f aca="false">IF(D39&lt;8,"LOW SAMPLE",IF(F39&gt;H39*(1+Assumptions!$B$10),"UNDERPAID",IF(F39&lt;G39*(1-Assumptions!$B$10),"OVERPAID","FAIR")))</f>
        <v>UNDERPAID</v>
      </c>
      <c r="K39" s="5" t="n">
        <v>23</v>
      </c>
    </row>
    <row r="40" customFormat="false" ht="15" hidden="false" customHeight="false" outlineLevel="0" collapsed="false">
      <c r="A40" s="5" t="n">
        <v>2021</v>
      </c>
      <c r="B40" s="5" t="s">
        <v>73</v>
      </c>
      <c r="C40" s="5" t="s">
        <v>75</v>
      </c>
      <c r="D40" s="5" t="n">
        <v>21</v>
      </c>
      <c r="E40" s="13" t="n">
        <v>2.6</v>
      </c>
      <c r="F40" s="14" t="n">
        <f aca="false">E40*Assumptions!$D$4</f>
        <v>337.112271019648</v>
      </c>
      <c r="G40" s="14" t="n">
        <v>330</v>
      </c>
      <c r="H40" s="14" t="n">
        <v>435</v>
      </c>
      <c r="I40" s="14" t="n">
        <f aca="false">F40-(G40+H40)/2</f>
        <v>-45.3877289803518</v>
      </c>
      <c r="J40" s="5" t="str">
        <f aca="false">IF(D40&lt;8,"LOW SAMPLE",IF(F40&gt;H40*(1+Assumptions!$B$10),"UNDERPAID",IF(F40&lt;G40*(1-Assumptions!$B$10),"OVERPAID","FAIR")))</f>
        <v>FAIR</v>
      </c>
      <c r="K40" s="5" t="n">
        <v>63</v>
      </c>
    </row>
    <row r="41" customFormat="false" ht="15" hidden="false" customHeight="false" outlineLevel="0" collapsed="false">
      <c r="A41" s="5" t="n">
        <v>2021</v>
      </c>
      <c r="B41" s="5" t="s">
        <v>73</v>
      </c>
      <c r="C41" s="5" t="s">
        <v>76</v>
      </c>
      <c r="D41" s="5" t="n">
        <v>24</v>
      </c>
      <c r="E41" s="13" t="n">
        <v>5.52</v>
      </c>
      <c r="F41" s="14" t="n">
        <f aca="false">E41*Assumptions!$D$4</f>
        <v>715.715283087869</v>
      </c>
      <c r="G41" s="14" t="n">
        <v>435</v>
      </c>
      <c r="H41" s="14" t="n">
        <v>590</v>
      </c>
      <c r="I41" s="14" t="n">
        <f aca="false">F41-(G41+H41)/2</f>
        <v>203.215283087869</v>
      </c>
      <c r="J41" s="5" t="str">
        <f aca="false">IF(D41&lt;8,"LOW SAMPLE",IF(F41&gt;H41*(1+Assumptions!$B$10),"UNDERPAID",IF(F41&lt;G41*(1-Assumptions!$B$10),"OVERPAID","FAIR")))</f>
        <v>UNDERPAID</v>
      </c>
      <c r="K41" s="5" t="n">
        <v>120</v>
      </c>
    </row>
    <row r="42" customFormat="false" ht="15" hidden="false" customHeight="false" outlineLevel="0" collapsed="false">
      <c r="A42" s="5" t="n">
        <v>2021</v>
      </c>
      <c r="B42" s="5" t="s">
        <v>73</v>
      </c>
      <c r="C42" s="5" t="s">
        <v>77</v>
      </c>
      <c r="D42" s="5" t="n">
        <v>1</v>
      </c>
      <c r="E42" s="13" t="n">
        <v>0.04</v>
      </c>
      <c r="F42" s="14" t="n">
        <f aca="false">E42*Assumptions!$D$4</f>
        <v>5.18634263107151</v>
      </c>
      <c r="G42" s="14" t="n">
        <v>120</v>
      </c>
      <c r="H42" s="14" t="n">
        <v>215</v>
      </c>
      <c r="I42" s="14" t="n">
        <f aca="false">F42-(G42+H42)/2</f>
        <v>-162.313657368929</v>
      </c>
      <c r="J42" s="5" t="str">
        <f aca="false">IF(D42&lt;8,"LOW SAMPLE",IF(F42&gt;H42*(1+Assumptions!$B$10),"UNDERPAID",IF(F42&lt;G42*(1-Assumptions!$B$10),"OVERPAID","FAIR")))</f>
        <v>LOW SAMPLE</v>
      </c>
      <c r="K42" s="5" t="n">
        <v>2</v>
      </c>
    </row>
    <row r="43" customFormat="false" ht="15" hidden="false" customHeight="false" outlineLevel="0" collapsed="false">
      <c r="A43" s="5" t="n">
        <v>2021</v>
      </c>
      <c r="B43" s="5" t="s">
        <v>73</v>
      </c>
      <c r="C43" s="5" t="s">
        <v>78</v>
      </c>
      <c r="D43" s="5" t="n">
        <v>19</v>
      </c>
      <c r="E43" s="13" t="n">
        <v>4.27</v>
      </c>
      <c r="F43" s="14" t="n">
        <f aca="false">E43*Assumptions!$D$4</f>
        <v>553.642075866884</v>
      </c>
      <c r="G43" s="14" t="n">
        <v>330</v>
      </c>
      <c r="H43" s="14" t="n">
        <v>435</v>
      </c>
      <c r="I43" s="14" t="n">
        <f aca="false">F43-(G43+H43)/2</f>
        <v>171.142075866884</v>
      </c>
      <c r="J43" s="5" t="str">
        <f aca="false">IF(D43&lt;8,"LOW SAMPLE",IF(F43&gt;H43*(1+Assumptions!$B$10),"UNDERPAID",IF(F43&lt;G43*(1-Assumptions!$B$10),"OVERPAID","FAIR")))</f>
        <v>UNDERPAID</v>
      </c>
      <c r="K43" s="5" t="n">
        <v>111</v>
      </c>
    </row>
    <row r="44" customFormat="false" ht="15" hidden="false" customHeight="false" outlineLevel="0" collapsed="false">
      <c r="A44" s="5" t="n">
        <v>2021</v>
      </c>
      <c r="B44" s="5" t="s">
        <v>73</v>
      </c>
      <c r="C44" s="5" t="s">
        <v>79</v>
      </c>
      <c r="D44" s="5" t="n">
        <v>24</v>
      </c>
      <c r="E44" s="13" t="n">
        <v>6.47</v>
      </c>
      <c r="F44" s="14" t="n">
        <f aca="false">E44*Assumptions!$D$4</f>
        <v>838.890920575817</v>
      </c>
      <c r="G44" s="14" t="n">
        <v>435</v>
      </c>
      <c r="H44" s="14" t="n">
        <v>590</v>
      </c>
      <c r="I44" s="14" t="n">
        <f aca="false">F44-(G44+H44)/2</f>
        <v>326.390920575817</v>
      </c>
      <c r="J44" s="5" t="str">
        <f aca="false">IF(D44&lt;8,"LOW SAMPLE",IF(F44&gt;H44*(1+Assumptions!$B$10),"UNDERPAID",IF(F44&lt;G44*(1-Assumptions!$B$10),"OVERPAID","FAIR")))</f>
        <v>UNDERPAID</v>
      </c>
      <c r="K44" s="5" t="n">
        <v>121</v>
      </c>
    </row>
    <row r="45" customFormat="false" ht="15" hidden="false" customHeight="false" outlineLevel="0" collapsed="false">
      <c r="A45" s="5" t="n">
        <v>2021</v>
      </c>
      <c r="B45" s="5" t="s">
        <v>73</v>
      </c>
      <c r="C45" s="5" t="s">
        <v>80</v>
      </c>
      <c r="D45" s="5" t="n">
        <v>9</v>
      </c>
      <c r="E45" s="13" t="n">
        <v>1.01</v>
      </c>
      <c r="F45" s="14" t="n">
        <f aca="false">E45*Assumptions!$D$4</f>
        <v>130.955151434556</v>
      </c>
      <c r="G45" s="14" t="n">
        <v>435</v>
      </c>
      <c r="H45" s="14" t="n">
        <v>590</v>
      </c>
      <c r="I45" s="14" t="n">
        <f aca="false">F45-(G45+H45)/2</f>
        <v>-381.544848565444</v>
      </c>
      <c r="J45" s="5" t="str">
        <f aca="false">IF(D45&lt;8,"LOW SAMPLE",IF(F45&gt;H45*(1+Assumptions!$B$10),"UNDERPAID",IF(F45&lt;G45*(1-Assumptions!$B$10),"OVERPAID","FAIR")))</f>
        <v>OVERPAID</v>
      </c>
      <c r="K45" s="5" t="n">
        <v>107</v>
      </c>
    </row>
    <row r="46" customFormat="false" ht="15" hidden="false" customHeight="false" outlineLevel="0" collapsed="false">
      <c r="A46" s="5" t="n">
        <v>2021</v>
      </c>
      <c r="B46" s="5" t="s">
        <v>73</v>
      </c>
      <c r="C46" s="5" t="s">
        <v>81</v>
      </c>
      <c r="D46" s="5" t="n">
        <v>23</v>
      </c>
      <c r="E46" s="13" t="n">
        <v>7.55</v>
      </c>
      <c r="F46" s="14" t="n">
        <f aca="false">E46*Assumptions!$D$4</f>
        <v>978.922171614748</v>
      </c>
      <c r="G46" s="14" t="n">
        <v>820</v>
      </c>
      <c r="H46" s="14" t="n">
        <v>1125</v>
      </c>
      <c r="I46" s="14" t="n">
        <f aca="false">F46-(G46+H46)/2</f>
        <v>6.42217161474775</v>
      </c>
      <c r="J46" s="5" t="str">
        <f aca="false">IF(D46&lt;8,"LOW SAMPLE",IF(F46&gt;H46*(1+Assumptions!$B$10),"UNDERPAID",IF(F46&lt;G46*(1-Assumptions!$B$10),"OVERPAID","FAIR")))</f>
        <v>FAIR</v>
      </c>
      <c r="K46" s="5" t="n">
        <v>126</v>
      </c>
    </row>
    <row r="47" customFormat="false" ht="15" hidden="false" customHeight="false" outlineLevel="0" collapsed="false">
      <c r="A47" s="5" t="n">
        <v>2021</v>
      </c>
      <c r="B47" s="5" t="s">
        <v>73</v>
      </c>
      <c r="C47" s="5" t="s">
        <v>82</v>
      </c>
      <c r="D47" s="5" t="n">
        <v>16</v>
      </c>
      <c r="E47" s="13" t="n">
        <v>2.33</v>
      </c>
      <c r="F47" s="14" t="n">
        <f aca="false">E47*Assumptions!$D$4</f>
        <v>302.104458259916</v>
      </c>
      <c r="G47" s="14" t="n">
        <v>120</v>
      </c>
      <c r="H47" s="14" t="n">
        <v>215</v>
      </c>
      <c r="I47" s="14" t="n">
        <f aca="false">F47-(G47+H47)/2</f>
        <v>134.604458259916</v>
      </c>
      <c r="J47" s="5" t="str">
        <f aca="false">IF(D47&lt;8,"LOW SAMPLE",IF(F47&gt;H47*(1+Assumptions!$B$10),"UNDERPAID",IF(F47&lt;G47*(1-Assumptions!$B$10),"OVERPAID","FAIR")))</f>
        <v>UNDERPAID</v>
      </c>
      <c r="K47" s="5" t="n">
        <v>1</v>
      </c>
    </row>
    <row r="48" customFormat="false" ht="15" hidden="false" customHeight="false" outlineLevel="0" collapsed="false">
      <c r="A48" s="5" t="n">
        <v>2021</v>
      </c>
      <c r="B48" s="5" t="s">
        <v>73</v>
      </c>
      <c r="C48" s="5" t="s">
        <v>83</v>
      </c>
      <c r="D48" s="5" t="n">
        <v>16</v>
      </c>
      <c r="E48" s="13" t="n">
        <v>3.26</v>
      </c>
      <c r="F48" s="14" t="n">
        <f aca="false">E48*Assumptions!$D$4</f>
        <v>422.686924432328</v>
      </c>
      <c r="G48" s="14" t="n">
        <v>590</v>
      </c>
      <c r="H48" s="14" t="n">
        <v>820</v>
      </c>
      <c r="I48" s="14" t="n">
        <f aca="false">F48-(G48+H48)/2</f>
        <v>-282.313075567672</v>
      </c>
      <c r="J48" s="5" t="str">
        <f aca="false">IF(D48&lt;8,"LOW SAMPLE",IF(F48&gt;H48*(1+Assumptions!$B$10),"UNDERPAID",IF(F48&lt;G48*(1-Assumptions!$B$10),"OVERPAID","FAIR")))</f>
        <v>OVERPAID</v>
      </c>
      <c r="K48" s="5" t="n">
        <v>94</v>
      </c>
    </row>
    <row r="49" customFormat="false" ht="15" hidden="false" customHeight="false" outlineLevel="0" collapsed="false">
      <c r="A49" s="5" t="n">
        <v>2021</v>
      </c>
      <c r="B49" s="5" t="s">
        <v>73</v>
      </c>
      <c r="C49" s="5" t="s">
        <v>84</v>
      </c>
      <c r="D49" s="5" t="n">
        <v>23</v>
      </c>
      <c r="E49" s="13" t="n">
        <v>3.51</v>
      </c>
      <c r="F49" s="14" t="n">
        <f aca="false">E49*Assumptions!$D$4</f>
        <v>455.101565876525</v>
      </c>
      <c r="G49" s="14" t="n">
        <v>215</v>
      </c>
      <c r="H49" s="14" t="n">
        <v>330</v>
      </c>
      <c r="I49" s="14" t="n">
        <f aca="false">F49-(G49+H49)/2</f>
        <v>182.601565876525</v>
      </c>
      <c r="J49" s="5" t="str">
        <f aca="false">IF(D49&lt;8,"LOW SAMPLE",IF(F49&gt;H49*(1+Assumptions!$B$10),"UNDERPAID",IF(F49&lt;G49*(1-Assumptions!$B$10),"OVERPAID","FAIR")))</f>
        <v>UNDERPAID</v>
      </c>
      <c r="K49" s="5" t="n">
        <v>70</v>
      </c>
    </row>
    <row r="50" customFormat="false" ht="15" hidden="false" customHeight="false" outlineLevel="0" collapsed="false">
      <c r="A50" s="5" t="n">
        <v>2021</v>
      </c>
      <c r="B50" s="5" t="s">
        <v>73</v>
      </c>
      <c r="C50" s="5" t="s">
        <v>85</v>
      </c>
      <c r="D50" s="5" t="n">
        <v>23</v>
      </c>
      <c r="E50" s="13" t="n">
        <v>5.55</v>
      </c>
      <c r="F50" s="14" t="n">
        <f aca="false">E50*Assumptions!$D$4</f>
        <v>719.605040061172</v>
      </c>
      <c r="G50" s="14" t="n">
        <v>435</v>
      </c>
      <c r="H50" s="14" t="n">
        <v>590</v>
      </c>
      <c r="I50" s="14" t="n">
        <f aca="false">F50-(G50+H50)/2</f>
        <v>207.105040061172</v>
      </c>
      <c r="J50" s="5" t="str">
        <f aca="false">IF(D50&lt;8,"LOW SAMPLE",IF(F50&gt;H50*(1+Assumptions!$B$10),"UNDERPAID",IF(F50&lt;G50*(1-Assumptions!$B$10),"OVERPAID","FAIR")))</f>
        <v>UNDERPAID</v>
      </c>
      <c r="K50" s="5" t="n">
        <v>113</v>
      </c>
    </row>
    <row r="51" customFormat="false" ht="15" hidden="false" customHeight="false" outlineLevel="0" collapsed="false">
      <c r="A51" s="5" t="n">
        <v>2021</v>
      </c>
      <c r="B51" s="5" t="s">
        <v>73</v>
      </c>
      <c r="C51" s="5" t="s">
        <v>86</v>
      </c>
      <c r="D51" s="5" t="n">
        <v>2</v>
      </c>
      <c r="E51" s="13" t="n">
        <v>0.22</v>
      </c>
      <c r="F51" s="14" t="n">
        <f aca="false">E51*Assumptions!$D$4</f>
        <v>28.5248844708933</v>
      </c>
      <c r="G51" s="14" t="n">
        <v>215</v>
      </c>
      <c r="H51" s="14" t="n">
        <v>330</v>
      </c>
      <c r="I51" s="14" t="n">
        <f aca="false">F51-(G51+H51)/2</f>
        <v>-243.975115529107</v>
      </c>
      <c r="J51" s="5" t="str">
        <f aca="false">IF(D51&lt;8,"LOW SAMPLE",IF(F51&gt;H51*(1+Assumptions!$B$10),"UNDERPAID",IF(F51&lt;G51*(1-Assumptions!$B$10),"OVERPAID","FAIR")))</f>
        <v>LOW SAMPLE</v>
      </c>
      <c r="K51" s="5" t="n">
        <v>0</v>
      </c>
    </row>
    <row r="52" customFormat="false" ht="15" hidden="false" customHeight="false" outlineLevel="0" collapsed="false">
      <c r="A52" s="5" t="n">
        <v>2021</v>
      </c>
      <c r="B52" s="5" t="s">
        <v>73</v>
      </c>
      <c r="C52" s="5" t="s">
        <v>87</v>
      </c>
      <c r="D52" s="5" t="n">
        <v>24</v>
      </c>
      <c r="E52" s="13" t="n">
        <v>6.84</v>
      </c>
      <c r="F52" s="14" t="n">
        <f aca="false">E52*Assumptions!$D$4</f>
        <v>886.864589913228</v>
      </c>
      <c r="G52" s="14" t="n">
        <v>590</v>
      </c>
      <c r="H52" s="14" t="n">
        <v>820</v>
      </c>
      <c r="I52" s="14" t="n">
        <f aca="false">F52-(G52+H52)/2</f>
        <v>181.864589913228</v>
      </c>
      <c r="J52" s="5" t="str">
        <f aca="false">IF(D52&lt;8,"LOW SAMPLE",IF(F52&gt;H52*(1+Assumptions!$B$10),"UNDERPAID",IF(F52&lt;G52*(1-Assumptions!$B$10),"OVERPAID","FAIR")))</f>
        <v>FAIR</v>
      </c>
      <c r="K52" s="5" t="n">
        <v>82</v>
      </c>
    </row>
    <row r="53" customFormat="false" ht="15" hidden="false" customHeight="false" outlineLevel="0" collapsed="false">
      <c r="A53" s="5" t="n">
        <v>2021</v>
      </c>
      <c r="B53" s="5" t="s">
        <v>73</v>
      </c>
      <c r="C53" s="5" t="s">
        <v>88</v>
      </c>
      <c r="D53" s="5" t="n">
        <v>10</v>
      </c>
      <c r="E53" s="13" t="n">
        <v>1.34</v>
      </c>
      <c r="F53" s="14" t="n">
        <f aca="false">E53*Assumptions!$D$4</f>
        <v>173.742478140896</v>
      </c>
      <c r="G53" s="14" t="n">
        <v>120</v>
      </c>
      <c r="H53" s="14" t="n">
        <v>215</v>
      </c>
      <c r="I53" s="14" t="n">
        <f aca="false">F53-(G53+H53)/2</f>
        <v>6.24247814089563</v>
      </c>
      <c r="J53" s="5" t="str">
        <f aca="false">IF(D53&lt;8,"LOW SAMPLE",IF(F53&gt;H53*(1+Assumptions!$B$10),"UNDERPAID",IF(F53&lt;G53*(1-Assumptions!$B$10),"OVERPAID","FAIR")))</f>
        <v>FAIR</v>
      </c>
      <c r="K53" s="5" t="n">
        <v>5</v>
      </c>
    </row>
    <row r="54" customFormat="false" ht="15" hidden="false" customHeight="false" outlineLevel="0" collapsed="false">
      <c r="A54" s="5" t="n">
        <v>2021</v>
      </c>
      <c r="B54" s="5" t="s">
        <v>73</v>
      </c>
      <c r="C54" s="5" t="s">
        <v>89</v>
      </c>
      <c r="D54" s="5" t="n">
        <v>9</v>
      </c>
      <c r="E54" s="13" t="n">
        <v>1.21</v>
      </c>
      <c r="F54" s="14" t="n">
        <f aca="false">E54*Assumptions!$D$4</f>
        <v>156.886864589913</v>
      </c>
      <c r="G54" s="14" t="n">
        <v>215</v>
      </c>
      <c r="H54" s="14" t="n">
        <v>330</v>
      </c>
      <c r="I54" s="14" t="n">
        <f aca="false">F54-(G54+H54)/2</f>
        <v>-115.613135410087</v>
      </c>
      <c r="J54" s="5" t="str">
        <f aca="false">IF(D54&lt;8,"LOW SAMPLE",IF(F54&gt;H54*(1+Assumptions!$B$10),"UNDERPAID",IF(F54&lt;G54*(1-Assumptions!$B$10),"OVERPAID","FAIR")))</f>
        <v>OVERPAID</v>
      </c>
      <c r="K54" s="5" t="n">
        <v>0</v>
      </c>
    </row>
    <row r="55" customFormat="false" ht="15" hidden="false" customHeight="false" outlineLevel="0" collapsed="false">
      <c r="A55" s="5" t="n">
        <v>2021</v>
      </c>
      <c r="B55" s="5" t="s">
        <v>73</v>
      </c>
      <c r="C55" s="5" t="s">
        <v>90</v>
      </c>
      <c r="D55" s="5" t="n">
        <v>11</v>
      </c>
      <c r="E55" s="13" t="n">
        <v>1.52</v>
      </c>
      <c r="F55" s="14" t="n">
        <f aca="false">E55*Assumptions!$D$4</f>
        <v>197.081019980717</v>
      </c>
      <c r="G55" s="14" t="n">
        <v>435</v>
      </c>
      <c r="H55" s="14" t="n">
        <v>590</v>
      </c>
      <c r="I55" s="14" t="n">
        <f aca="false">F55-(G55+H55)/2</f>
        <v>-315.418980019283</v>
      </c>
      <c r="J55" s="5" t="str">
        <f aca="false">IF(D55&lt;8,"LOW SAMPLE",IF(F55&gt;H55*(1+Assumptions!$B$10),"UNDERPAID",IF(F55&lt;G55*(1-Assumptions!$B$10),"OVERPAID","FAIR")))</f>
        <v>OVERPAID</v>
      </c>
      <c r="K55" s="5" t="n">
        <v>74</v>
      </c>
    </row>
    <row r="56" customFormat="false" ht="15" hidden="false" customHeight="false" outlineLevel="0" collapsed="false">
      <c r="A56" s="5" t="n">
        <v>2021</v>
      </c>
      <c r="B56" s="5" t="s">
        <v>73</v>
      </c>
      <c r="C56" s="5" t="s">
        <v>91</v>
      </c>
      <c r="D56" s="5" t="n">
        <v>24</v>
      </c>
      <c r="E56" s="13" t="n">
        <v>7.53</v>
      </c>
      <c r="F56" s="14" t="n">
        <f aca="false">E56*Assumptions!$D$4</f>
        <v>976.329000299212</v>
      </c>
      <c r="G56" s="14" t="n">
        <v>820</v>
      </c>
      <c r="H56" s="14" t="n">
        <v>1125</v>
      </c>
      <c r="I56" s="14" t="n">
        <f aca="false">F56-(G56+H56)/2</f>
        <v>3.829000299212</v>
      </c>
      <c r="J56" s="5" t="str">
        <f aca="false">IF(D56&lt;8,"LOW SAMPLE",IF(F56&gt;H56*(1+Assumptions!$B$10),"UNDERPAID",IF(F56&lt;G56*(1-Assumptions!$B$10),"OVERPAID","FAIR")))</f>
        <v>FAIR</v>
      </c>
      <c r="K56" s="5" t="n">
        <v>113</v>
      </c>
    </row>
    <row r="57" customFormat="false" ht="15" hidden="false" customHeight="false" outlineLevel="0" collapsed="false">
      <c r="A57" s="5" t="n">
        <v>2021</v>
      </c>
      <c r="B57" s="5" t="s">
        <v>73</v>
      </c>
      <c r="C57" s="5" t="s">
        <v>92</v>
      </c>
      <c r="D57" s="5" t="n">
        <v>18</v>
      </c>
      <c r="E57" s="13" t="n">
        <v>1.97</v>
      </c>
      <c r="F57" s="14" t="n">
        <f aca="false">E57*Assumptions!$D$4</f>
        <v>255.427374580272</v>
      </c>
      <c r="G57" s="14" t="n">
        <v>215</v>
      </c>
      <c r="H57" s="14" t="n">
        <v>330</v>
      </c>
      <c r="I57" s="14" t="n">
        <f aca="false">F57-(G57+H57)/2</f>
        <v>-17.0726254197281</v>
      </c>
      <c r="J57" s="5" t="str">
        <f aca="false">IF(D57&lt;8,"LOW SAMPLE",IF(F57&gt;H57*(1+Assumptions!$B$10),"UNDERPAID",IF(F57&lt;G57*(1-Assumptions!$B$10),"OVERPAID","FAIR")))</f>
        <v>FAIR</v>
      </c>
      <c r="K57" s="5" t="n">
        <v>0</v>
      </c>
    </row>
    <row r="58" customFormat="false" ht="15" hidden="false" customHeight="false" outlineLevel="0" collapsed="false">
      <c r="A58" s="5" t="n">
        <v>2021</v>
      </c>
      <c r="B58" s="5" t="s">
        <v>73</v>
      </c>
      <c r="C58" s="5" t="s">
        <v>93</v>
      </c>
      <c r="D58" s="5" t="n">
        <v>24</v>
      </c>
      <c r="E58" s="13" t="n">
        <v>5.83</v>
      </c>
      <c r="F58" s="14" t="n">
        <f aca="false">E58*Assumptions!$D$4</f>
        <v>755.909438478673</v>
      </c>
      <c r="G58" s="14" t="n">
        <v>215</v>
      </c>
      <c r="H58" s="14" t="n">
        <v>330</v>
      </c>
      <c r="I58" s="14" t="n">
        <f aca="false">F58-(G58+H58)/2</f>
        <v>483.409438478673</v>
      </c>
      <c r="J58" s="5" t="str">
        <f aca="false">IF(D58&lt;8,"LOW SAMPLE",IF(F58&gt;H58*(1+Assumptions!$B$10),"UNDERPAID",IF(F58&lt;G58*(1-Assumptions!$B$10),"OVERPAID","FAIR")))</f>
        <v>UNDERPAID</v>
      </c>
      <c r="K58" s="5" t="n">
        <v>82</v>
      </c>
    </row>
    <row r="59" customFormat="false" ht="15" hidden="false" customHeight="false" outlineLevel="0" collapsed="false">
      <c r="A59" s="5" t="n">
        <v>2021</v>
      </c>
      <c r="B59" s="5" t="s">
        <v>73</v>
      </c>
      <c r="C59" s="5" t="s">
        <v>94</v>
      </c>
      <c r="D59" s="5" t="n">
        <v>18</v>
      </c>
      <c r="E59" s="13" t="n">
        <v>2.05</v>
      </c>
      <c r="F59" s="14" t="n">
        <f aca="false">E59*Assumptions!$D$4</f>
        <v>265.800059842415</v>
      </c>
      <c r="G59" s="14" t="n">
        <v>120</v>
      </c>
      <c r="H59" s="14" t="n">
        <v>215</v>
      </c>
      <c r="I59" s="14" t="n">
        <f aca="false">F59-(G59+H59)/2</f>
        <v>98.300059842415</v>
      </c>
      <c r="J59" s="5" t="str">
        <f aca="false">IF(D59&lt;8,"LOW SAMPLE",IF(F59&gt;H59*(1+Assumptions!$B$10),"UNDERPAID",IF(F59&lt;G59*(1-Assumptions!$B$10),"OVERPAID","FAIR")))</f>
        <v>UNDERPAID</v>
      </c>
      <c r="K59" s="5" t="n">
        <v>5</v>
      </c>
    </row>
    <row r="60" customFormat="false" ht="15" hidden="false" customHeight="false" outlineLevel="0" collapsed="false">
      <c r="A60" s="5" t="n">
        <v>2021</v>
      </c>
      <c r="B60" s="5" t="s">
        <v>73</v>
      </c>
      <c r="C60" s="5" t="s">
        <v>95</v>
      </c>
      <c r="D60" s="5" t="n">
        <v>17</v>
      </c>
      <c r="E60" s="13" t="n">
        <v>4.59</v>
      </c>
      <c r="F60" s="14" t="n">
        <f aca="false">E60*Assumptions!$D$4</f>
        <v>595.132816915456</v>
      </c>
      <c r="G60" s="14" t="n">
        <v>820</v>
      </c>
      <c r="H60" s="14" t="n">
        <v>1125</v>
      </c>
      <c r="I60" s="14" t="n">
        <f aca="false">F60-(G60+H60)/2</f>
        <v>-377.367183084544</v>
      </c>
      <c r="J60" s="5" t="str">
        <f aca="false">IF(D60&lt;8,"LOW SAMPLE",IF(F60&gt;H60*(1+Assumptions!$B$10),"UNDERPAID",IF(F60&lt;G60*(1-Assumptions!$B$10),"OVERPAID","FAIR")))</f>
        <v>OVERPAID</v>
      </c>
      <c r="K60" s="5" t="n">
        <v>132</v>
      </c>
    </row>
    <row r="61" customFormat="false" ht="15" hidden="false" customHeight="false" outlineLevel="0" collapsed="false">
      <c r="A61" s="5" t="n">
        <v>2021</v>
      </c>
      <c r="B61" s="5" t="s">
        <v>73</v>
      </c>
      <c r="C61" s="5" t="s">
        <v>96</v>
      </c>
      <c r="D61" s="5" t="n">
        <v>24</v>
      </c>
      <c r="E61" s="13" t="n">
        <v>5.53</v>
      </c>
      <c r="F61" s="14" t="n">
        <f aca="false">E61*Assumptions!$D$4</f>
        <v>717.011868745636</v>
      </c>
      <c r="G61" s="14" t="n">
        <v>330</v>
      </c>
      <c r="H61" s="14" t="n">
        <v>435</v>
      </c>
      <c r="I61" s="14" t="n">
        <f aca="false">F61-(G61+H61)/2</f>
        <v>334.511868745636</v>
      </c>
      <c r="J61" s="5" t="str">
        <f aca="false">IF(D61&lt;8,"LOW SAMPLE",IF(F61&gt;H61*(1+Assumptions!$B$10),"UNDERPAID",IF(F61&lt;G61*(1-Assumptions!$B$10),"OVERPAID","FAIR")))</f>
        <v>UNDERPAID</v>
      </c>
      <c r="K61" s="5" t="n">
        <v>65</v>
      </c>
    </row>
    <row r="62" customFormat="false" ht="15" hidden="false" customHeight="false" outlineLevel="0" collapsed="false">
      <c r="A62" s="5" t="n">
        <v>2021</v>
      </c>
      <c r="B62" s="5" t="s">
        <v>73</v>
      </c>
      <c r="C62" s="5" t="s">
        <v>97</v>
      </c>
      <c r="D62" s="5" t="n">
        <v>17</v>
      </c>
      <c r="E62" s="13" t="n">
        <v>3.67</v>
      </c>
      <c r="F62" s="14" t="n">
        <f aca="false">E62*Assumptions!$D$4</f>
        <v>475.846936400811</v>
      </c>
      <c r="G62" s="14" t="n">
        <v>215</v>
      </c>
      <c r="H62" s="14" t="n">
        <v>330</v>
      </c>
      <c r="I62" s="14" t="n">
        <f aca="false">F62-(G62+H62)/2</f>
        <v>203.346936400811</v>
      </c>
      <c r="J62" s="5" t="str">
        <f aca="false">IF(D62&lt;8,"LOW SAMPLE",IF(F62&gt;H62*(1+Assumptions!$B$10),"UNDERPAID",IF(F62&lt;G62*(1-Assumptions!$B$10),"OVERPAID","FAIR")))</f>
        <v>UNDERPAID</v>
      </c>
      <c r="K62" s="5" t="n">
        <v>38</v>
      </c>
    </row>
    <row r="63" customFormat="false" ht="15" hidden="false" customHeight="false" outlineLevel="0" collapsed="false">
      <c r="A63" s="5" t="n">
        <v>2021</v>
      </c>
      <c r="B63" s="5" t="s">
        <v>73</v>
      </c>
      <c r="C63" s="5" t="s">
        <v>98</v>
      </c>
      <c r="D63" s="5" t="n">
        <v>22</v>
      </c>
      <c r="E63" s="13" t="n">
        <v>4.84</v>
      </c>
      <c r="F63" s="14" t="n">
        <f aca="false">E63*Assumptions!$D$4</f>
        <v>627.547458359653</v>
      </c>
      <c r="G63" s="14" t="n">
        <v>590</v>
      </c>
      <c r="H63" s="14" t="n">
        <v>820</v>
      </c>
      <c r="I63" s="14" t="n">
        <f aca="false">F63-(G63+H63)/2</f>
        <v>-77.4525416403471</v>
      </c>
      <c r="J63" s="5" t="str">
        <f aca="false">IF(D63&lt;8,"LOW SAMPLE",IF(F63&gt;H63*(1+Assumptions!$B$10),"UNDERPAID",IF(F63&lt;G63*(1-Assumptions!$B$10),"OVERPAID","FAIR")))</f>
        <v>FAIR</v>
      </c>
      <c r="K63" s="5" t="n">
        <v>110</v>
      </c>
    </row>
    <row r="64" customFormat="false" ht="15" hidden="false" customHeight="false" outlineLevel="0" collapsed="false">
      <c r="A64" s="5" t="n">
        <v>2021</v>
      </c>
      <c r="B64" s="5" t="s">
        <v>73</v>
      </c>
      <c r="C64" s="5" t="s">
        <v>99</v>
      </c>
      <c r="D64" s="5" t="n">
        <v>7</v>
      </c>
      <c r="E64" s="13" t="n">
        <v>0.79</v>
      </c>
      <c r="F64" s="14" t="n">
        <f aca="false">E64*Assumptions!$D$4</f>
        <v>102.430266963662</v>
      </c>
      <c r="G64" s="14" t="n">
        <v>215</v>
      </c>
      <c r="H64" s="14" t="n">
        <v>330</v>
      </c>
      <c r="I64" s="14" t="n">
        <f aca="false">F64-(G64+H64)/2</f>
        <v>-170.069733036338</v>
      </c>
      <c r="J64" s="5" t="str">
        <f aca="false">IF(D64&lt;8,"LOW SAMPLE",IF(F64&gt;H64*(1+Assumptions!$B$10),"UNDERPAID",IF(F64&lt;G64*(1-Assumptions!$B$10),"OVERPAID","FAIR")))</f>
        <v>LOW SAMPLE</v>
      </c>
      <c r="K64" s="5" t="n">
        <v>34</v>
      </c>
    </row>
    <row r="65" customFormat="false" ht="15" hidden="false" customHeight="false" outlineLevel="0" collapsed="false">
      <c r="A65" s="5" t="n">
        <v>2021</v>
      </c>
      <c r="B65" s="5" t="s">
        <v>73</v>
      </c>
      <c r="C65" s="5" t="s">
        <v>100</v>
      </c>
      <c r="D65" s="5" t="n">
        <v>23</v>
      </c>
      <c r="E65" s="13" t="n">
        <v>6.79</v>
      </c>
      <c r="F65" s="14" t="n">
        <f aca="false">E65*Assumptions!$D$4</f>
        <v>880.381661624389</v>
      </c>
      <c r="G65" s="14" t="n">
        <v>435</v>
      </c>
      <c r="H65" s="14" t="n">
        <v>590</v>
      </c>
      <c r="I65" s="14" t="n">
        <f aca="false">F65-(G65+H65)/2</f>
        <v>367.881661624389</v>
      </c>
      <c r="J65" s="5" t="str">
        <f aca="false">IF(D65&lt;8,"LOW SAMPLE",IF(F65&gt;H65*(1+Assumptions!$B$10),"UNDERPAID",IF(F65&lt;G65*(1-Assumptions!$B$10),"OVERPAID","FAIR")))</f>
        <v>UNDERPAID</v>
      </c>
      <c r="K65" s="5" t="n">
        <v>56</v>
      </c>
    </row>
    <row r="66" customFormat="false" ht="15" hidden="false" customHeight="false" outlineLevel="0" collapsed="false">
      <c r="A66" s="5" t="n">
        <v>2021</v>
      </c>
      <c r="B66" s="5" t="s">
        <v>73</v>
      </c>
      <c r="C66" s="5" t="s">
        <v>101</v>
      </c>
      <c r="D66" s="5" t="n">
        <v>15</v>
      </c>
      <c r="E66" s="13" t="n">
        <v>1.78</v>
      </c>
      <c r="F66" s="14" t="n">
        <f aca="false">E66*Assumptions!$D$4</f>
        <v>230.792247082682</v>
      </c>
      <c r="G66" s="14" t="n">
        <v>215</v>
      </c>
      <c r="H66" s="14" t="n">
        <v>330</v>
      </c>
      <c r="I66" s="14" t="n">
        <f aca="false">F66-(G66+H66)/2</f>
        <v>-41.7077529173178</v>
      </c>
      <c r="J66" s="5" t="str">
        <f aca="false">IF(D66&lt;8,"LOW SAMPLE",IF(F66&gt;H66*(1+Assumptions!$B$10),"UNDERPAID",IF(F66&lt;G66*(1-Assumptions!$B$10),"OVERPAID","FAIR")))</f>
        <v>FAIR</v>
      </c>
      <c r="K66" s="5" t="n">
        <v>47</v>
      </c>
    </row>
    <row r="67" customFormat="false" ht="15" hidden="false" customHeight="false" outlineLevel="0" collapsed="false">
      <c r="A67" s="5" t="n">
        <v>2021</v>
      </c>
      <c r="B67" s="5" t="s">
        <v>73</v>
      </c>
      <c r="C67" s="5" t="s">
        <v>102</v>
      </c>
      <c r="D67" s="5" t="n">
        <v>17</v>
      </c>
      <c r="E67" s="13" t="n">
        <v>2.3</v>
      </c>
      <c r="F67" s="14" t="n">
        <f aca="false">E67*Assumptions!$D$4</f>
        <v>298.214701286612</v>
      </c>
      <c r="G67" s="14" t="n">
        <v>330</v>
      </c>
      <c r="H67" s="14" t="n">
        <v>435</v>
      </c>
      <c r="I67" s="14" t="n">
        <f aca="false">F67-(G67+H67)/2</f>
        <v>-84.2852987133881</v>
      </c>
      <c r="J67" s="5" t="str">
        <f aca="false">IF(D67&lt;8,"LOW SAMPLE",IF(F67&gt;H67*(1+Assumptions!$B$10),"UNDERPAID",IF(F67&lt;G67*(1-Assumptions!$B$10),"OVERPAID","FAIR")))</f>
        <v>FAIR</v>
      </c>
      <c r="K67" s="5" t="n">
        <v>89</v>
      </c>
    </row>
    <row r="68" customFormat="false" ht="15" hidden="false" customHeight="false" outlineLevel="0" collapsed="false">
      <c r="A68" s="5" t="n">
        <v>2021</v>
      </c>
      <c r="B68" s="5" t="s">
        <v>73</v>
      </c>
      <c r="C68" s="5" t="s">
        <v>103</v>
      </c>
      <c r="D68" s="5" t="n">
        <v>11</v>
      </c>
      <c r="E68" s="13" t="n">
        <v>0.56</v>
      </c>
      <c r="F68" s="14" t="n">
        <f aca="false">E68*Assumptions!$D$4</f>
        <v>72.6087968350012</v>
      </c>
      <c r="G68" s="14" t="n">
        <v>120</v>
      </c>
      <c r="H68" s="14" t="n">
        <v>215</v>
      </c>
      <c r="I68" s="14" t="n">
        <f aca="false">F68-(G68+H68)/2</f>
        <v>-94.8912031649988</v>
      </c>
      <c r="J68" s="5" t="str">
        <f aca="false">IF(D68&lt;8,"LOW SAMPLE",IF(F68&gt;H68*(1+Assumptions!$B$10),"UNDERPAID",IF(F68&lt;G68*(1-Assumptions!$B$10),"OVERPAID","FAIR")))</f>
        <v>OVERPAID</v>
      </c>
      <c r="K68" s="5" t="n">
        <v>6</v>
      </c>
    </row>
    <row r="69" customFormat="false" ht="15" hidden="false" customHeight="false" outlineLevel="0" collapsed="false">
      <c r="A69" s="5" t="n">
        <v>2021</v>
      </c>
      <c r="B69" s="5" t="s">
        <v>73</v>
      </c>
      <c r="C69" s="5" t="s">
        <v>104</v>
      </c>
      <c r="D69" s="5" t="n">
        <v>12</v>
      </c>
      <c r="E69" s="13" t="n">
        <v>1.53</v>
      </c>
      <c r="F69" s="14" t="n">
        <f aca="false">E69*Assumptions!$D$4</f>
        <v>198.377605638485</v>
      </c>
      <c r="G69" s="14" t="n">
        <v>120</v>
      </c>
      <c r="H69" s="14" t="n">
        <v>215</v>
      </c>
      <c r="I69" s="14" t="n">
        <f aca="false">F69-(G69+H69)/2</f>
        <v>30.8776056384853</v>
      </c>
      <c r="J69" s="5" t="str">
        <f aca="false">IF(D69&lt;8,"LOW SAMPLE",IF(F69&gt;H69*(1+Assumptions!$B$10),"UNDERPAID",IF(F69&lt;G69*(1-Assumptions!$B$10),"OVERPAID","FAIR")))</f>
        <v>FAIR</v>
      </c>
      <c r="K69" s="5" t="n">
        <v>2</v>
      </c>
    </row>
    <row r="70" customFormat="false" ht="15" hidden="false" customHeight="false" outlineLevel="0" collapsed="false">
      <c r="A70" s="5" t="n">
        <v>2021</v>
      </c>
      <c r="B70" s="5" t="s">
        <v>73</v>
      </c>
      <c r="C70" s="5" t="s">
        <v>105</v>
      </c>
      <c r="D70" s="5" t="n">
        <v>24</v>
      </c>
      <c r="E70" s="13" t="n">
        <v>6.06</v>
      </c>
      <c r="F70" s="14" t="n">
        <f aca="false">E70*Assumptions!$D$4</f>
        <v>785.730908607334</v>
      </c>
      <c r="G70" s="14" t="n">
        <v>330</v>
      </c>
      <c r="H70" s="14" t="n">
        <v>435</v>
      </c>
      <c r="I70" s="14" t="n">
        <f aca="false">F70-(G70+H70)/2</f>
        <v>403.230908607334</v>
      </c>
      <c r="J70" s="5" t="str">
        <f aca="false">IF(D70&lt;8,"LOW SAMPLE",IF(F70&gt;H70*(1+Assumptions!$B$10),"UNDERPAID",IF(F70&lt;G70*(1-Assumptions!$B$10),"OVERPAID","FAIR")))</f>
        <v>UNDERPAID</v>
      </c>
      <c r="K70" s="5" t="n">
        <v>46</v>
      </c>
    </row>
    <row r="71" customFormat="false" ht="15" hidden="false" customHeight="false" outlineLevel="0" collapsed="false">
      <c r="A71" s="5" t="n">
        <v>2021</v>
      </c>
      <c r="B71" s="5" t="s">
        <v>106</v>
      </c>
      <c r="C71" s="5" t="s">
        <v>107</v>
      </c>
      <c r="D71" s="5" t="n">
        <v>22</v>
      </c>
      <c r="E71" s="13" t="n">
        <v>4.7</v>
      </c>
      <c r="F71" s="14" t="n">
        <f aca="false">E71*Assumptions!$D$4</f>
        <v>609.395259150903</v>
      </c>
      <c r="G71" s="14" t="n">
        <v>435</v>
      </c>
      <c r="H71" s="14" t="n">
        <v>590</v>
      </c>
      <c r="I71" s="14" t="n">
        <f aca="false">F71-(G71+H71)/2</f>
        <v>96.8952591509026</v>
      </c>
      <c r="J71" s="5" t="str">
        <f aca="false">IF(D71&lt;8,"LOW SAMPLE",IF(F71&gt;H71*(1+Assumptions!$B$10),"UNDERPAID",IF(F71&lt;G71*(1-Assumptions!$B$10),"OVERPAID","FAIR")))</f>
        <v>FAIR</v>
      </c>
      <c r="K71" s="5" t="n">
        <v>109</v>
      </c>
    </row>
    <row r="72" customFormat="false" ht="15" hidden="false" customHeight="false" outlineLevel="0" collapsed="false">
      <c r="A72" s="5" t="n">
        <v>2021</v>
      </c>
      <c r="B72" s="5" t="s">
        <v>106</v>
      </c>
      <c r="C72" s="5" t="s">
        <v>108</v>
      </c>
      <c r="D72" s="5" t="n">
        <v>2</v>
      </c>
      <c r="E72" s="13" t="n">
        <v>0.26</v>
      </c>
      <c r="F72" s="14" t="n">
        <f aca="false">E72*Assumptions!$D$4</f>
        <v>33.7112271019648</v>
      </c>
      <c r="G72" s="14" t="n">
        <v>215</v>
      </c>
      <c r="H72" s="14" t="n">
        <v>330</v>
      </c>
      <c r="I72" s="14" t="n">
        <f aca="false">F72-(G72+H72)/2</f>
        <v>-238.788772898035</v>
      </c>
      <c r="J72" s="5" t="str">
        <f aca="false">IF(D72&lt;8,"LOW SAMPLE",IF(F72&gt;H72*(1+Assumptions!$B$10),"UNDERPAID",IF(F72&lt;G72*(1-Assumptions!$B$10),"OVERPAID","FAIR")))</f>
        <v>LOW SAMPLE</v>
      </c>
      <c r="K72" s="5" t="n">
        <v>0</v>
      </c>
    </row>
    <row r="73" customFormat="false" ht="15" hidden="false" customHeight="false" outlineLevel="0" collapsed="false">
      <c r="A73" s="5" t="n">
        <v>2021</v>
      </c>
      <c r="B73" s="5" t="s">
        <v>106</v>
      </c>
      <c r="C73" s="5" t="s">
        <v>109</v>
      </c>
      <c r="D73" s="5" t="n">
        <v>4</v>
      </c>
      <c r="E73" s="13" t="n">
        <v>0.61</v>
      </c>
      <c r="F73" s="14" t="n">
        <f aca="false">E73*Assumptions!$D$4</f>
        <v>79.0917251238406</v>
      </c>
      <c r="G73" s="14" t="n">
        <v>330</v>
      </c>
      <c r="H73" s="14" t="n">
        <v>435</v>
      </c>
      <c r="I73" s="14" t="n">
        <f aca="false">F73-(G73+H73)/2</f>
        <v>-303.408274876159</v>
      </c>
      <c r="J73" s="5" t="str">
        <f aca="false">IF(D73&lt;8,"LOW SAMPLE",IF(F73&gt;H73*(1+Assumptions!$B$10),"UNDERPAID",IF(F73&lt;G73*(1-Assumptions!$B$10),"OVERPAID","FAIR")))</f>
        <v>LOW SAMPLE</v>
      </c>
      <c r="K73" s="5" t="n">
        <v>58</v>
      </c>
    </row>
    <row r="74" customFormat="false" ht="15" hidden="false" customHeight="false" outlineLevel="0" collapsed="false">
      <c r="A74" s="5" t="n">
        <v>2021</v>
      </c>
      <c r="B74" s="5" t="s">
        <v>106</v>
      </c>
      <c r="C74" s="5" t="s">
        <v>110</v>
      </c>
      <c r="D74" s="5" t="n">
        <v>2</v>
      </c>
      <c r="E74" s="13" t="n">
        <v>0.17</v>
      </c>
      <c r="F74" s="14" t="n">
        <f aca="false">E74*Assumptions!$D$4</f>
        <v>22.0419561820539</v>
      </c>
      <c r="G74" s="14" t="n">
        <v>215</v>
      </c>
      <c r="H74" s="14" t="n">
        <v>330</v>
      </c>
      <c r="I74" s="14" t="n">
        <f aca="false">F74-(G74+H74)/2</f>
        <v>-250.458043817946</v>
      </c>
      <c r="J74" s="5" t="str">
        <f aca="false">IF(D74&lt;8,"LOW SAMPLE",IF(F74&gt;H74*(1+Assumptions!$B$10),"UNDERPAID",IF(F74&lt;G74*(1-Assumptions!$B$10),"OVERPAID","FAIR")))</f>
        <v>LOW SAMPLE</v>
      </c>
      <c r="K74" s="5" t="n">
        <v>0</v>
      </c>
    </row>
    <row r="75" customFormat="false" ht="15" hidden="false" customHeight="false" outlineLevel="0" collapsed="false">
      <c r="A75" s="5" t="n">
        <v>2021</v>
      </c>
      <c r="B75" s="5" t="s">
        <v>106</v>
      </c>
      <c r="C75" s="5" t="s">
        <v>111</v>
      </c>
      <c r="D75" s="5" t="n">
        <v>4</v>
      </c>
      <c r="E75" s="13" t="n">
        <v>0.77</v>
      </c>
      <c r="F75" s="14" t="n">
        <f aca="false">E75*Assumptions!$D$4</f>
        <v>99.8370956481266</v>
      </c>
      <c r="G75" s="14" t="n">
        <v>215</v>
      </c>
      <c r="H75" s="14" t="n">
        <v>330</v>
      </c>
      <c r="I75" s="14" t="n">
        <f aca="false">F75-(G75+H75)/2</f>
        <v>-172.662904351873</v>
      </c>
      <c r="J75" s="5" t="str">
        <f aca="false">IF(D75&lt;8,"LOW SAMPLE",IF(F75&gt;H75*(1+Assumptions!$B$10),"UNDERPAID",IF(F75&lt;G75*(1-Assumptions!$B$10),"OVERPAID","FAIR")))</f>
        <v>LOW SAMPLE</v>
      </c>
      <c r="K75" s="5" t="n">
        <v>37</v>
      </c>
    </row>
    <row r="76" customFormat="false" ht="15" hidden="false" customHeight="false" outlineLevel="0" collapsed="false">
      <c r="A76" s="5" t="n">
        <v>2021</v>
      </c>
      <c r="B76" s="5" t="s">
        <v>106</v>
      </c>
      <c r="C76" s="5" t="s">
        <v>112</v>
      </c>
      <c r="D76" s="5" t="n">
        <v>22</v>
      </c>
      <c r="E76" s="13" t="n">
        <v>5.1</v>
      </c>
      <c r="F76" s="14" t="n">
        <f aca="false">E76*Assumptions!$D$4</f>
        <v>661.258685461618</v>
      </c>
      <c r="G76" s="14" t="n">
        <v>590</v>
      </c>
      <c r="H76" s="14" t="n">
        <v>820</v>
      </c>
      <c r="I76" s="14" t="n">
        <f aca="false">F76-(G76+H76)/2</f>
        <v>-43.7413145383823</v>
      </c>
      <c r="J76" s="5" t="str">
        <f aca="false">IF(D76&lt;8,"LOW SAMPLE",IF(F76&gt;H76*(1+Assumptions!$B$10),"UNDERPAID",IF(F76&lt;G76*(1-Assumptions!$B$10),"OVERPAID","FAIR")))</f>
        <v>FAIR</v>
      </c>
      <c r="K76" s="5" t="n">
        <v>116</v>
      </c>
    </row>
    <row r="77" customFormat="false" ht="15" hidden="false" customHeight="false" outlineLevel="0" collapsed="false">
      <c r="A77" s="5" t="n">
        <v>2021</v>
      </c>
      <c r="B77" s="5" t="s">
        <v>106</v>
      </c>
      <c r="C77" s="5" t="s">
        <v>113</v>
      </c>
      <c r="D77" s="5" t="n">
        <v>19</v>
      </c>
      <c r="E77" s="13" t="n">
        <v>3.25</v>
      </c>
      <c r="F77" s="14" t="n">
        <f aca="false">E77*Assumptions!$D$4</f>
        <v>421.39033877456</v>
      </c>
      <c r="G77" s="14" t="n">
        <v>435</v>
      </c>
      <c r="H77" s="14" t="n">
        <v>590</v>
      </c>
      <c r="I77" s="14" t="n">
        <f aca="false">F77-(G77+H77)/2</f>
        <v>-91.1096612254397</v>
      </c>
      <c r="J77" s="5" t="str">
        <f aca="false">IF(D77&lt;8,"LOW SAMPLE",IF(F77&gt;H77*(1+Assumptions!$B$10),"UNDERPAID",IF(F77&lt;G77*(1-Assumptions!$B$10),"OVERPAID","FAIR")))</f>
        <v>FAIR</v>
      </c>
      <c r="K77" s="5" t="n">
        <v>125</v>
      </c>
    </row>
    <row r="78" customFormat="false" ht="15" hidden="false" customHeight="false" outlineLevel="0" collapsed="false">
      <c r="A78" s="5" t="n">
        <v>2021</v>
      </c>
      <c r="B78" s="5" t="s">
        <v>106</v>
      </c>
      <c r="C78" s="5" t="s">
        <v>114</v>
      </c>
      <c r="D78" s="5" t="n">
        <v>19</v>
      </c>
      <c r="E78" s="13" t="n">
        <v>5.83</v>
      </c>
      <c r="F78" s="14" t="n">
        <f aca="false">E78*Assumptions!$D$4</f>
        <v>755.909438478673</v>
      </c>
      <c r="G78" s="14" t="n">
        <v>435</v>
      </c>
      <c r="H78" s="14" t="n">
        <v>590</v>
      </c>
      <c r="I78" s="14" t="n">
        <f aca="false">F78-(G78+H78)/2</f>
        <v>243.409438478673</v>
      </c>
      <c r="J78" s="5" t="str">
        <f aca="false">IF(D78&lt;8,"LOW SAMPLE",IF(F78&gt;H78*(1+Assumptions!$B$10),"UNDERPAID",IF(F78&lt;G78*(1-Assumptions!$B$10),"OVERPAID","FAIR")))</f>
        <v>UNDERPAID</v>
      </c>
      <c r="K78" s="5" t="n">
        <v>48</v>
      </c>
    </row>
    <row r="79" customFormat="false" ht="15" hidden="false" customHeight="false" outlineLevel="0" collapsed="false">
      <c r="A79" s="5" t="n">
        <v>2021</v>
      </c>
      <c r="B79" s="5" t="s">
        <v>106</v>
      </c>
      <c r="C79" s="5" t="s">
        <v>115</v>
      </c>
      <c r="D79" s="5" t="n">
        <v>11</v>
      </c>
      <c r="E79" s="13" t="n">
        <v>2.1</v>
      </c>
      <c r="F79" s="14" t="n">
        <f aca="false">E79*Assumptions!$D$4</f>
        <v>272.282988131254</v>
      </c>
      <c r="G79" s="14" t="n">
        <v>435</v>
      </c>
      <c r="H79" s="14" t="n">
        <v>590</v>
      </c>
      <c r="I79" s="14" t="n">
        <f aca="false">F79-(G79+H79)/2</f>
        <v>-240.217011868746</v>
      </c>
      <c r="J79" s="5" t="str">
        <f aca="false">IF(D79&lt;8,"LOW SAMPLE",IF(F79&gt;H79*(1+Assumptions!$B$10),"UNDERPAID",IF(F79&lt;G79*(1-Assumptions!$B$10),"OVERPAID","FAIR")))</f>
        <v>OVERPAID</v>
      </c>
      <c r="K79" s="5" t="n">
        <v>101</v>
      </c>
    </row>
    <row r="80" customFormat="false" ht="15" hidden="false" customHeight="false" outlineLevel="0" collapsed="false">
      <c r="A80" s="5" t="n">
        <v>2021</v>
      </c>
      <c r="B80" s="5" t="s">
        <v>106</v>
      </c>
      <c r="C80" s="5" t="s">
        <v>116</v>
      </c>
      <c r="D80" s="5" t="n">
        <v>19</v>
      </c>
      <c r="E80" s="13" t="n">
        <v>2.72</v>
      </c>
      <c r="F80" s="14" t="n">
        <f aca="false">E80*Assumptions!$D$4</f>
        <v>352.671298912863</v>
      </c>
      <c r="G80" s="14" t="n">
        <v>435</v>
      </c>
      <c r="H80" s="14" t="n">
        <v>590</v>
      </c>
      <c r="I80" s="14" t="n">
        <f aca="false">F80-(G80+H80)/2</f>
        <v>-159.828701087137</v>
      </c>
      <c r="J80" s="5" t="str">
        <f aca="false">IF(D80&lt;8,"LOW SAMPLE",IF(F80&gt;H80*(1+Assumptions!$B$10),"UNDERPAID",IF(F80&lt;G80*(1-Assumptions!$B$10),"OVERPAID","FAIR")))</f>
        <v>OVERPAID</v>
      </c>
      <c r="K80" s="5" t="n">
        <v>125</v>
      </c>
    </row>
    <row r="81" customFormat="false" ht="15" hidden="false" customHeight="false" outlineLevel="0" collapsed="false">
      <c r="A81" s="5" t="n">
        <v>2021</v>
      </c>
      <c r="B81" s="5" t="s">
        <v>106</v>
      </c>
      <c r="C81" s="5" t="s">
        <v>117</v>
      </c>
      <c r="D81" s="5" t="n">
        <v>15</v>
      </c>
      <c r="E81" s="13" t="n">
        <v>2.58</v>
      </c>
      <c r="F81" s="14" t="n">
        <f aca="false">E81*Assumptions!$D$4</f>
        <v>334.519099704113</v>
      </c>
      <c r="G81" s="14" t="n">
        <v>215</v>
      </c>
      <c r="H81" s="14" t="n">
        <v>330</v>
      </c>
      <c r="I81" s="14" t="n">
        <f aca="false">F81-(G81+H81)/2</f>
        <v>62.0190997041125</v>
      </c>
      <c r="J81" s="5" t="str">
        <f aca="false">IF(D81&lt;8,"LOW SAMPLE",IF(F81&gt;H81*(1+Assumptions!$B$10),"UNDERPAID",IF(F81&lt;G81*(1-Assumptions!$B$10),"OVERPAID","FAIR")))</f>
        <v>FAIR</v>
      </c>
      <c r="K81" s="5" t="n">
        <v>63</v>
      </c>
    </row>
    <row r="82" customFormat="false" ht="15" hidden="false" customHeight="false" outlineLevel="0" collapsed="false">
      <c r="A82" s="5" t="n">
        <v>2021</v>
      </c>
      <c r="B82" s="5" t="s">
        <v>106</v>
      </c>
      <c r="C82" s="5" t="s">
        <v>118</v>
      </c>
      <c r="D82" s="5" t="n">
        <v>22</v>
      </c>
      <c r="E82" s="13" t="n">
        <v>5.94</v>
      </c>
      <c r="F82" s="14" t="n">
        <f aca="false">E82*Assumptions!$D$4</f>
        <v>770.171880714119</v>
      </c>
      <c r="G82" s="14" t="n">
        <v>435</v>
      </c>
      <c r="H82" s="14" t="n">
        <v>590</v>
      </c>
      <c r="I82" s="14" t="n">
        <f aca="false">F82-(G82+H82)/2</f>
        <v>257.671880714119</v>
      </c>
      <c r="J82" s="5" t="str">
        <f aca="false">IF(D82&lt;8,"LOW SAMPLE",IF(F82&gt;H82*(1+Assumptions!$B$10),"UNDERPAID",IF(F82&lt;G82*(1-Assumptions!$B$10),"OVERPAID","FAIR")))</f>
        <v>UNDERPAID</v>
      </c>
      <c r="K82" s="5" t="n">
        <v>93</v>
      </c>
    </row>
    <row r="83" customFormat="false" ht="15" hidden="false" customHeight="false" outlineLevel="0" collapsed="false">
      <c r="A83" s="5" t="n">
        <v>2021</v>
      </c>
      <c r="B83" s="5" t="s">
        <v>106</v>
      </c>
      <c r="C83" s="5" t="s">
        <v>119</v>
      </c>
      <c r="D83" s="5" t="n">
        <v>5</v>
      </c>
      <c r="E83" s="13" t="n">
        <v>0.81</v>
      </c>
      <c r="F83" s="14" t="n">
        <f aca="false">E83*Assumptions!$D$4</f>
        <v>105.023438279198</v>
      </c>
      <c r="G83" s="14" t="n">
        <v>120</v>
      </c>
      <c r="H83" s="14" t="n">
        <v>215</v>
      </c>
      <c r="I83" s="14" t="n">
        <f aca="false">F83-(G83+H83)/2</f>
        <v>-62.4765617208019</v>
      </c>
      <c r="J83" s="5" t="str">
        <f aca="false">IF(D83&lt;8,"LOW SAMPLE",IF(F83&gt;H83*(1+Assumptions!$B$10),"UNDERPAID",IF(F83&lt;G83*(1-Assumptions!$B$10),"OVERPAID","FAIR")))</f>
        <v>LOW SAMPLE</v>
      </c>
      <c r="K83" s="5" t="n">
        <v>1</v>
      </c>
    </row>
    <row r="84" customFormat="false" ht="15" hidden="false" customHeight="false" outlineLevel="0" collapsed="false">
      <c r="A84" s="5" t="n">
        <v>2021</v>
      </c>
      <c r="B84" s="5" t="s">
        <v>106</v>
      </c>
      <c r="C84" s="5" t="s">
        <v>120</v>
      </c>
      <c r="D84" s="5" t="n">
        <v>17</v>
      </c>
      <c r="E84" s="13" t="n">
        <v>2.73</v>
      </c>
      <c r="F84" s="14" t="n">
        <f aca="false">E84*Assumptions!$D$4</f>
        <v>353.967884570631</v>
      </c>
      <c r="G84" s="14" t="n">
        <v>120</v>
      </c>
      <c r="H84" s="14" t="n">
        <v>215</v>
      </c>
      <c r="I84" s="14" t="n">
        <f aca="false">F84-(G84+H84)/2</f>
        <v>186.467884570631</v>
      </c>
      <c r="J84" s="5" t="str">
        <f aca="false">IF(D84&lt;8,"LOW SAMPLE",IF(F84&gt;H84*(1+Assumptions!$B$10),"UNDERPAID",IF(F84&lt;G84*(1-Assumptions!$B$10),"OVERPAID","FAIR")))</f>
        <v>UNDERPAID</v>
      </c>
      <c r="K84" s="5" t="n">
        <v>23</v>
      </c>
    </row>
    <row r="85" customFormat="false" ht="15" hidden="false" customHeight="false" outlineLevel="0" collapsed="false">
      <c r="A85" s="5" t="n">
        <v>2021</v>
      </c>
      <c r="B85" s="5" t="s">
        <v>106</v>
      </c>
      <c r="C85" s="5" t="s">
        <v>121</v>
      </c>
      <c r="D85" s="5" t="n">
        <v>19</v>
      </c>
      <c r="E85" s="13" t="n">
        <v>2.31</v>
      </c>
      <c r="F85" s="14" t="n">
        <f aca="false">E85*Assumptions!$D$4</f>
        <v>299.51128694438</v>
      </c>
      <c r="G85" s="14" t="n">
        <v>330</v>
      </c>
      <c r="H85" s="14" t="n">
        <v>435</v>
      </c>
      <c r="I85" s="14" t="n">
        <f aca="false">F85-(G85+H85)/2</f>
        <v>-82.9887130556202</v>
      </c>
      <c r="J85" s="5" t="str">
        <f aca="false">IF(D85&lt;8,"LOW SAMPLE",IF(F85&gt;H85*(1+Assumptions!$B$10),"UNDERPAID",IF(F85&lt;G85*(1-Assumptions!$B$10),"OVERPAID","FAIR")))</f>
        <v>FAIR</v>
      </c>
      <c r="K85" s="5" t="n">
        <v>92</v>
      </c>
    </row>
    <row r="86" customFormat="false" ht="15" hidden="false" customHeight="false" outlineLevel="0" collapsed="false">
      <c r="A86" s="5" t="n">
        <v>2021</v>
      </c>
      <c r="B86" s="5" t="s">
        <v>106</v>
      </c>
      <c r="C86" s="5" t="s">
        <v>122</v>
      </c>
      <c r="D86" s="5" t="n">
        <v>13</v>
      </c>
      <c r="E86" s="13" t="n">
        <v>2.07</v>
      </c>
      <c r="F86" s="14" t="n">
        <f aca="false">E86*Assumptions!$D$4</f>
        <v>268.393231157951</v>
      </c>
      <c r="G86" s="14" t="n">
        <v>435</v>
      </c>
      <c r="H86" s="14" t="n">
        <v>590</v>
      </c>
      <c r="I86" s="14" t="n">
        <f aca="false">F86-(G86+H86)/2</f>
        <v>-244.106768842049</v>
      </c>
      <c r="J86" s="5" t="str">
        <f aca="false">IF(D86&lt;8,"LOW SAMPLE",IF(F86&gt;H86*(1+Assumptions!$B$10),"UNDERPAID",IF(F86&lt;G86*(1-Assumptions!$B$10),"OVERPAID","FAIR")))</f>
        <v>OVERPAID</v>
      </c>
      <c r="K86" s="5" t="n">
        <v>105</v>
      </c>
    </row>
    <row r="87" customFormat="false" ht="15" hidden="false" customHeight="false" outlineLevel="0" collapsed="false">
      <c r="A87" s="5" t="n">
        <v>2021</v>
      </c>
      <c r="B87" s="5" t="s">
        <v>106</v>
      </c>
      <c r="C87" s="5" t="s">
        <v>123</v>
      </c>
      <c r="D87" s="5" t="n">
        <v>19</v>
      </c>
      <c r="E87" s="13" t="n">
        <v>4.04</v>
      </c>
      <c r="F87" s="14" t="n">
        <f aca="false">E87*Assumptions!$D$4</f>
        <v>523.820605738223</v>
      </c>
      <c r="G87" s="14" t="n">
        <v>435</v>
      </c>
      <c r="H87" s="14" t="n">
        <v>590</v>
      </c>
      <c r="I87" s="14" t="n">
        <f aca="false">F87-(G87+H87)/2</f>
        <v>11.3206057382226</v>
      </c>
      <c r="J87" s="5" t="str">
        <f aca="false">IF(D87&lt;8,"LOW SAMPLE",IF(F87&gt;H87*(1+Assumptions!$B$10),"UNDERPAID",IF(F87&lt;G87*(1-Assumptions!$B$10),"OVERPAID","FAIR")))</f>
        <v>FAIR</v>
      </c>
      <c r="K87" s="5" t="n">
        <v>76</v>
      </c>
    </row>
    <row r="88" customFormat="false" ht="15" hidden="false" customHeight="false" outlineLevel="0" collapsed="false">
      <c r="A88" s="5" t="n">
        <v>2021</v>
      </c>
      <c r="B88" s="5" t="s">
        <v>106</v>
      </c>
      <c r="C88" s="5" t="s">
        <v>124</v>
      </c>
      <c r="D88" s="5" t="n">
        <v>17</v>
      </c>
      <c r="E88" s="13" t="n">
        <v>2.64</v>
      </c>
      <c r="F88" s="14" t="n">
        <f aca="false">E88*Assumptions!$D$4</f>
        <v>342.29861365072</v>
      </c>
      <c r="G88" s="14" t="n">
        <v>120</v>
      </c>
      <c r="H88" s="14" t="n">
        <v>215</v>
      </c>
      <c r="I88" s="14" t="n">
        <f aca="false">F88-(G88+H88)/2</f>
        <v>174.79861365072</v>
      </c>
      <c r="J88" s="5" t="str">
        <f aca="false">IF(D88&lt;8,"LOW SAMPLE",IF(F88&gt;H88*(1+Assumptions!$B$10),"UNDERPAID",IF(F88&lt;G88*(1-Assumptions!$B$10),"OVERPAID","FAIR")))</f>
        <v>UNDERPAID</v>
      </c>
      <c r="K88" s="5" t="n">
        <v>5</v>
      </c>
    </row>
    <row r="89" customFormat="false" ht="15" hidden="false" customHeight="false" outlineLevel="0" collapsed="false">
      <c r="A89" s="5" t="n">
        <v>2021</v>
      </c>
      <c r="B89" s="5" t="s">
        <v>106</v>
      </c>
      <c r="C89" s="5" t="s">
        <v>125</v>
      </c>
      <c r="D89" s="5" t="n">
        <v>5</v>
      </c>
      <c r="E89" s="13" t="n">
        <v>0.79</v>
      </c>
      <c r="F89" s="14" t="n">
        <f aca="false">E89*Assumptions!$D$4</f>
        <v>102.430266963662</v>
      </c>
      <c r="G89" s="14" t="n">
        <v>215</v>
      </c>
      <c r="H89" s="14" t="n">
        <v>330</v>
      </c>
      <c r="I89" s="14" t="n">
        <f aca="false">F89-(G89+H89)/2</f>
        <v>-170.069733036338</v>
      </c>
      <c r="J89" s="5" t="str">
        <f aca="false">IF(D89&lt;8,"LOW SAMPLE",IF(F89&gt;H89*(1+Assumptions!$B$10),"UNDERPAID",IF(F89&lt;G89*(1-Assumptions!$B$10),"OVERPAID","FAIR")))</f>
        <v>LOW SAMPLE</v>
      </c>
      <c r="K89" s="5" t="n">
        <v>36</v>
      </c>
    </row>
    <row r="90" customFormat="false" ht="15" hidden="false" customHeight="false" outlineLevel="0" collapsed="false">
      <c r="A90" s="5" t="n">
        <v>2021</v>
      </c>
      <c r="B90" s="5" t="s">
        <v>106</v>
      </c>
      <c r="C90" s="5" t="s">
        <v>126</v>
      </c>
      <c r="D90" s="5" t="n">
        <v>6</v>
      </c>
      <c r="E90" s="13" t="n">
        <v>0.63</v>
      </c>
      <c r="F90" s="14" t="n">
        <f aca="false">E90*Assumptions!$D$4</f>
        <v>81.6848964393763</v>
      </c>
      <c r="G90" s="14" t="n">
        <v>215</v>
      </c>
      <c r="H90" s="14" t="n">
        <v>330</v>
      </c>
      <c r="I90" s="14" t="n">
        <f aca="false">F90-(G90+H90)/2</f>
        <v>-190.815103560624</v>
      </c>
      <c r="J90" s="5" t="str">
        <f aca="false">IF(D90&lt;8,"LOW SAMPLE",IF(F90&gt;H90*(1+Assumptions!$B$10),"UNDERPAID",IF(F90&lt;G90*(1-Assumptions!$B$10),"OVERPAID","FAIR")))</f>
        <v>LOW SAMPLE</v>
      </c>
      <c r="K90" s="5" t="n">
        <v>0</v>
      </c>
    </row>
    <row r="91" customFormat="false" ht="15" hidden="false" customHeight="false" outlineLevel="0" collapsed="false">
      <c r="A91" s="5" t="n">
        <v>2021</v>
      </c>
      <c r="B91" s="5" t="s">
        <v>106</v>
      </c>
      <c r="C91" s="5" t="s">
        <v>127</v>
      </c>
      <c r="D91" s="5" t="n">
        <v>15</v>
      </c>
      <c r="E91" s="13" t="n">
        <v>1.88</v>
      </c>
      <c r="F91" s="14" t="n">
        <f aca="false">E91*Assumptions!$D$4</f>
        <v>243.758103660361</v>
      </c>
      <c r="G91" s="14" t="n">
        <v>435</v>
      </c>
      <c r="H91" s="14" t="n">
        <v>590</v>
      </c>
      <c r="I91" s="14" t="n">
        <f aca="false">F91-(G91+H91)/2</f>
        <v>-268.741896339639</v>
      </c>
      <c r="J91" s="5" t="str">
        <f aca="false">IF(D91&lt;8,"LOW SAMPLE",IF(F91&gt;H91*(1+Assumptions!$B$10),"UNDERPAID",IF(F91&lt;G91*(1-Assumptions!$B$10),"OVERPAID","FAIR")))</f>
        <v>OVERPAID</v>
      </c>
      <c r="K91" s="5" t="n">
        <v>100</v>
      </c>
    </row>
    <row r="92" customFormat="false" ht="15" hidden="false" customHeight="false" outlineLevel="0" collapsed="false">
      <c r="A92" s="5" t="n">
        <v>2021</v>
      </c>
      <c r="B92" s="5" t="s">
        <v>106</v>
      </c>
      <c r="C92" s="5" t="s">
        <v>128</v>
      </c>
      <c r="D92" s="5" t="n">
        <v>13</v>
      </c>
      <c r="E92" s="13" t="n">
        <v>3.13</v>
      </c>
      <c r="F92" s="14" t="n">
        <f aca="false">E92*Assumptions!$D$4</f>
        <v>405.831310881346</v>
      </c>
      <c r="G92" s="14" t="n">
        <v>215</v>
      </c>
      <c r="H92" s="14" t="n">
        <v>330</v>
      </c>
      <c r="I92" s="14" t="n">
        <f aca="false">F92-(G92+H92)/2</f>
        <v>133.331310881346</v>
      </c>
      <c r="J92" s="5" t="str">
        <f aca="false">IF(D92&lt;8,"LOW SAMPLE",IF(F92&gt;H92*(1+Assumptions!$B$10),"UNDERPAID",IF(F92&lt;G92*(1-Assumptions!$B$10),"OVERPAID","FAIR")))</f>
        <v>UNDERPAID</v>
      </c>
      <c r="K92" s="5" t="n">
        <v>20</v>
      </c>
    </row>
    <row r="93" customFormat="false" ht="15" hidden="false" customHeight="false" outlineLevel="0" collapsed="false">
      <c r="A93" s="5" t="n">
        <v>2021</v>
      </c>
      <c r="B93" s="5" t="s">
        <v>106</v>
      </c>
      <c r="C93" s="5" t="s">
        <v>129</v>
      </c>
      <c r="D93" s="5" t="n">
        <v>14</v>
      </c>
      <c r="E93" s="13" t="n">
        <v>1.89</v>
      </c>
      <c r="F93" s="14" t="n">
        <f aca="false">E93*Assumptions!$D$4</f>
        <v>245.054689318129</v>
      </c>
      <c r="G93" s="14" t="n">
        <v>120</v>
      </c>
      <c r="H93" s="14" t="n">
        <v>215</v>
      </c>
      <c r="I93" s="14" t="n">
        <f aca="false">F93-(G93+H93)/2</f>
        <v>77.5546893181289</v>
      </c>
      <c r="J93" s="5" t="str">
        <f aca="false">IF(D93&lt;8,"LOW SAMPLE",IF(F93&gt;H93*(1+Assumptions!$B$10),"UNDERPAID",IF(F93&lt;G93*(1-Assumptions!$B$10),"OVERPAID","FAIR")))</f>
        <v>FAIR</v>
      </c>
      <c r="K93" s="5" t="n">
        <v>5</v>
      </c>
    </row>
    <row r="94" customFormat="false" ht="15" hidden="false" customHeight="false" outlineLevel="0" collapsed="false">
      <c r="A94" s="5" t="n">
        <v>2021</v>
      </c>
      <c r="B94" s="5" t="s">
        <v>106</v>
      </c>
      <c r="C94" s="5" t="s">
        <v>130</v>
      </c>
      <c r="D94" s="5" t="n">
        <v>13</v>
      </c>
      <c r="E94" s="13" t="n">
        <v>2.55</v>
      </c>
      <c r="F94" s="14" t="n">
        <f aca="false">E94*Assumptions!$D$4</f>
        <v>330.629342730809</v>
      </c>
      <c r="G94" s="14" t="n">
        <v>215</v>
      </c>
      <c r="H94" s="14" t="n">
        <v>330</v>
      </c>
      <c r="I94" s="14" t="n">
        <f aca="false">F94-(G94+H94)/2</f>
        <v>58.1293427308088</v>
      </c>
      <c r="J94" s="5" t="str">
        <f aca="false">IF(D94&lt;8,"LOW SAMPLE",IF(F94&gt;H94*(1+Assumptions!$B$10),"UNDERPAID",IF(F94&lt;G94*(1-Assumptions!$B$10),"OVERPAID","FAIR")))</f>
        <v>FAIR</v>
      </c>
      <c r="K94" s="5" t="n">
        <v>48</v>
      </c>
    </row>
    <row r="95" customFormat="false" ht="15" hidden="false" customHeight="false" outlineLevel="0" collapsed="false">
      <c r="A95" s="5" t="n">
        <v>2021</v>
      </c>
      <c r="B95" s="5" t="s">
        <v>106</v>
      </c>
      <c r="C95" s="5" t="s">
        <v>131</v>
      </c>
      <c r="D95" s="5" t="n">
        <v>13</v>
      </c>
      <c r="E95" s="13" t="n">
        <v>2.04</v>
      </c>
      <c r="F95" s="14" t="n">
        <f aca="false">E95*Assumptions!$D$4</f>
        <v>264.503474184647</v>
      </c>
      <c r="G95" s="14" t="n">
        <v>120</v>
      </c>
      <c r="H95" s="14" t="n">
        <v>215</v>
      </c>
      <c r="I95" s="14" t="n">
        <f aca="false">F95-(G95+H95)/2</f>
        <v>97.0034741846471</v>
      </c>
      <c r="J95" s="5" t="str">
        <f aca="false">IF(D95&lt;8,"LOW SAMPLE",IF(F95&gt;H95*(1+Assumptions!$B$10),"UNDERPAID",IF(F95&lt;G95*(1-Assumptions!$B$10),"OVERPAID","FAIR")))</f>
        <v>UNDERPAID</v>
      </c>
      <c r="K95" s="5" t="n">
        <v>1</v>
      </c>
    </row>
    <row r="96" customFormat="false" ht="15" hidden="false" customHeight="false" outlineLevel="0" collapsed="false">
      <c r="A96" s="5" t="n">
        <v>2021</v>
      </c>
      <c r="B96" s="5" t="s">
        <v>106</v>
      </c>
      <c r="C96" s="5" t="s">
        <v>132</v>
      </c>
      <c r="D96" s="5" t="n">
        <v>11</v>
      </c>
      <c r="E96" s="13" t="n">
        <v>2.05</v>
      </c>
      <c r="F96" s="14" t="n">
        <f aca="false">E96*Assumptions!$D$4</f>
        <v>265.800059842415</v>
      </c>
      <c r="G96" s="14" t="n">
        <v>435</v>
      </c>
      <c r="H96" s="14" t="n">
        <v>590</v>
      </c>
      <c r="I96" s="14" t="n">
        <f aca="false">F96-(G96+H96)/2</f>
        <v>-246.699940157585</v>
      </c>
      <c r="J96" s="5" t="str">
        <f aca="false">IF(D96&lt;8,"LOW SAMPLE",IF(F96&gt;H96*(1+Assumptions!$B$10),"UNDERPAID",IF(F96&lt;G96*(1-Assumptions!$B$10),"OVERPAID","FAIR")))</f>
        <v>OVERPAID</v>
      </c>
      <c r="K96" s="5" t="n">
        <v>36</v>
      </c>
    </row>
    <row r="97" customFormat="false" ht="15" hidden="false" customHeight="false" outlineLevel="0" collapsed="false">
      <c r="A97" s="5" t="n">
        <v>2021</v>
      </c>
      <c r="B97" s="5" t="s">
        <v>106</v>
      </c>
      <c r="C97" s="5" t="s">
        <v>133</v>
      </c>
      <c r="D97" s="5" t="n">
        <v>5</v>
      </c>
      <c r="E97" s="13" t="n">
        <v>0.94</v>
      </c>
      <c r="F97" s="14" t="n">
        <f aca="false">E97*Assumptions!$D$4</f>
        <v>121.879051830181</v>
      </c>
      <c r="G97" s="14" t="n">
        <v>330</v>
      </c>
      <c r="H97" s="14" t="n">
        <v>435</v>
      </c>
      <c r="I97" s="14" t="n">
        <f aca="false">F97-(G97+H97)/2</f>
        <v>-260.62094816982</v>
      </c>
      <c r="J97" s="5" t="str">
        <f aca="false">IF(D97&lt;8,"LOW SAMPLE",IF(F97&gt;H97*(1+Assumptions!$B$10),"UNDERPAID",IF(F97&lt;G97*(1-Assumptions!$B$10),"OVERPAID","FAIR")))</f>
        <v>LOW SAMPLE</v>
      </c>
      <c r="K97" s="5" t="n">
        <v>76</v>
      </c>
    </row>
    <row r="98" customFormat="false" ht="15" hidden="false" customHeight="false" outlineLevel="0" collapsed="false">
      <c r="A98" s="5" t="n">
        <v>2021</v>
      </c>
      <c r="B98" s="5" t="s">
        <v>106</v>
      </c>
      <c r="C98" s="5" t="s">
        <v>134</v>
      </c>
      <c r="D98" s="5" t="n">
        <v>14</v>
      </c>
      <c r="E98" s="13" t="n">
        <v>2.61</v>
      </c>
      <c r="F98" s="14" t="n">
        <f aca="false">E98*Assumptions!$D$4</f>
        <v>338.408856677416</v>
      </c>
      <c r="G98" s="14" t="n">
        <v>215</v>
      </c>
      <c r="H98" s="14" t="n">
        <v>330</v>
      </c>
      <c r="I98" s="14" t="n">
        <f aca="false">F98-(G98+H98)/2</f>
        <v>65.9088566774161</v>
      </c>
      <c r="J98" s="5" t="str">
        <f aca="false">IF(D98&lt;8,"LOW SAMPLE",IF(F98&gt;H98*(1+Assumptions!$B$10),"UNDERPAID",IF(F98&lt;G98*(1-Assumptions!$B$10),"OVERPAID","FAIR")))</f>
        <v>FAIR</v>
      </c>
      <c r="K98" s="5" t="n">
        <v>53</v>
      </c>
    </row>
    <row r="99" customFormat="false" ht="15" hidden="false" customHeight="false" outlineLevel="0" collapsed="false">
      <c r="A99" s="5" t="n">
        <v>2021</v>
      </c>
      <c r="B99" s="5" t="s">
        <v>106</v>
      </c>
      <c r="C99" s="5" t="s">
        <v>135</v>
      </c>
      <c r="D99" s="5" t="n">
        <v>3</v>
      </c>
      <c r="E99" s="13" t="n">
        <v>0.18</v>
      </c>
      <c r="F99" s="14" t="n">
        <f aca="false">E99*Assumptions!$D$4</f>
        <v>23.3385418398218</v>
      </c>
      <c r="G99" s="14" t="n">
        <v>215</v>
      </c>
      <c r="H99" s="14" t="n">
        <v>330</v>
      </c>
      <c r="I99" s="14" t="n">
        <f aca="false">F99-(G99+H99)/2</f>
        <v>-249.161458160178</v>
      </c>
      <c r="J99" s="5" t="str">
        <f aca="false">IF(D99&lt;8,"LOW SAMPLE",IF(F99&gt;H99*(1+Assumptions!$B$10),"UNDERPAID",IF(F99&lt;G99*(1-Assumptions!$B$10),"OVERPAID","FAIR")))</f>
        <v>LOW SAMPLE</v>
      </c>
      <c r="K99" s="5" t="n">
        <v>81</v>
      </c>
    </row>
    <row r="100" customFormat="false" ht="15" hidden="false" customHeight="false" outlineLevel="0" collapsed="false">
      <c r="A100" s="5" t="n">
        <v>2021</v>
      </c>
      <c r="B100" s="5" t="s">
        <v>106</v>
      </c>
      <c r="C100" s="5" t="s">
        <v>136</v>
      </c>
      <c r="D100" s="5" t="n">
        <v>17</v>
      </c>
      <c r="E100" s="13" t="n">
        <v>2.61</v>
      </c>
      <c r="F100" s="14" t="n">
        <f aca="false">E100*Assumptions!$D$4</f>
        <v>338.408856677416</v>
      </c>
      <c r="G100" s="14" t="n">
        <v>215</v>
      </c>
      <c r="H100" s="14" t="n">
        <v>330</v>
      </c>
      <c r="I100" s="14" t="n">
        <f aca="false">F100-(G100+H100)/2</f>
        <v>65.9088566774161</v>
      </c>
      <c r="J100" s="5" t="str">
        <f aca="false">IF(D100&lt;8,"LOW SAMPLE",IF(F100&gt;H100*(1+Assumptions!$B$10),"UNDERPAID",IF(F100&lt;G100*(1-Assumptions!$B$10),"OVERPAID","FAIR")))</f>
        <v>FAIR</v>
      </c>
      <c r="K100" s="5" t="n">
        <v>42</v>
      </c>
    </row>
    <row r="101" customFormat="false" ht="15" hidden="false" customHeight="false" outlineLevel="0" collapsed="false">
      <c r="A101" s="5" t="n">
        <v>2021</v>
      </c>
      <c r="B101" s="5" t="s">
        <v>106</v>
      </c>
      <c r="C101" s="5" t="s">
        <v>137</v>
      </c>
      <c r="D101" s="5" t="n">
        <v>20</v>
      </c>
      <c r="E101" s="13" t="n">
        <v>5.28</v>
      </c>
      <c r="F101" s="14" t="n">
        <f aca="false">E101*Assumptions!$D$4</f>
        <v>684.59722730144</v>
      </c>
      <c r="G101" s="14" t="n">
        <v>820</v>
      </c>
      <c r="H101" s="14" t="n">
        <v>1125</v>
      </c>
      <c r="I101" s="14" t="n">
        <f aca="false">F101-(G101+H101)/2</f>
        <v>-287.902772698561</v>
      </c>
      <c r="J101" s="5" t="str">
        <f aca="false">IF(D101&lt;8,"LOW SAMPLE",IF(F101&gt;H101*(1+Assumptions!$B$10),"UNDERPAID",IF(F101&lt;G101*(1-Assumptions!$B$10),"OVERPAID","FAIR")))</f>
        <v>OVERPAID</v>
      </c>
      <c r="K101" s="5" t="n">
        <v>115</v>
      </c>
    </row>
    <row r="102" customFormat="false" ht="15" hidden="false" customHeight="false" outlineLevel="0" collapsed="false">
      <c r="A102" s="5" t="n">
        <v>2021</v>
      </c>
      <c r="B102" s="5" t="s">
        <v>106</v>
      </c>
      <c r="C102" s="5" t="s">
        <v>138</v>
      </c>
      <c r="D102" s="5" t="n">
        <v>14</v>
      </c>
      <c r="E102" s="13" t="n">
        <v>3.05</v>
      </c>
      <c r="F102" s="14" t="n">
        <f aca="false">E102*Assumptions!$D$4</f>
        <v>395.458625619203</v>
      </c>
      <c r="G102" s="14" t="n">
        <v>435</v>
      </c>
      <c r="H102" s="14" t="n">
        <v>590</v>
      </c>
      <c r="I102" s="14" t="n">
        <f aca="false">F102-(G102+H102)/2</f>
        <v>-117.041374380797</v>
      </c>
      <c r="J102" s="5" t="str">
        <f aca="false">IF(D102&lt;8,"LOW SAMPLE",IF(F102&gt;H102*(1+Assumptions!$B$10),"UNDERPAID",IF(F102&lt;G102*(1-Assumptions!$B$10),"OVERPAID","FAIR")))</f>
        <v>FAIR</v>
      </c>
      <c r="K102" s="5" t="n">
        <v>79</v>
      </c>
    </row>
    <row r="103" customFormat="false" ht="15" hidden="false" customHeight="false" outlineLevel="0" collapsed="false">
      <c r="A103" s="5" t="n">
        <v>2021</v>
      </c>
      <c r="B103" s="5" t="s">
        <v>106</v>
      </c>
      <c r="C103" s="5" t="s">
        <v>139</v>
      </c>
      <c r="D103" s="5" t="n">
        <v>14</v>
      </c>
      <c r="E103" s="13" t="n">
        <v>1.65</v>
      </c>
      <c r="F103" s="14" t="n">
        <f aca="false">E103*Assumptions!$D$4</f>
        <v>213.9366335317</v>
      </c>
      <c r="G103" s="14" t="n">
        <v>330</v>
      </c>
      <c r="H103" s="14" t="n">
        <v>435</v>
      </c>
      <c r="I103" s="14" t="n">
        <f aca="false">F103-(G103+H103)/2</f>
        <v>-168.5633664683</v>
      </c>
      <c r="J103" s="5" t="str">
        <f aca="false">IF(D103&lt;8,"LOW SAMPLE",IF(F103&gt;H103*(1+Assumptions!$B$10),"UNDERPAID",IF(F103&lt;G103*(1-Assumptions!$B$10),"OVERPAID","FAIR")))</f>
        <v>OVERPAID</v>
      </c>
      <c r="K103" s="5" t="n">
        <v>80</v>
      </c>
    </row>
    <row r="104" customFormat="false" ht="15" hidden="false" customHeight="false" outlineLevel="0" collapsed="false">
      <c r="A104" s="5" t="n">
        <v>2021</v>
      </c>
      <c r="B104" s="5" t="s">
        <v>106</v>
      </c>
      <c r="C104" s="5" t="s">
        <v>140</v>
      </c>
      <c r="D104" s="5" t="n">
        <v>22</v>
      </c>
      <c r="E104" s="13" t="n">
        <v>6</v>
      </c>
      <c r="F104" s="14" t="n">
        <f aca="false">E104*Assumptions!$D$4</f>
        <v>777.951394660727</v>
      </c>
      <c r="G104" s="14" t="n">
        <v>590</v>
      </c>
      <c r="H104" s="14" t="n">
        <v>820</v>
      </c>
      <c r="I104" s="14" t="n">
        <f aca="false">F104-(G104+H104)/2</f>
        <v>72.9513946607267</v>
      </c>
      <c r="J104" s="5" t="str">
        <f aca="false">IF(D104&lt;8,"LOW SAMPLE",IF(F104&gt;H104*(1+Assumptions!$B$10),"UNDERPAID",IF(F104&lt;G104*(1-Assumptions!$B$10),"OVERPAID","FAIR")))</f>
        <v>FAIR</v>
      </c>
      <c r="K104" s="5" t="n">
        <v>39</v>
      </c>
    </row>
    <row r="105" customFormat="false" ht="15" hidden="false" customHeight="false" outlineLevel="0" collapsed="false">
      <c r="A105" s="5" t="n">
        <v>2021</v>
      </c>
      <c r="B105" s="5" t="s">
        <v>106</v>
      </c>
      <c r="C105" s="5" t="s">
        <v>141</v>
      </c>
      <c r="D105" s="5" t="n">
        <v>13</v>
      </c>
      <c r="E105" s="13" t="n">
        <v>2.28</v>
      </c>
      <c r="F105" s="14" t="n">
        <f aca="false">E105*Assumptions!$D$4</f>
        <v>295.621529971076</v>
      </c>
      <c r="G105" s="14" t="n">
        <v>120</v>
      </c>
      <c r="H105" s="14" t="n">
        <v>215</v>
      </c>
      <c r="I105" s="14" t="n">
        <f aca="false">F105-(G105+H105)/2</f>
        <v>128.121529971076</v>
      </c>
      <c r="J105" s="5" t="str">
        <f aca="false">IF(D105&lt;8,"LOW SAMPLE",IF(F105&gt;H105*(1+Assumptions!$B$10),"UNDERPAID",IF(F105&lt;G105*(1-Assumptions!$B$10),"OVERPAID","FAIR")))</f>
        <v>UNDERPAID</v>
      </c>
      <c r="K105" s="5" t="n">
        <v>9</v>
      </c>
    </row>
    <row r="106" customFormat="false" ht="15" hidden="false" customHeight="false" outlineLevel="0" collapsed="false">
      <c r="A106" s="5" t="n">
        <v>2021</v>
      </c>
      <c r="B106" s="5" t="s">
        <v>106</v>
      </c>
      <c r="C106" s="5" t="s">
        <v>142</v>
      </c>
      <c r="D106" s="5" t="n">
        <v>11</v>
      </c>
      <c r="E106" s="13" t="n">
        <v>1.34</v>
      </c>
      <c r="F106" s="14" t="n">
        <f aca="false">E106*Assumptions!$D$4</f>
        <v>173.742478140896</v>
      </c>
      <c r="G106" s="14" t="n">
        <v>215</v>
      </c>
      <c r="H106" s="14" t="n">
        <v>330</v>
      </c>
      <c r="I106" s="14" t="n">
        <f aca="false">F106-(G106+H106)/2</f>
        <v>-98.7575218591044</v>
      </c>
      <c r="J106" s="5" t="str">
        <f aca="false">IF(D106&lt;8,"LOW SAMPLE",IF(F106&gt;H106*(1+Assumptions!$B$10),"UNDERPAID",IF(F106&lt;G106*(1-Assumptions!$B$10),"OVERPAID","FAIR")))</f>
        <v>OVERPAID</v>
      </c>
      <c r="K106" s="5" t="n">
        <v>32</v>
      </c>
    </row>
    <row r="107" customFormat="false" ht="15" hidden="false" customHeight="false" outlineLevel="0" collapsed="false">
      <c r="A107" s="5" t="n">
        <v>2021</v>
      </c>
      <c r="B107" s="5" t="s">
        <v>106</v>
      </c>
      <c r="C107" s="5" t="s">
        <v>143</v>
      </c>
      <c r="D107" s="5" t="n">
        <v>8</v>
      </c>
      <c r="E107" s="13" t="n">
        <v>1.27</v>
      </c>
      <c r="F107" s="14" t="n">
        <f aca="false">E107*Assumptions!$D$4</f>
        <v>164.66637853652</v>
      </c>
      <c r="G107" s="14" t="n">
        <v>435</v>
      </c>
      <c r="H107" s="14" t="n">
        <v>590</v>
      </c>
      <c r="I107" s="14" t="n">
        <f aca="false">F107-(G107+H107)/2</f>
        <v>-347.83362146348</v>
      </c>
      <c r="J107" s="5" t="str">
        <f aca="false">IF(D107&lt;8,"LOW SAMPLE",IF(F107&gt;H107*(1+Assumptions!$B$10),"UNDERPAID",IF(F107&lt;G107*(1-Assumptions!$B$10),"OVERPAID","FAIR")))</f>
        <v>OVERPAID</v>
      </c>
      <c r="K107" s="5" t="n">
        <v>36</v>
      </c>
    </row>
    <row r="108" customFormat="false" ht="15" hidden="false" customHeight="false" outlineLevel="0" collapsed="false">
      <c r="A108" s="5" t="n">
        <v>2021</v>
      </c>
      <c r="B108" s="5" t="s">
        <v>106</v>
      </c>
      <c r="C108" s="5" t="s">
        <v>144</v>
      </c>
      <c r="D108" s="5" t="n">
        <v>10</v>
      </c>
      <c r="E108" s="13" t="n">
        <v>1.82</v>
      </c>
      <c r="F108" s="14" t="n">
        <f aca="false">E108*Assumptions!$D$4</f>
        <v>235.978589713754</v>
      </c>
      <c r="G108" s="14" t="n">
        <v>330</v>
      </c>
      <c r="H108" s="14" t="n">
        <v>435</v>
      </c>
      <c r="I108" s="14" t="n">
        <f aca="false">F108-(G108+H108)/2</f>
        <v>-146.521410286246</v>
      </c>
      <c r="J108" s="5" t="str">
        <f aca="false">IF(D108&lt;8,"LOW SAMPLE",IF(F108&gt;H108*(1+Assumptions!$B$10),"UNDERPAID",IF(F108&lt;G108*(1-Assumptions!$B$10),"OVERPAID","FAIR")))</f>
        <v>OVERPAID</v>
      </c>
      <c r="K108" s="5" t="n">
        <v>63</v>
      </c>
    </row>
    <row r="109" customFormat="false" ht="15" hidden="false" customHeight="false" outlineLevel="0" collapsed="false">
      <c r="A109" s="5" t="n">
        <v>2021</v>
      </c>
      <c r="B109" s="5" t="s">
        <v>106</v>
      </c>
      <c r="C109" s="5" t="s">
        <v>145</v>
      </c>
      <c r="D109" s="5" t="n">
        <v>14</v>
      </c>
      <c r="E109" s="13" t="n">
        <v>3.03</v>
      </c>
      <c r="F109" s="14" t="n">
        <f aca="false">E109*Assumptions!$D$4</f>
        <v>392.865454303667</v>
      </c>
      <c r="G109" s="14" t="n">
        <v>330</v>
      </c>
      <c r="H109" s="14" t="n">
        <v>435</v>
      </c>
      <c r="I109" s="14" t="n">
        <f aca="false">F109-(G109+H109)/2</f>
        <v>10.365454303667</v>
      </c>
      <c r="J109" s="5" t="str">
        <f aca="false">IF(D109&lt;8,"LOW SAMPLE",IF(F109&gt;H109*(1+Assumptions!$B$10),"UNDERPAID",IF(F109&lt;G109*(1-Assumptions!$B$10),"OVERPAID","FAIR")))</f>
        <v>FAIR</v>
      </c>
      <c r="K109" s="5" t="n">
        <v>94</v>
      </c>
    </row>
    <row r="110" customFormat="false" ht="15" hidden="false" customHeight="false" outlineLevel="0" collapsed="false">
      <c r="A110" s="5" t="n">
        <v>2021</v>
      </c>
      <c r="B110" s="5" t="s">
        <v>146</v>
      </c>
      <c r="C110" s="5" t="s">
        <v>147</v>
      </c>
      <c r="D110" s="5" t="n">
        <v>1</v>
      </c>
      <c r="E110" s="13" t="n">
        <v>0.13</v>
      </c>
      <c r="F110" s="14" t="n">
        <f aca="false">E110*Assumptions!$D$4</f>
        <v>16.8556135509824</v>
      </c>
      <c r="G110" s="14" t="n">
        <v>215</v>
      </c>
      <c r="H110" s="14" t="n">
        <v>330</v>
      </c>
      <c r="I110" s="14" t="n">
        <f aca="false">F110-(G110+H110)/2</f>
        <v>-255.644386449018</v>
      </c>
      <c r="J110" s="5" t="str">
        <f aca="false">IF(D110&lt;8,"LOW SAMPLE",IF(F110&gt;H110*(1+Assumptions!$B$10),"UNDERPAID",IF(F110&lt;G110*(1-Assumptions!$B$10),"OVERPAID","FAIR")))</f>
        <v>LOW SAMPLE</v>
      </c>
      <c r="K110" s="5" t="n">
        <v>0</v>
      </c>
    </row>
    <row r="111" customFormat="false" ht="15" hidden="false" customHeight="false" outlineLevel="0" collapsed="false">
      <c r="A111" s="5" t="n">
        <v>2021</v>
      </c>
      <c r="B111" s="5" t="s">
        <v>146</v>
      </c>
      <c r="C111" s="5" t="s">
        <v>148</v>
      </c>
      <c r="D111" s="5" t="n">
        <v>13</v>
      </c>
      <c r="E111" s="13" t="n">
        <v>1.49</v>
      </c>
      <c r="F111" s="14" t="n">
        <f aca="false">E111*Assumptions!$D$4</f>
        <v>193.191263007414</v>
      </c>
      <c r="G111" s="14" t="n">
        <v>215</v>
      </c>
      <c r="H111" s="14" t="n">
        <v>330</v>
      </c>
      <c r="I111" s="14" t="n">
        <f aca="false">F111-(G111+H111)/2</f>
        <v>-79.3087369925862</v>
      </c>
      <c r="J111" s="5" t="str">
        <f aca="false">IF(D111&lt;8,"LOW SAMPLE",IF(F111&gt;H111*(1+Assumptions!$B$10),"UNDERPAID",IF(F111&lt;G111*(1-Assumptions!$B$10),"OVERPAID","FAIR")))</f>
        <v>FAIR</v>
      </c>
      <c r="K111" s="5" t="n">
        <v>0</v>
      </c>
    </row>
    <row r="112" customFormat="false" ht="15" hidden="false" customHeight="false" outlineLevel="0" collapsed="false">
      <c r="A112" s="5" t="n">
        <v>2021</v>
      </c>
      <c r="B112" s="5" t="s">
        <v>146</v>
      </c>
      <c r="C112" s="5" t="s">
        <v>149</v>
      </c>
      <c r="D112" s="5" t="n">
        <v>22</v>
      </c>
      <c r="E112" s="13" t="n">
        <v>4.95</v>
      </c>
      <c r="F112" s="14" t="n">
        <f aca="false">E112*Assumptions!$D$4</f>
        <v>641.8099005951</v>
      </c>
      <c r="G112" s="14" t="n">
        <v>590</v>
      </c>
      <c r="H112" s="14" t="n">
        <v>820</v>
      </c>
      <c r="I112" s="14" t="n">
        <f aca="false">F112-(G112+H112)/2</f>
        <v>-63.1900994049005</v>
      </c>
      <c r="J112" s="5" t="str">
        <f aca="false">IF(D112&lt;8,"LOW SAMPLE",IF(F112&gt;H112*(1+Assumptions!$B$10),"UNDERPAID",IF(F112&lt;G112*(1-Assumptions!$B$10),"OVERPAID","FAIR")))</f>
        <v>FAIR</v>
      </c>
      <c r="K112" s="5" t="n">
        <v>116</v>
      </c>
    </row>
    <row r="113" customFormat="false" ht="15" hidden="false" customHeight="false" outlineLevel="0" collapsed="false">
      <c r="A113" s="5" t="n">
        <v>2021</v>
      </c>
      <c r="B113" s="5" t="s">
        <v>146</v>
      </c>
      <c r="C113" s="5" t="s">
        <v>150</v>
      </c>
      <c r="D113" s="5" t="n">
        <v>7</v>
      </c>
      <c r="E113" s="13" t="n">
        <v>0.81</v>
      </c>
      <c r="F113" s="14" t="n">
        <f aca="false">E113*Assumptions!$D$4</f>
        <v>105.023438279198</v>
      </c>
      <c r="G113" s="14" t="n">
        <v>120</v>
      </c>
      <c r="H113" s="14" t="n">
        <v>215</v>
      </c>
      <c r="I113" s="14" t="n">
        <f aca="false">F113-(G113+H113)/2</f>
        <v>-62.4765617208019</v>
      </c>
      <c r="J113" s="5" t="str">
        <f aca="false">IF(D113&lt;8,"LOW SAMPLE",IF(F113&gt;H113*(1+Assumptions!$B$10),"UNDERPAID",IF(F113&lt;G113*(1-Assumptions!$B$10),"OVERPAID","FAIR")))</f>
        <v>LOW SAMPLE</v>
      </c>
      <c r="K113" s="5" t="n">
        <v>21</v>
      </c>
    </row>
    <row r="114" customFormat="false" ht="15" hidden="false" customHeight="false" outlineLevel="0" collapsed="false">
      <c r="A114" s="5" t="n">
        <v>2021</v>
      </c>
      <c r="B114" s="5" t="s">
        <v>146</v>
      </c>
      <c r="C114" s="5" t="s">
        <v>151</v>
      </c>
      <c r="D114" s="5" t="n">
        <v>20</v>
      </c>
      <c r="E114" s="13" t="n">
        <v>5.8</v>
      </c>
      <c r="F114" s="14" t="n">
        <f aca="false">E114*Assumptions!$D$4</f>
        <v>752.019681505369</v>
      </c>
      <c r="G114" s="14" t="n">
        <v>820</v>
      </c>
      <c r="H114" s="14" t="n">
        <v>1125</v>
      </c>
      <c r="I114" s="14" t="n">
        <f aca="false">F114-(G114+H114)/2</f>
        <v>-220.480318494631</v>
      </c>
      <c r="J114" s="5" t="str">
        <f aca="false">IF(D114&lt;8,"LOW SAMPLE",IF(F114&gt;H114*(1+Assumptions!$B$10),"UNDERPAID",IF(F114&lt;G114*(1-Assumptions!$B$10),"OVERPAID","FAIR")))</f>
        <v>FAIR</v>
      </c>
      <c r="K114" s="5" t="n">
        <v>129</v>
      </c>
    </row>
    <row r="115" customFormat="false" ht="15" hidden="false" customHeight="false" outlineLevel="0" collapsed="false">
      <c r="A115" s="5" t="n">
        <v>2021</v>
      </c>
      <c r="B115" s="5" t="s">
        <v>146</v>
      </c>
      <c r="C115" s="5" t="s">
        <v>152</v>
      </c>
      <c r="D115" s="5" t="n">
        <v>21</v>
      </c>
      <c r="E115" s="13" t="n">
        <v>4.46</v>
      </c>
      <c r="F115" s="14" t="n">
        <f aca="false">E115*Assumptions!$D$4</f>
        <v>578.277203364474</v>
      </c>
      <c r="G115" s="14" t="n">
        <v>435</v>
      </c>
      <c r="H115" s="14" t="n">
        <v>590</v>
      </c>
      <c r="I115" s="14" t="n">
        <f aca="false">F115-(G115+H115)/2</f>
        <v>65.7772033644735</v>
      </c>
      <c r="J115" s="5" t="str">
        <f aca="false">IF(D115&lt;8,"LOW SAMPLE",IF(F115&gt;H115*(1+Assumptions!$B$10),"UNDERPAID",IF(F115&lt;G115*(1-Assumptions!$B$10),"OVERPAID","FAIR")))</f>
        <v>FAIR</v>
      </c>
      <c r="K115" s="5" t="n">
        <v>58</v>
      </c>
    </row>
    <row r="116" customFormat="false" ht="15" hidden="false" customHeight="false" outlineLevel="0" collapsed="false">
      <c r="A116" s="5" t="n">
        <v>2021</v>
      </c>
      <c r="B116" s="5" t="s">
        <v>146</v>
      </c>
      <c r="C116" s="5" t="s">
        <v>153</v>
      </c>
      <c r="D116" s="5" t="n">
        <v>11</v>
      </c>
      <c r="E116" s="13" t="n">
        <v>1.3</v>
      </c>
      <c r="F116" s="14" t="n">
        <f aca="false">E116*Assumptions!$D$4</f>
        <v>168.556135509824</v>
      </c>
      <c r="G116" s="14" t="n">
        <v>215</v>
      </c>
      <c r="H116" s="14" t="n">
        <v>330</v>
      </c>
      <c r="I116" s="14" t="n">
        <f aca="false">F116-(G116+H116)/2</f>
        <v>-103.943864490176</v>
      </c>
      <c r="J116" s="5" t="str">
        <f aca="false">IF(D116&lt;8,"LOW SAMPLE",IF(F116&gt;H116*(1+Assumptions!$B$10),"UNDERPAID",IF(F116&lt;G116*(1-Assumptions!$B$10),"OVERPAID","FAIR")))</f>
        <v>OVERPAID</v>
      </c>
      <c r="K116" s="5" t="n">
        <v>0</v>
      </c>
    </row>
    <row r="117" customFormat="false" ht="15" hidden="false" customHeight="false" outlineLevel="0" collapsed="false">
      <c r="A117" s="5" t="n">
        <v>2021</v>
      </c>
      <c r="B117" s="5" t="s">
        <v>146</v>
      </c>
      <c r="C117" s="5" t="s">
        <v>154</v>
      </c>
      <c r="D117" s="5" t="n">
        <v>15</v>
      </c>
      <c r="E117" s="13" t="n">
        <v>1.44</v>
      </c>
      <c r="F117" s="14" t="n">
        <f aca="false">E117*Assumptions!$D$4</f>
        <v>186.708334718574</v>
      </c>
      <c r="G117" s="14" t="n">
        <v>330</v>
      </c>
      <c r="H117" s="14" t="n">
        <v>435</v>
      </c>
      <c r="I117" s="14" t="n">
        <f aca="false">F117-(G117+H117)/2</f>
        <v>-195.791665281426</v>
      </c>
      <c r="J117" s="5" t="str">
        <f aca="false">IF(D117&lt;8,"LOW SAMPLE",IF(F117&gt;H117*(1+Assumptions!$B$10),"UNDERPAID",IF(F117&lt;G117*(1-Assumptions!$B$10),"OVERPAID","FAIR")))</f>
        <v>OVERPAID</v>
      </c>
      <c r="K117" s="5" t="n">
        <v>49</v>
      </c>
    </row>
    <row r="118" customFormat="false" ht="15" hidden="false" customHeight="false" outlineLevel="0" collapsed="false">
      <c r="A118" s="5" t="n">
        <v>2021</v>
      </c>
      <c r="B118" s="5" t="s">
        <v>146</v>
      </c>
      <c r="C118" s="5" t="s">
        <v>155</v>
      </c>
      <c r="D118" s="5" t="n">
        <v>17</v>
      </c>
      <c r="E118" s="13" t="n">
        <v>2.54</v>
      </c>
      <c r="F118" s="14" t="n">
        <f aca="false">E118*Assumptions!$D$4</f>
        <v>329.332757073041</v>
      </c>
      <c r="G118" s="14" t="n">
        <v>330</v>
      </c>
      <c r="H118" s="14" t="n">
        <v>435</v>
      </c>
      <c r="I118" s="14" t="n">
        <f aca="false">F118-(G118+H118)/2</f>
        <v>-53.167242926959</v>
      </c>
      <c r="J118" s="5" t="str">
        <f aca="false">IF(D118&lt;8,"LOW SAMPLE",IF(F118&gt;H118*(1+Assumptions!$B$10),"UNDERPAID",IF(F118&lt;G118*(1-Assumptions!$B$10),"OVERPAID","FAIR")))</f>
        <v>FAIR</v>
      </c>
      <c r="K118" s="5" t="n">
        <v>103</v>
      </c>
    </row>
    <row r="119" customFormat="false" ht="15" hidden="false" customHeight="false" outlineLevel="0" collapsed="false">
      <c r="A119" s="5" t="n">
        <v>2021</v>
      </c>
      <c r="B119" s="5" t="s">
        <v>146</v>
      </c>
      <c r="C119" s="5" t="s">
        <v>156</v>
      </c>
      <c r="D119" s="5" t="n">
        <v>18</v>
      </c>
      <c r="E119" s="13" t="n">
        <v>4.06</v>
      </c>
      <c r="F119" s="14" t="n">
        <f aca="false">E119*Assumptions!$D$4</f>
        <v>526.413777053758</v>
      </c>
      <c r="G119" s="14" t="n">
        <v>120</v>
      </c>
      <c r="H119" s="14" t="n">
        <v>215</v>
      </c>
      <c r="I119" s="14" t="n">
        <f aca="false">F119-(G119+H119)/2</f>
        <v>358.913777053758</v>
      </c>
      <c r="J119" s="5" t="str">
        <f aca="false">IF(D119&lt;8,"LOW SAMPLE",IF(F119&gt;H119*(1+Assumptions!$B$10),"UNDERPAID",IF(F119&lt;G119*(1-Assumptions!$B$10),"OVERPAID","FAIR")))</f>
        <v>UNDERPAID</v>
      </c>
      <c r="K119" s="5" t="n">
        <v>11</v>
      </c>
    </row>
    <row r="120" customFormat="false" ht="15" hidden="false" customHeight="false" outlineLevel="0" collapsed="false">
      <c r="A120" s="5" t="n">
        <v>2021</v>
      </c>
      <c r="B120" s="5" t="s">
        <v>146</v>
      </c>
      <c r="C120" s="5" t="s">
        <v>157</v>
      </c>
      <c r="D120" s="5" t="n">
        <v>13</v>
      </c>
      <c r="E120" s="13" t="n">
        <v>3.15</v>
      </c>
      <c r="F120" s="14" t="n">
        <f aca="false">E120*Assumptions!$D$4</f>
        <v>408.424482196882</v>
      </c>
      <c r="G120" s="14" t="n">
        <v>435</v>
      </c>
      <c r="H120" s="14" t="n">
        <v>590</v>
      </c>
      <c r="I120" s="14" t="n">
        <f aca="false">F120-(G120+H120)/2</f>
        <v>-104.075517803118</v>
      </c>
      <c r="J120" s="5" t="str">
        <f aca="false">IF(D120&lt;8,"LOW SAMPLE",IF(F120&gt;H120*(1+Assumptions!$B$10),"UNDERPAID",IF(F120&lt;G120*(1-Assumptions!$B$10),"OVERPAID","FAIR")))</f>
        <v>FAIR</v>
      </c>
      <c r="K120" s="5" t="n">
        <v>89</v>
      </c>
    </row>
    <row r="121" customFormat="false" ht="15" hidden="false" customHeight="false" outlineLevel="0" collapsed="false">
      <c r="A121" s="5" t="n">
        <v>2021</v>
      </c>
      <c r="B121" s="5" t="s">
        <v>146</v>
      </c>
      <c r="C121" s="5" t="s">
        <v>158</v>
      </c>
      <c r="D121" s="5" t="n">
        <v>9</v>
      </c>
      <c r="E121" s="13" t="n">
        <v>0.76</v>
      </c>
      <c r="F121" s="14" t="n">
        <f aca="false">E121*Assumptions!$D$4</f>
        <v>98.5405099903587</v>
      </c>
      <c r="G121" s="14" t="n">
        <v>215</v>
      </c>
      <c r="H121" s="14" t="n">
        <v>330</v>
      </c>
      <c r="I121" s="14" t="n">
        <f aca="false">F121-(G121+H121)/2</f>
        <v>-173.959490009641</v>
      </c>
      <c r="J121" s="5" t="str">
        <f aca="false">IF(D121&lt;8,"LOW SAMPLE",IF(F121&gt;H121*(1+Assumptions!$B$10),"UNDERPAID",IF(F121&lt;G121*(1-Assumptions!$B$10),"OVERPAID","FAIR")))</f>
        <v>OVERPAID</v>
      </c>
      <c r="K121" s="5" t="n">
        <v>0</v>
      </c>
    </row>
    <row r="122" customFormat="false" ht="15" hidden="false" customHeight="false" outlineLevel="0" collapsed="false">
      <c r="A122" s="5" t="n">
        <v>2021</v>
      </c>
      <c r="B122" s="5" t="s">
        <v>146</v>
      </c>
      <c r="C122" s="5" t="s">
        <v>159</v>
      </c>
      <c r="D122" s="5" t="n">
        <v>20</v>
      </c>
      <c r="E122" s="13" t="n">
        <v>3.87</v>
      </c>
      <c r="F122" s="14" t="n">
        <f aca="false">E122*Assumptions!$D$4</f>
        <v>501.778649556169</v>
      </c>
      <c r="G122" s="14" t="n">
        <v>215</v>
      </c>
      <c r="H122" s="14" t="n">
        <v>330</v>
      </c>
      <c r="I122" s="14" t="n">
        <f aca="false">F122-(G122+H122)/2</f>
        <v>229.278649556169</v>
      </c>
      <c r="J122" s="5" t="str">
        <f aca="false">IF(D122&lt;8,"LOW SAMPLE",IF(F122&gt;H122*(1+Assumptions!$B$10),"UNDERPAID",IF(F122&lt;G122*(1-Assumptions!$B$10),"OVERPAID","FAIR")))</f>
        <v>UNDERPAID</v>
      </c>
      <c r="K122" s="5" t="n">
        <v>15</v>
      </c>
    </row>
    <row r="123" customFormat="false" ht="15" hidden="false" customHeight="false" outlineLevel="0" collapsed="false">
      <c r="A123" s="5" t="n">
        <v>2021</v>
      </c>
      <c r="B123" s="5" t="s">
        <v>146</v>
      </c>
      <c r="C123" s="5" t="s">
        <v>160</v>
      </c>
      <c r="D123" s="5" t="n">
        <v>22</v>
      </c>
      <c r="E123" s="13" t="n">
        <v>6.23</v>
      </c>
      <c r="F123" s="14" t="n">
        <f aca="false">E123*Assumptions!$D$4</f>
        <v>807.772864789388</v>
      </c>
      <c r="G123" s="14" t="n">
        <v>590</v>
      </c>
      <c r="H123" s="14" t="n">
        <v>820</v>
      </c>
      <c r="I123" s="14" t="n">
        <f aca="false">F123-(G123+H123)/2</f>
        <v>102.772864789388</v>
      </c>
      <c r="J123" s="5" t="str">
        <f aca="false">IF(D123&lt;8,"LOW SAMPLE",IF(F123&gt;H123*(1+Assumptions!$B$10),"UNDERPAID",IF(F123&lt;G123*(1-Assumptions!$B$10),"OVERPAID","FAIR")))</f>
        <v>FAIR</v>
      </c>
      <c r="K123" s="5" t="n">
        <v>135</v>
      </c>
    </row>
    <row r="124" customFormat="false" ht="15" hidden="false" customHeight="false" outlineLevel="0" collapsed="false">
      <c r="A124" s="5" t="n">
        <v>2021</v>
      </c>
      <c r="B124" s="5" t="s">
        <v>146</v>
      </c>
      <c r="C124" s="5" t="s">
        <v>161</v>
      </c>
      <c r="D124" s="5" t="n">
        <v>5</v>
      </c>
      <c r="E124" s="13" t="n">
        <v>0.77</v>
      </c>
      <c r="F124" s="14" t="n">
        <f aca="false">E124*Assumptions!$D$4</f>
        <v>99.8370956481266</v>
      </c>
      <c r="G124" s="14" t="n">
        <v>215</v>
      </c>
      <c r="H124" s="14" t="n">
        <v>330</v>
      </c>
      <c r="I124" s="14" t="n">
        <f aca="false">F124-(G124+H124)/2</f>
        <v>-172.662904351873</v>
      </c>
      <c r="J124" s="5" t="str">
        <f aca="false">IF(D124&lt;8,"LOW SAMPLE",IF(F124&gt;H124*(1+Assumptions!$B$10),"UNDERPAID",IF(F124&lt;G124*(1-Assumptions!$B$10),"OVERPAID","FAIR")))</f>
        <v>LOW SAMPLE</v>
      </c>
      <c r="K124" s="5" t="n">
        <v>0</v>
      </c>
    </row>
    <row r="125" customFormat="false" ht="15" hidden="false" customHeight="false" outlineLevel="0" collapsed="false">
      <c r="A125" s="5" t="n">
        <v>2021</v>
      </c>
      <c r="B125" s="5" t="s">
        <v>146</v>
      </c>
      <c r="C125" s="5" t="s">
        <v>162</v>
      </c>
      <c r="D125" s="5" t="n">
        <v>19</v>
      </c>
      <c r="E125" s="13" t="n">
        <v>2.71</v>
      </c>
      <c r="F125" s="14" t="n">
        <f aca="false">E125*Assumptions!$D$4</f>
        <v>351.374713255095</v>
      </c>
      <c r="G125" s="14" t="n">
        <v>120</v>
      </c>
      <c r="H125" s="14" t="n">
        <v>215</v>
      </c>
      <c r="I125" s="14" t="n">
        <f aca="false">F125-(G125+H125)/2</f>
        <v>183.874713255095</v>
      </c>
      <c r="J125" s="5" t="str">
        <f aca="false">IF(D125&lt;8,"LOW SAMPLE",IF(F125&gt;H125*(1+Assumptions!$B$10),"UNDERPAID",IF(F125&lt;G125*(1-Assumptions!$B$10),"OVERPAID","FAIR")))</f>
        <v>UNDERPAID</v>
      </c>
      <c r="K125" s="5" t="n">
        <v>21</v>
      </c>
    </row>
    <row r="126" customFormat="false" ht="15" hidden="false" customHeight="false" outlineLevel="0" collapsed="false">
      <c r="A126" s="5" t="n">
        <v>2021</v>
      </c>
      <c r="B126" s="5" t="s">
        <v>146</v>
      </c>
      <c r="C126" s="5" t="s">
        <v>163</v>
      </c>
      <c r="D126" s="5" t="n">
        <v>13</v>
      </c>
      <c r="E126" s="13" t="n">
        <v>3.36</v>
      </c>
      <c r="F126" s="14" t="n">
        <f aca="false">E126*Assumptions!$D$4</f>
        <v>435.652781010007</v>
      </c>
      <c r="G126" s="14" t="n">
        <v>435</v>
      </c>
      <c r="H126" s="14" t="n">
        <v>590</v>
      </c>
      <c r="I126" s="14" t="n">
        <f aca="false">F126-(G126+H126)/2</f>
        <v>-76.8472189899931</v>
      </c>
      <c r="J126" s="5" t="str">
        <f aca="false">IF(D126&lt;8,"LOW SAMPLE",IF(F126&gt;H126*(1+Assumptions!$B$10),"UNDERPAID",IF(F126&lt;G126*(1-Assumptions!$B$10),"OVERPAID","FAIR")))</f>
        <v>FAIR</v>
      </c>
      <c r="K126" s="5" t="n">
        <v>71</v>
      </c>
    </row>
    <row r="127" customFormat="false" ht="15" hidden="false" customHeight="false" outlineLevel="0" collapsed="false">
      <c r="A127" s="5" t="n">
        <v>2021</v>
      </c>
      <c r="B127" s="5" t="s">
        <v>146</v>
      </c>
      <c r="C127" s="5" t="s">
        <v>164</v>
      </c>
      <c r="D127" s="5" t="n">
        <v>5</v>
      </c>
      <c r="E127" s="13" t="n">
        <v>0.14</v>
      </c>
      <c r="F127" s="14" t="n">
        <f aca="false">E127*Assumptions!$D$4</f>
        <v>18.1521992087503</v>
      </c>
      <c r="G127" s="14" t="n">
        <v>215</v>
      </c>
      <c r="H127" s="14" t="n">
        <v>330</v>
      </c>
      <c r="I127" s="14" t="n">
        <f aca="false">F127-(G127+H127)/2</f>
        <v>-254.34780079125</v>
      </c>
      <c r="J127" s="5" t="str">
        <f aca="false">IF(D127&lt;8,"LOW SAMPLE",IF(F127&gt;H127*(1+Assumptions!$B$10),"UNDERPAID",IF(F127&lt;G127*(1-Assumptions!$B$10),"OVERPAID","FAIR")))</f>
        <v>LOW SAMPLE</v>
      </c>
      <c r="K127" s="5" t="n">
        <v>0</v>
      </c>
    </row>
    <row r="128" customFormat="false" ht="15" hidden="false" customHeight="false" outlineLevel="0" collapsed="false">
      <c r="A128" s="5" t="n">
        <v>2021</v>
      </c>
      <c r="B128" s="5" t="s">
        <v>146</v>
      </c>
      <c r="C128" s="5" t="s">
        <v>165</v>
      </c>
      <c r="D128" s="5" t="n">
        <v>8</v>
      </c>
      <c r="E128" s="13" t="n">
        <v>1.35</v>
      </c>
      <c r="F128" s="14" t="n">
        <f aca="false">E128*Assumptions!$D$4</f>
        <v>175.039063798664</v>
      </c>
      <c r="G128" s="14" t="n">
        <v>330</v>
      </c>
      <c r="H128" s="14" t="n">
        <v>435</v>
      </c>
      <c r="I128" s="14" t="n">
        <f aca="false">F128-(G128+H128)/2</f>
        <v>-207.460936201337</v>
      </c>
      <c r="J128" s="5" t="str">
        <f aca="false">IF(D128&lt;8,"LOW SAMPLE",IF(F128&gt;H128*(1+Assumptions!$B$10),"UNDERPAID",IF(F128&lt;G128*(1-Assumptions!$B$10),"OVERPAID","FAIR")))</f>
        <v>OVERPAID</v>
      </c>
      <c r="K128" s="5" t="n">
        <v>109</v>
      </c>
    </row>
    <row r="129" customFormat="false" ht="15" hidden="false" customHeight="false" outlineLevel="0" collapsed="false">
      <c r="A129" s="5" t="n">
        <v>2021</v>
      </c>
      <c r="B129" s="5" t="s">
        <v>146</v>
      </c>
      <c r="C129" s="5" t="s">
        <v>166</v>
      </c>
      <c r="D129" s="5" t="n">
        <v>22</v>
      </c>
      <c r="E129" s="13" t="n">
        <v>3.11</v>
      </c>
      <c r="F129" s="14" t="n">
        <f aca="false">E129*Assumptions!$D$4</f>
        <v>403.23813956581</v>
      </c>
      <c r="G129" s="14" t="n">
        <v>215</v>
      </c>
      <c r="H129" s="14" t="n">
        <v>330</v>
      </c>
      <c r="I129" s="14" t="n">
        <f aca="false">F129-(G129+H129)/2</f>
        <v>130.73813956581</v>
      </c>
      <c r="J129" s="5" t="str">
        <f aca="false">IF(D129&lt;8,"LOW SAMPLE",IF(F129&gt;H129*(1+Assumptions!$B$10),"UNDERPAID",IF(F129&lt;G129*(1-Assumptions!$B$10),"OVERPAID","FAIR")))</f>
        <v>UNDERPAID</v>
      </c>
      <c r="K129" s="5" t="n">
        <v>22</v>
      </c>
    </row>
    <row r="130" customFormat="false" ht="15" hidden="false" customHeight="false" outlineLevel="0" collapsed="false">
      <c r="A130" s="5" t="n">
        <v>2021</v>
      </c>
      <c r="B130" s="5" t="s">
        <v>146</v>
      </c>
      <c r="C130" s="5" t="s">
        <v>167</v>
      </c>
      <c r="D130" s="5" t="n">
        <v>21</v>
      </c>
      <c r="E130" s="13" t="n">
        <v>4.22</v>
      </c>
      <c r="F130" s="14" t="n">
        <f aca="false">E130*Assumptions!$D$4</f>
        <v>547.159147578044</v>
      </c>
      <c r="G130" s="14" t="n">
        <v>330</v>
      </c>
      <c r="H130" s="14" t="n">
        <v>435</v>
      </c>
      <c r="I130" s="14" t="n">
        <f aca="false">F130-(G130+H130)/2</f>
        <v>164.659147578044</v>
      </c>
      <c r="J130" s="5" t="str">
        <f aca="false">IF(D130&lt;8,"LOW SAMPLE",IF(F130&gt;H130*(1+Assumptions!$B$10),"UNDERPAID",IF(F130&lt;G130*(1-Assumptions!$B$10),"OVERPAID","FAIR")))</f>
        <v>UNDERPAID</v>
      </c>
      <c r="K130" s="5" t="n">
        <v>107</v>
      </c>
    </row>
    <row r="131" customFormat="false" ht="15" hidden="false" customHeight="false" outlineLevel="0" collapsed="false">
      <c r="A131" s="5" t="n">
        <v>2021</v>
      </c>
      <c r="B131" s="5" t="s">
        <v>146</v>
      </c>
      <c r="C131" s="5" t="s">
        <v>168</v>
      </c>
      <c r="D131" s="5" t="n">
        <v>20</v>
      </c>
      <c r="E131" s="13" t="n">
        <v>5.07</v>
      </c>
      <c r="F131" s="14" t="n">
        <f aca="false">E131*Assumptions!$D$4</f>
        <v>657.368928488314</v>
      </c>
      <c r="G131" s="14" t="n">
        <v>435</v>
      </c>
      <c r="H131" s="14" t="n">
        <v>590</v>
      </c>
      <c r="I131" s="14" t="n">
        <f aca="false">F131-(G131+H131)/2</f>
        <v>144.868928488314</v>
      </c>
      <c r="J131" s="5" t="str">
        <f aca="false">IF(D131&lt;8,"LOW SAMPLE",IF(F131&gt;H131*(1+Assumptions!$B$10),"UNDERPAID",IF(F131&lt;G131*(1-Assumptions!$B$10),"OVERPAID","FAIR")))</f>
        <v>FAIR</v>
      </c>
      <c r="K131" s="5" t="n">
        <v>98</v>
      </c>
    </row>
    <row r="132" customFormat="false" ht="15" hidden="false" customHeight="false" outlineLevel="0" collapsed="false">
      <c r="A132" s="5" t="n">
        <v>2021</v>
      </c>
      <c r="B132" s="5" t="s">
        <v>146</v>
      </c>
      <c r="C132" s="5" t="s">
        <v>169</v>
      </c>
      <c r="D132" s="5" t="n">
        <v>17</v>
      </c>
      <c r="E132" s="13" t="n">
        <v>2.78</v>
      </c>
      <c r="F132" s="14" t="n">
        <f aca="false">E132*Assumptions!$D$4</f>
        <v>360.45081285947</v>
      </c>
      <c r="G132" s="14" t="n">
        <v>330</v>
      </c>
      <c r="H132" s="14" t="n">
        <v>435</v>
      </c>
      <c r="I132" s="14" t="n">
        <f aca="false">F132-(G132+H132)/2</f>
        <v>-22.04918714053</v>
      </c>
      <c r="J132" s="5" t="str">
        <f aca="false">IF(D132&lt;8,"LOW SAMPLE",IF(F132&gt;H132*(1+Assumptions!$B$10),"UNDERPAID",IF(F132&lt;G132*(1-Assumptions!$B$10),"OVERPAID","FAIR")))</f>
        <v>FAIR</v>
      </c>
      <c r="K132" s="5" t="n">
        <v>35</v>
      </c>
    </row>
    <row r="133" customFormat="false" ht="15" hidden="false" customHeight="false" outlineLevel="0" collapsed="false">
      <c r="A133" s="5" t="n">
        <v>2021</v>
      </c>
      <c r="B133" s="5" t="s">
        <v>146</v>
      </c>
      <c r="C133" s="5" t="s">
        <v>170</v>
      </c>
      <c r="D133" s="5" t="n">
        <v>20</v>
      </c>
      <c r="E133" s="13" t="n">
        <v>2.81</v>
      </c>
      <c r="F133" s="14" t="n">
        <f aca="false">E133*Assumptions!$D$4</f>
        <v>364.340569832774</v>
      </c>
      <c r="G133" s="14" t="n">
        <v>330</v>
      </c>
      <c r="H133" s="14" t="n">
        <v>435</v>
      </c>
      <c r="I133" s="14" t="n">
        <f aca="false">F133-(G133+H133)/2</f>
        <v>-18.1594301672263</v>
      </c>
      <c r="J133" s="5" t="str">
        <f aca="false">IF(D133&lt;8,"LOW SAMPLE",IF(F133&gt;H133*(1+Assumptions!$B$10),"UNDERPAID",IF(F133&lt;G133*(1-Assumptions!$B$10),"OVERPAID","FAIR")))</f>
        <v>FAIR</v>
      </c>
      <c r="K133" s="5" t="n">
        <v>71</v>
      </c>
    </row>
    <row r="134" customFormat="false" ht="15" hidden="false" customHeight="false" outlineLevel="0" collapsed="false">
      <c r="A134" s="5" t="n">
        <v>2021</v>
      </c>
      <c r="B134" s="5" t="s">
        <v>146</v>
      </c>
      <c r="C134" s="5" t="s">
        <v>171</v>
      </c>
      <c r="D134" s="5" t="n">
        <v>2</v>
      </c>
      <c r="E134" s="13" t="n">
        <v>0.17</v>
      </c>
      <c r="F134" s="14" t="n">
        <f aca="false">E134*Assumptions!$D$4</f>
        <v>22.0419561820539</v>
      </c>
      <c r="G134" s="14" t="n">
        <v>215</v>
      </c>
      <c r="H134" s="14" t="n">
        <v>330</v>
      </c>
      <c r="I134" s="14" t="n">
        <f aca="false">F134-(G134+H134)/2</f>
        <v>-250.458043817946</v>
      </c>
      <c r="J134" s="5" t="str">
        <f aca="false">IF(D134&lt;8,"LOW SAMPLE",IF(F134&gt;H134*(1+Assumptions!$B$10),"UNDERPAID",IF(F134&lt;G134*(1-Assumptions!$B$10),"OVERPAID","FAIR")))</f>
        <v>LOW SAMPLE</v>
      </c>
      <c r="K134" s="5" t="n">
        <v>84</v>
      </c>
    </row>
    <row r="135" customFormat="false" ht="15" hidden="false" customHeight="false" outlineLevel="0" collapsed="false">
      <c r="A135" s="5" t="n">
        <v>2021</v>
      </c>
      <c r="B135" s="5" t="s">
        <v>146</v>
      </c>
      <c r="C135" s="5" t="s">
        <v>172</v>
      </c>
      <c r="D135" s="5" t="n">
        <v>4</v>
      </c>
      <c r="E135" s="13" t="n">
        <v>0.47</v>
      </c>
      <c r="F135" s="14" t="n">
        <f aca="false">E135*Assumptions!$D$4</f>
        <v>60.9395259150903</v>
      </c>
      <c r="G135" s="14" t="n">
        <v>120</v>
      </c>
      <c r="H135" s="14" t="n">
        <v>215</v>
      </c>
      <c r="I135" s="14" t="n">
        <f aca="false">F135-(G135+H135)/2</f>
        <v>-106.56047408491</v>
      </c>
      <c r="J135" s="5" t="str">
        <f aca="false">IF(D135&lt;8,"LOW SAMPLE",IF(F135&gt;H135*(1+Assumptions!$B$10),"UNDERPAID",IF(F135&lt;G135*(1-Assumptions!$B$10),"OVERPAID","FAIR")))</f>
        <v>LOW SAMPLE</v>
      </c>
      <c r="K135" s="5" t="n">
        <v>1</v>
      </c>
    </row>
    <row r="136" customFormat="false" ht="15" hidden="false" customHeight="false" outlineLevel="0" collapsed="false">
      <c r="A136" s="5" t="n">
        <v>2021</v>
      </c>
      <c r="B136" s="5" t="s">
        <v>146</v>
      </c>
      <c r="C136" s="5" t="s">
        <v>173</v>
      </c>
      <c r="D136" s="5" t="n">
        <v>7</v>
      </c>
      <c r="E136" s="13" t="n">
        <v>1.28</v>
      </c>
      <c r="F136" s="14" t="n">
        <f aca="false">E136*Assumptions!$D$4</f>
        <v>165.962964194288</v>
      </c>
      <c r="G136" s="14" t="n">
        <v>330</v>
      </c>
      <c r="H136" s="14" t="n">
        <v>435</v>
      </c>
      <c r="I136" s="14" t="n">
        <f aca="false">F136-(G136+H136)/2</f>
        <v>-216.537035805712</v>
      </c>
      <c r="J136" s="5" t="str">
        <f aca="false">IF(D136&lt;8,"LOW SAMPLE",IF(F136&gt;H136*(1+Assumptions!$B$10),"UNDERPAID",IF(F136&lt;G136*(1-Assumptions!$B$10),"OVERPAID","FAIR")))</f>
        <v>LOW SAMPLE</v>
      </c>
      <c r="K136" s="5" t="n">
        <v>69</v>
      </c>
    </row>
    <row r="137" customFormat="false" ht="15" hidden="false" customHeight="false" outlineLevel="0" collapsed="false">
      <c r="A137" s="5" t="n">
        <v>2021</v>
      </c>
      <c r="B137" s="5" t="s">
        <v>146</v>
      </c>
      <c r="C137" s="5" t="s">
        <v>174</v>
      </c>
      <c r="D137" s="5" t="n">
        <v>2</v>
      </c>
      <c r="E137" s="13" t="n">
        <v>0.37</v>
      </c>
      <c r="F137" s="14" t="n">
        <f aca="false">E137*Assumptions!$D$4</f>
        <v>47.9736693374115</v>
      </c>
      <c r="G137" s="14" t="n">
        <v>120</v>
      </c>
      <c r="H137" s="14" t="n">
        <v>215</v>
      </c>
      <c r="I137" s="14" t="n">
        <f aca="false">F137-(G137+H137)/2</f>
        <v>-119.526330662589</v>
      </c>
      <c r="J137" s="5" t="str">
        <f aca="false">IF(D137&lt;8,"LOW SAMPLE",IF(F137&gt;H137*(1+Assumptions!$B$10),"UNDERPAID",IF(F137&lt;G137*(1-Assumptions!$B$10),"OVERPAID","FAIR")))</f>
        <v>LOW SAMPLE</v>
      </c>
      <c r="K137" s="5" t="n">
        <v>1</v>
      </c>
    </row>
    <row r="138" customFormat="false" ht="15" hidden="false" customHeight="false" outlineLevel="0" collapsed="false">
      <c r="A138" s="5" t="n">
        <v>2021</v>
      </c>
      <c r="B138" s="5" t="s">
        <v>146</v>
      </c>
      <c r="C138" s="5" t="s">
        <v>175</v>
      </c>
      <c r="D138" s="5" t="n">
        <v>15</v>
      </c>
      <c r="E138" s="13" t="n">
        <v>1.35</v>
      </c>
      <c r="F138" s="14" t="n">
        <f aca="false">E138*Assumptions!$D$4</f>
        <v>175.039063798664</v>
      </c>
      <c r="G138" s="14" t="n">
        <v>120</v>
      </c>
      <c r="H138" s="14" t="n">
        <v>215</v>
      </c>
      <c r="I138" s="14" t="n">
        <f aca="false">F138-(G138+H138)/2</f>
        <v>7.53906379866351</v>
      </c>
      <c r="J138" s="5" t="str">
        <f aca="false">IF(D138&lt;8,"LOW SAMPLE",IF(F138&gt;H138*(1+Assumptions!$B$10),"UNDERPAID",IF(F138&lt;G138*(1-Assumptions!$B$10),"OVERPAID","FAIR")))</f>
        <v>FAIR</v>
      </c>
      <c r="K138" s="5" t="n">
        <v>2</v>
      </c>
    </row>
    <row r="139" customFormat="false" ht="15" hidden="false" customHeight="false" outlineLevel="0" collapsed="false">
      <c r="A139" s="5" t="n">
        <v>2021</v>
      </c>
      <c r="B139" s="5" t="s">
        <v>146</v>
      </c>
      <c r="C139" s="5" t="s">
        <v>176</v>
      </c>
      <c r="D139" s="5" t="n">
        <v>10</v>
      </c>
      <c r="E139" s="13" t="n">
        <v>1.34</v>
      </c>
      <c r="F139" s="14" t="n">
        <f aca="false">E139*Assumptions!$D$4</f>
        <v>173.742478140896</v>
      </c>
      <c r="G139" s="14" t="n">
        <v>215</v>
      </c>
      <c r="H139" s="14" t="n">
        <v>330</v>
      </c>
      <c r="I139" s="14" t="n">
        <f aca="false">F139-(G139+H139)/2</f>
        <v>-98.7575218591044</v>
      </c>
      <c r="J139" s="5" t="str">
        <f aca="false">IF(D139&lt;8,"LOW SAMPLE",IF(F139&gt;H139*(1+Assumptions!$B$10),"UNDERPAID",IF(F139&lt;G139*(1-Assumptions!$B$10),"OVERPAID","FAIR")))</f>
        <v>OVERPAID</v>
      </c>
      <c r="K139" s="5" t="n">
        <v>0</v>
      </c>
    </row>
    <row r="140" customFormat="false" ht="15" hidden="false" customHeight="false" outlineLevel="0" collapsed="false">
      <c r="A140" s="5" t="n">
        <v>2021</v>
      </c>
      <c r="B140" s="5" t="s">
        <v>146</v>
      </c>
      <c r="C140" s="5" t="s">
        <v>177</v>
      </c>
      <c r="D140" s="5" t="n">
        <v>18</v>
      </c>
      <c r="E140" s="13" t="n">
        <v>4.31</v>
      </c>
      <c r="F140" s="14" t="n">
        <f aca="false">E140*Assumptions!$D$4</f>
        <v>558.828418497955</v>
      </c>
      <c r="G140" s="14" t="n">
        <v>590</v>
      </c>
      <c r="H140" s="14" t="n">
        <v>820</v>
      </c>
      <c r="I140" s="14" t="n">
        <f aca="false">F140-(G140+H140)/2</f>
        <v>-146.171581502045</v>
      </c>
      <c r="J140" s="5" t="str">
        <f aca="false">IF(D140&lt;8,"LOW SAMPLE",IF(F140&gt;H140*(1+Assumptions!$B$10),"UNDERPAID",IF(F140&lt;G140*(1-Assumptions!$B$10),"OVERPAID","FAIR")))</f>
        <v>FAIR</v>
      </c>
      <c r="K140" s="5" t="n">
        <v>124</v>
      </c>
    </row>
    <row r="141" customFormat="false" ht="15" hidden="false" customHeight="false" outlineLevel="0" collapsed="false">
      <c r="A141" s="5" t="n">
        <v>2021</v>
      </c>
      <c r="B141" s="5" t="s">
        <v>146</v>
      </c>
      <c r="C141" s="5" t="s">
        <v>178</v>
      </c>
      <c r="D141" s="5" t="n">
        <v>21</v>
      </c>
      <c r="E141" s="13" t="n">
        <v>4.28</v>
      </c>
      <c r="F141" s="14" t="n">
        <f aca="false">E141*Assumptions!$D$4</f>
        <v>554.938661524652</v>
      </c>
      <c r="G141" s="14" t="n">
        <v>435</v>
      </c>
      <c r="H141" s="14" t="n">
        <v>590</v>
      </c>
      <c r="I141" s="14" t="n">
        <f aca="false">F141-(G141+H141)/2</f>
        <v>42.4386615246517</v>
      </c>
      <c r="J141" s="5" t="str">
        <f aca="false">IF(D141&lt;8,"LOW SAMPLE",IF(F141&gt;H141*(1+Assumptions!$B$10),"UNDERPAID",IF(F141&lt;G141*(1-Assumptions!$B$10),"OVERPAID","FAIR")))</f>
        <v>FAIR</v>
      </c>
      <c r="K141" s="5" t="n">
        <v>116</v>
      </c>
    </row>
    <row r="142" customFormat="false" ht="15" hidden="false" customHeight="false" outlineLevel="0" collapsed="false">
      <c r="A142" s="5" t="n">
        <v>2021</v>
      </c>
      <c r="B142" s="5" t="s">
        <v>146</v>
      </c>
      <c r="C142" s="5" t="s">
        <v>179</v>
      </c>
      <c r="D142" s="5" t="n">
        <v>14</v>
      </c>
      <c r="E142" s="13" t="n">
        <v>3.9</v>
      </c>
      <c r="F142" s="14" t="n">
        <f aca="false">E142*Assumptions!$D$4</f>
        <v>505.668406529472</v>
      </c>
      <c r="G142" s="14" t="n">
        <v>590</v>
      </c>
      <c r="H142" s="14" t="n">
        <v>820</v>
      </c>
      <c r="I142" s="14" t="n">
        <f aca="false">F142-(G142+H142)/2</f>
        <v>-199.331593470528</v>
      </c>
      <c r="J142" s="5" t="str">
        <f aca="false">IF(D142&lt;8,"LOW SAMPLE",IF(F142&gt;H142*(1+Assumptions!$B$10),"UNDERPAID",IF(F142&lt;G142*(1-Assumptions!$B$10),"OVERPAID","FAIR")))</f>
        <v>FAIR</v>
      </c>
      <c r="K142" s="5" t="n">
        <v>108</v>
      </c>
    </row>
    <row r="143" customFormat="false" ht="15" hidden="false" customHeight="false" outlineLevel="0" collapsed="false">
      <c r="A143" s="5" t="n">
        <v>2021</v>
      </c>
      <c r="B143" s="5" t="s">
        <v>146</v>
      </c>
      <c r="C143" s="5" t="s">
        <v>180</v>
      </c>
      <c r="D143" s="5" t="n">
        <v>4</v>
      </c>
      <c r="E143" s="13" t="n">
        <v>0.39</v>
      </c>
      <c r="F143" s="14" t="n">
        <f aca="false">E143*Assumptions!$D$4</f>
        <v>50.5668406529472</v>
      </c>
      <c r="G143" s="14" t="n">
        <v>215</v>
      </c>
      <c r="H143" s="14" t="n">
        <v>330</v>
      </c>
      <c r="I143" s="14" t="n">
        <f aca="false">F143-(G143+H143)/2</f>
        <v>-221.933159347053</v>
      </c>
      <c r="J143" s="5" t="str">
        <f aca="false">IF(D143&lt;8,"LOW SAMPLE",IF(F143&gt;H143*(1+Assumptions!$B$10),"UNDERPAID",IF(F143&lt;G143*(1-Assumptions!$B$10),"OVERPAID","FAIR")))</f>
        <v>LOW SAMPLE</v>
      </c>
      <c r="K143" s="5" t="n">
        <v>0</v>
      </c>
    </row>
    <row r="144" customFormat="false" ht="15" hidden="false" customHeight="false" outlineLevel="0" collapsed="false">
      <c r="A144" s="5" t="n">
        <v>2021</v>
      </c>
      <c r="B144" s="5" t="s">
        <v>146</v>
      </c>
      <c r="C144" s="5" t="s">
        <v>181</v>
      </c>
      <c r="D144" s="5" t="n">
        <v>12</v>
      </c>
      <c r="E144" s="13" t="n">
        <v>1.43</v>
      </c>
      <c r="F144" s="14" t="n">
        <f aca="false">E144*Assumptions!$D$4</f>
        <v>185.411749060807</v>
      </c>
      <c r="G144" s="14" t="n">
        <v>215</v>
      </c>
      <c r="H144" s="14" t="n">
        <v>330</v>
      </c>
      <c r="I144" s="14" t="n">
        <f aca="false">F144-(G144+H144)/2</f>
        <v>-87.0882509391935</v>
      </c>
      <c r="J144" s="5" t="str">
        <f aca="false">IF(D144&lt;8,"LOW SAMPLE",IF(F144&gt;H144*(1+Assumptions!$B$10),"UNDERPAID",IF(F144&lt;G144*(1-Assumptions!$B$10),"OVERPAID","FAIR")))</f>
        <v>FAIR</v>
      </c>
      <c r="K144" s="5" t="n">
        <v>0</v>
      </c>
    </row>
    <row r="145" customFormat="false" ht="15" hidden="false" customHeight="false" outlineLevel="0" collapsed="false">
      <c r="A145" s="5" t="n">
        <v>2021</v>
      </c>
      <c r="B145" s="5" t="s">
        <v>146</v>
      </c>
      <c r="C145" s="5" t="s">
        <v>182</v>
      </c>
      <c r="D145" s="5" t="n">
        <v>9</v>
      </c>
      <c r="E145" s="13" t="n">
        <v>1.02</v>
      </c>
      <c r="F145" s="14" t="n">
        <f aca="false">E145*Assumptions!$D$4</f>
        <v>132.251737092324</v>
      </c>
      <c r="G145" s="14" t="n">
        <v>120</v>
      </c>
      <c r="H145" s="14" t="n">
        <v>215</v>
      </c>
      <c r="I145" s="14" t="n">
        <f aca="false">F145-(G145+H145)/2</f>
        <v>-35.2482629076765</v>
      </c>
      <c r="J145" s="5" t="str">
        <f aca="false">IF(D145&lt;8,"LOW SAMPLE",IF(F145&gt;H145*(1+Assumptions!$B$10),"UNDERPAID",IF(F145&lt;G145*(1-Assumptions!$B$10),"OVERPAID","FAIR")))</f>
        <v>FAIR</v>
      </c>
      <c r="K145" s="5" t="n">
        <v>4</v>
      </c>
    </row>
    <row r="146" customFormat="false" ht="15" hidden="false" customHeight="false" outlineLevel="0" collapsed="false">
      <c r="A146" s="5" t="n">
        <v>2021</v>
      </c>
      <c r="B146" s="5" t="s">
        <v>146</v>
      </c>
      <c r="C146" s="5" t="s">
        <v>183</v>
      </c>
      <c r="D146" s="5" t="n">
        <v>7</v>
      </c>
      <c r="E146" s="13" t="n">
        <v>0.78</v>
      </c>
      <c r="F146" s="14" t="n">
        <f aca="false">E146*Assumptions!$D$4</f>
        <v>101.133681305894</v>
      </c>
      <c r="G146" s="14" t="n">
        <v>215</v>
      </c>
      <c r="H146" s="14" t="n">
        <v>330</v>
      </c>
      <c r="I146" s="14" t="n">
        <f aca="false">F146-(G146+H146)/2</f>
        <v>-171.366318694106</v>
      </c>
      <c r="J146" s="5" t="str">
        <f aca="false">IF(D146&lt;8,"LOW SAMPLE",IF(F146&gt;H146*(1+Assumptions!$B$10),"UNDERPAID",IF(F146&lt;G146*(1-Assumptions!$B$10),"OVERPAID","FAIR")))</f>
        <v>LOW SAMPLE</v>
      </c>
      <c r="K146" s="5" t="n">
        <v>9</v>
      </c>
    </row>
    <row r="147" customFormat="false" ht="15" hidden="false" customHeight="false" outlineLevel="0" collapsed="false">
      <c r="A147" s="5" t="n">
        <v>2021</v>
      </c>
      <c r="B147" s="5" t="s">
        <v>146</v>
      </c>
      <c r="C147" s="5" t="s">
        <v>184</v>
      </c>
      <c r="D147" s="5" t="n">
        <v>20</v>
      </c>
      <c r="E147" s="13" t="n">
        <v>3.68</v>
      </c>
      <c r="F147" s="14" t="n">
        <f aca="false">E147*Assumptions!$D$4</f>
        <v>477.143522058579</v>
      </c>
      <c r="G147" s="14" t="n">
        <v>330</v>
      </c>
      <c r="H147" s="14" t="n">
        <v>435</v>
      </c>
      <c r="I147" s="14" t="n">
        <f aca="false">F147-(G147+H147)/2</f>
        <v>94.643522058579</v>
      </c>
      <c r="J147" s="5" t="str">
        <f aca="false">IF(D147&lt;8,"LOW SAMPLE",IF(F147&gt;H147*(1+Assumptions!$B$10),"UNDERPAID",IF(F147&lt;G147*(1-Assumptions!$B$10),"OVERPAID","FAIR")))</f>
        <v>FAIR</v>
      </c>
      <c r="K147" s="5" t="n">
        <v>98</v>
      </c>
    </row>
    <row r="148" customFormat="false" ht="15" hidden="false" customHeight="false" outlineLevel="0" collapsed="false">
      <c r="A148" s="5" t="n">
        <v>2021</v>
      </c>
      <c r="B148" s="5" t="s">
        <v>146</v>
      </c>
      <c r="C148" s="5" t="s">
        <v>185</v>
      </c>
      <c r="D148" s="5" t="n">
        <v>2</v>
      </c>
      <c r="E148" s="13" t="n">
        <v>0.1</v>
      </c>
      <c r="F148" s="14" t="n">
        <f aca="false">E148*Assumptions!$D$4</f>
        <v>12.9658565776788</v>
      </c>
      <c r="G148" s="14" t="n">
        <v>120</v>
      </c>
      <c r="H148" s="14" t="n">
        <v>215</v>
      </c>
      <c r="I148" s="14" t="n">
        <f aca="false">F148-(G148+H148)/2</f>
        <v>-154.534143422321</v>
      </c>
      <c r="J148" s="5" t="str">
        <f aca="false">IF(D148&lt;8,"LOW SAMPLE",IF(F148&gt;H148*(1+Assumptions!$B$10),"UNDERPAID",IF(F148&lt;G148*(1-Assumptions!$B$10),"OVERPAID","FAIR")))</f>
        <v>LOW SAMPLE</v>
      </c>
      <c r="K148" s="5" t="n">
        <v>1</v>
      </c>
    </row>
    <row r="149" customFormat="false" ht="15" hidden="false" customHeight="false" outlineLevel="0" collapsed="false">
      <c r="A149" s="5" t="n">
        <v>2021</v>
      </c>
      <c r="B149" s="5" t="s">
        <v>186</v>
      </c>
      <c r="C149" s="5" t="s">
        <v>187</v>
      </c>
      <c r="D149" s="5" t="n">
        <v>15</v>
      </c>
      <c r="E149" s="13" t="n">
        <v>2.35</v>
      </c>
      <c r="F149" s="14" t="n">
        <f aca="false">E149*Assumptions!$D$4</f>
        <v>304.697629575451</v>
      </c>
      <c r="G149" s="14" t="n">
        <v>215</v>
      </c>
      <c r="H149" s="14" t="n">
        <v>330</v>
      </c>
      <c r="I149" s="14" t="n">
        <f aca="false">F149-(G149+H149)/2</f>
        <v>32.1976295754513</v>
      </c>
      <c r="J149" s="5" t="str">
        <f aca="false">IF(D149&lt;8,"LOW SAMPLE",IF(F149&gt;H149*(1+Assumptions!$B$10),"UNDERPAID",IF(F149&lt;G149*(1-Assumptions!$B$10),"OVERPAID","FAIR")))</f>
        <v>FAIR</v>
      </c>
      <c r="K149" s="5" t="n">
        <v>35</v>
      </c>
    </row>
    <row r="150" customFormat="false" ht="15" hidden="false" customHeight="false" outlineLevel="0" collapsed="false">
      <c r="A150" s="5" t="n">
        <v>2021</v>
      </c>
      <c r="B150" s="5" t="s">
        <v>186</v>
      </c>
      <c r="C150" s="5" t="s">
        <v>188</v>
      </c>
      <c r="D150" s="5" t="n">
        <v>14</v>
      </c>
      <c r="E150" s="13" t="n">
        <v>2.42</v>
      </c>
      <c r="F150" s="14" t="n">
        <f aca="false">E150*Assumptions!$D$4</f>
        <v>313.773729179826</v>
      </c>
      <c r="G150" s="14" t="n">
        <v>215</v>
      </c>
      <c r="H150" s="14" t="n">
        <v>330</v>
      </c>
      <c r="I150" s="14" t="n">
        <f aca="false">F150-(G150+H150)/2</f>
        <v>41.2737291798264</v>
      </c>
      <c r="J150" s="5" t="str">
        <f aca="false">IF(D150&lt;8,"LOW SAMPLE",IF(F150&gt;H150*(1+Assumptions!$B$10),"UNDERPAID",IF(F150&lt;G150*(1-Assumptions!$B$10),"OVERPAID","FAIR")))</f>
        <v>FAIR</v>
      </c>
      <c r="K150" s="5" t="n">
        <v>0</v>
      </c>
    </row>
    <row r="151" customFormat="false" ht="15" hidden="false" customHeight="false" outlineLevel="0" collapsed="false">
      <c r="A151" s="5" t="n">
        <v>2021</v>
      </c>
      <c r="B151" s="5" t="s">
        <v>186</v>
      </c>
      <c r="C151" s="5" t="s">
        <v>189</v>
      </c>
      <c r="D151" s="5" t="n">
        <v>15</v>
      </c>
      <c r="E151" s="13" t="n">
        <v>3.24</v>
      </c>
      <c r="F151" s="14" t="n">
        <f aca="false">E151*Assumptions!$D$4</f>
        <v>420.093753116792</v>
      </c>
      <c r="G151" s="14" t="n">
        <v>435</v>
      </c>
      <c r="H151" s="14" t="n">
        <v>590</v>
      </c>
      <c r="I151" s="14" t="n">
        <f aca="false">F151-(G151+H151)/2</f>
        <v>-92.4062468832076</v>
      </c>
      <c r="J151" s="5" t="str">
        <f aca="false">IF(D151&lt;8,"LOW SAMPLE",IF(F151&gt;H151*(1+Assumptions!$B$10),"UNDERPAID",IF(F151&lt;G151*(1-Assumptions!$B$10),"OVERPAID","FAIR")))</f>
        <v>FAIR</v>
      </c>
      <c r="K151" s="5" t="n">
        <v>78</v>
      </c>
    </row>
    <row r="152" customFormat="false" ht="15" hidden="false" customHeight="false" outlineLevel="0" collapsed="false">
      <c r="A152" s="5" t="n">
        <v>2021</v>
      </c>
      <c r="B152" s="5" t="s">
        <v>186</v>
      </c>
      <c r="C152" s="5" t="s">
        <v>190</v>
      </c>
      <c r="D152" s="5" t="n">
        <v>6</v>
      </c>
      <c r="E152" s="13" t="n">
        <v>1.49</v>
      </c>
      <c r="F152" s="14" t="n">
        <f aca="false">E152*Assumptions!$D$4</f>
        <v>193.191263007414</v>
      </c>
      <c r="G152" s="14" t="n">
        <v>215</v>
      </c>
      <c r="H152" s="14" t="n">
        <v>330</v>
      </c>
      <c r="I152" s="14" t="n">
        <f aca="false">F152-(G152+H152)/2</f>
        <v>-79.3087369925862</v>
      </c>
      <c r="J152" s="5" t="str">
        <f aca="false">IF(D152&lt;8,"LOW SAMPLE",IF(F152&gt;H152*(1+Assumptions!$B$10),"UNDERPAID",IF(F152&lt;G152*(1-Assumptions!$B$10),"OVERPAID","FAIR")))</f>
        <v>LOW SAMPLE</v>
      </c>
      <c r="K152" s="5" t="n">
        <v>36</v>
      </c>
    </row>
    <row r="153" customFormat="false" ht="15" hidden="false" customHeight="false" outlineLevel="0" collapsed="false">
      <c r="A153" s="5" t="n">
        <v>2021</v>
      </c>
      <c r="B153" s="5" t="s">
        <v>186</v>
      </c>
      <c r="C153" s="5" t="s">
        <v>191</v>
      </c>
      <c r="D153" s="5" t="n">
        <v>20</v>
      </c>
      <c r="E153" s="13" t="n">
        <v>4.01</v>
      </c>
      <c r="F153" s="14" t="n">
        <f aca="false">E153*Assumptions!$D$4</f>
        <v>519.930848764919</v>
      </c>
      <c r="G153" s="14" t="n">
        <v>435</v>
      </c>
      <c r="H153" s="14" t="n">
        <v>590</v>
      </c>
      <c r="I153" s="14" t="n">
        <f aca="false">F153-(G153+H153)/2</f>
        <v>7.43084876491901</v>
      </c>
      <c r="J153" s="5" t="str">
        <f aca="false">IF(D153&lt;8,"LOW SAMPLE",IF(F153&gt;H153*(1+Assumptions!$B$10),"UNDERPAID",IF(F153&lt;G153*(1-Assumptions!$B$10),"OVERPAID","FAIR")))</f>
        <v>FAIR</v>
      </c>
      <c r="K153" s="5" t="n">
        <v>106</v>
      </c>
    </row>
    <row r="154" customFormat="false" ht="15" hidden="false" customHeight="false" outlineLevel="0" collapsed="false">
      <c r="A154" s="5" t="n">
        <v>2021</v>
      </c>
      <c r="B154" s="5" t="s">
        <v>186</v>
      </c>
      <c r="C154" s="5" t="s">
        <v>192</v>
      </c>
      <c r="D154" s="5" t="n">
        <v>21</v>
      </c>
      <c r="E154" s="13" t="n">
        <v>2.57</v>
      </c>
      <c r="F154" s="14" t="n">
        <f aca="false">E154*Assumptions!$D$4</f>
        <v>333.222514046345</v>
      </c>
      <c r="G154" s="14" t="n">
        <v>215</v>
      </c>
      <c r="H154" s="14" t="n">
        <v>330</v>
      </c>
      <c r="I154" s="14" t="n">
        <f aca="false">F154-(G154+H154)/2</f>
        <v>60.7225140463446</v>
      </c>
      <c r="J154" s="5" t="str">
        <f aca="false">IF(D154&lt;8,"LOW SAMPLE",IF(F154&gt;H154*(1+Assumptions!$B$10),"UNDERPAID",IF(F154&lt;G154*(1-Assumptions!$B$10),"OVERPAID","FAIR")))</f>
        <v>FAIR</v>
      </c>
      <c r="K154" s="5" t="n">
        <v>0</v>
      </c>
    </row>
    <row r="155" customFormat="false" ht="15" hidden="false" customHeight="false" outlineLevel="0" collapsed="false">
      <c r="A155" s="5" t="n">
        <v>2021</v>
      </c>
      <c r="B155" s="5" t="s">
        <v>186</v>
      </c>
      <c r="C155" s="5" t="s">
        <v>193</v>
      </c>
      <c r="D155" s="5" t="n">
        <v>6</v>
      </c>
      <c r="E155" s="13" t="n">
        <v>0.72</v>
      </c>
      <c r="F155" s="14" t="n">
        <f aca="false">E155*Assumptions!$D$4</f>
        <v>93.3541673592872</v>
      </c>
      <c r="G155" s="14" t="n">
        <v>120</v>
      </c>
      <c r="H155" s="14" t="n">
        <v>215</v>
      </c>
      <c r="I155" s="14" t="n">
        <f aca="false">F155-(G155+H155)/2</f>
        <v>-74.1458326407128</v>
      </c>
      <c r="J155" s="5" t="str">
        <f aca="false">IF(D155&lt;8,"LOW SAMPLE",IF(F155&gt;H155*(1+Assumptions!$B$10),"UNDERPAID",IF(F155&lt;G155*(1-Assumptions!$B$10),"OVERPAID","FAIR")))</f>
        <v>LOW SAMPLE</v>
      </c>
      <c r="K155" s="5" t="n">
        <v>11</v>
      </c>
    </row>
    <row r="156" customFormat="false" ht="15" hidden="false" customHeight="false" outlineLevel="0" collapsed="false">
      <c r="A156" s="5" t="n">
        <v>2021</v>
      </c>
      <c r="B156" s="5" t="s">
        <v>186</v>
      </c>
      <c r="C156" s="5" t="s">
        <v>194</v>
      </c>
      <c r="D156" s="5" t="n">
        <v>19</v>
      </c>
      <c r="E156" s="13" t="n">
        <v>2.01</v>
      </c>
      <c r="F156" s="14" t="n">
        <f aca="false">E156*Assumptions!$D$4</f>
        <v>260.613717211343</v>
      </c>
      <c r="G156" s="14" t="n">
        <v>120</v>
      </c>
      <c r="H156" s="14" t="n">
        <v>215</v>
      </c>
      <c r="I156" s="14" t="n">
        <f aca="false">F156-(G156+H156)/2</f>
        <v>93.1137172113434</v>
      </c>
      <c r="J156" s="5" t="str">
        <f aca="false">IF(D156&lt;8,"LOW SAMPLE",IF(F156&gt;H156*(1+Assumptions!$B$10),"UNDERPAID",IF(F156&lt;G156*(1-Assumptions!$B$10),"OVERPAID","FAIR")))</f>
        <v>UNDERPAID</v>
      </c>
      <c r="K156" s="5" t="n">
        <v>15</v>
      </c>
    </row>
    <row r="157" customFormat="false" ht="15" hidden="false" customHeight="false" outlineLevel="0" collapsed="false">
      <c r="A157" s="5" t="n">
        <v>2021</v>
      </c>
      <c r="B157" s="5" t="s">
        <v>186</v>
      </c>
      <c r="C157" s="5" t="s">
        <v>195</v>
      </c>
      <c r="D157" s="5" t="n">
        <v>18</v>
      </c>
      <c r="E157" s="13" t="n">
        <v>3.89</v>
      </c>
      <c r="F157" s="14" t="n">
        <f aca="false">E157*Assumptions!$D$4</f>
        <v>504.371820871705</v>
      </c>
      <c r="G157" s="14" t="n">
        <v>330</v>
      </c>
      <c r="H157" s="14" t="n">
        <v>435</v>
      </c>
      <c r="I157" s="14" t="n">
        <f aca="false">F157-(G157+H157)/2</f>
        <v>121.871820871704</v>
      </c>
      <c r="J157" s="5" t="str">
        <f aca="false">IF(D157&lt;8,"LOW SAMPLE",IF(F157&gt;H157*(1+Assumptions!$B$10),"UNDERPAID",IF(F157&lt;G157*(1-Assumptions!$B$10),"OVERPAID","FAIR")))</f>
        <v>UNDERPAID</v>
      </c>
      <c r="K157" s="5" t="n">
        <v>90</v>
      </c>
    </row>
    <row r="158" customFormat="false" ht="15" hidden="false" customHeight="false" outlineLevel="0" collapsed="false">
      <c r="A158" s="5" t="n">
        <v>2021</v>
      </c>
      <c r="B158" s="5" t="s">
        <v>186</v>
      </c>
      <c r="C158" s="5" t="s">
        <v>196</v>
      </c>
      <c r="D158" s="5" t="n">
        <v>23</v>
      </c>
      <c r="E158" s="13" t="n">
        <v>7.67</v>
      </c>
      <c r="F158" s="14" t="n">
        <f aca="false">E158*Assumptions!$D$4</f>
        <v>994.481199507962</v>
      </c>
      <c r="G158" s="14" t="n">
        <v>435</v>
      </c>
      <c r="H158" s="14" t="n">
        <v>590</v>
      </c>
      <c r="I158" s="14" t="n">
        <f aca="false">F158-(G158+H158)/2</f>
        <v>481.981199507962</v>
      </c>
      <c r="J158" s="5" t="str">
        <f aca="false">IF(D158&lt;8,"LOW SAMPLE",IF(F158&gt;H158*(1+Assumptions!$B$10),"UNDERPAID",IF(F158&lt;G158*(1-Assumptions!$B$10),"OVERPAID","FAIR")))</f>
        <v>UNDERPAID</v>
      </c>
      <c r="K158" s="5" t="n">
        <v>93</v>
      </c>
    </row>
    <row r="159" customFormat="false" ht="15" hidden="false" customHeight="false" outlineLevel="0" collapsed="false">
      <c r="A159" s="5" t="n">
        <v>2021</v>
      </c>
      <c r="B159" s="5" t="s">
        <v>186</v>
      </c>
      <c r="C159" s="5" t="s">
        <v>197</v>
      </c>
      <c r="D159" s="5" t="n">
        <v>9</v>
      </c>
      <c r="E159" s="13" t="n">
        <v>0.79</v>
      </c>
      <c r="F159" s="14" t="n">
        <f aca="false">E159*Assumptions!$D$4</f>
        <v>102.430266963662</v>
      </c>
      <c r="G159" s="14" t="n">
        <v>330</v>
      </c>
      <c r="H159" s="14" t="n">
        <v>435</v>
      </c>
      <c r="I159" s="14" t="n">
        <f aca="false">F159-(G159+H159)/2</f>
        <v>-280.069733036338</v>
      </c>
      <c r="J159" s="5" t="str">
        <f aca="false">IF(D159&lt;8,"LOW SAMPLE",IF(F159&gt;H159*(1+Assumptions!$B$10),"UNDERPAID",IF(F159&lt;G159*(1-Assumptions!$B$10),"OVERPAID","FAIR")))</f>
        <v>OVERPAID</v>
      </c>
      <c r="K159" s="5" t="n">
        <v>107</v>
      </c>
    </row>
    <row r="160" customFormat="false" ht="15" hidden="false" customHeight="false" outlineLevel="0" collapsed="false">
      <c r="A160" s="5" t="n">
        <v>2021</v>
      </c>
      <c r="B160" s="5" t="s">
        <v>186</v>
      </c>
      <c r="C160" s="5" t="s">
        <v>198</v>
      </c>
      <c r="D160" s="5" t="n">
        <v>20</v>
      </c>
      <c r="E160" s="13" t="n">
        <v>3.72</v>
      </c>
      <c r="F160" s="14" t="n">
        <f aca="false">E160*Assumptions!$D$4</f>
        <v>482.329864689651</v>
      </c>
      <c r="G160" s="14" t="n">
        <v>435</v>
      </c>
      <c r="H160" s="14" t="n">
        <v>590</v>
      </c>
      <c r="I160" s="14" t="n">
        <f aca="false">F160-(G160+H160)/2</f>
        <v>-30.1701353103495</v>
      </c>
      <c r="J160" s="5" t="str">
        <f aca="false">IF(D160&lt;8,"LOW SAMPLE",IF(F160&gt;H160*(1+Assumptions!$B$10),"UNDERPAID",IF(F160&lt;G160*(1-Assumptions!$B$10),"OVERPAID","FAIR")))</f>
        <v>FAIR</v>
      </c>
      <c r="K160" s="5" t="n">
        <v>95</v>
      </c>
    </row>
    <row r="161" customFormat="false" ht="15" hidden="false" customHeight="false" outlineLevel="0" collapsed="false">
      <c r="A161" s="5" t="n">
        <v>2021</v>
      </c>
      <c r="B161" s="5" t="s">
        <v>186</v>
      </c>
      <c r="C161" s="5" t="s">
        <v>199</v>
      </c>
      <c r="D161" s="5" t="n">
        <v>4</v>
      </c>
      <c r="E161" s="13" t="n">
        <v>0.68</v>
      </c>
      <c r="F161" s="14" t="n">
        <f aca="false">E161*Assumptions!$D$4</f>
        <v>88.1678247282157</v>
      </c>
      <c r="G161" s="14" t="n">
        <v>120</v>
      </c>
      <c r="H161" s="14" t="n">
        <v>215</v>
      </c>
      <c r="I161" s="14" t="n">
        <f aca="false">F161-(G161+H161)/2</f>
        <v>-79.3321752717843</v>
      </c>
      <c r="J161" s="5" t="str">
        <f aca="false">IF(D161&lt;8,"LOW SAMPLE",IF(F161&gt;H161*(1+Assumptions!$B$10),"UNDERPAID",IF(F161&lt;G161*(1-Assumptions!$B$10),"OVERPAID","FAIR")))</f>
        <v>LOW SAMPLE</v>
      </c>
      <c r="K161" s="5" t="n">
        <v>20</v>
      </c>
    </row>
    <row r="162" customFormat="false" ht="15" hidden="false" customHeight="false" outlineLevel="0" collapsed="false">
      <c r="A162" s="5" t="n">
        <v>2021</v>
      </c>
      <c r="B162" s="5" t="s">
        <v>186</v>
      </c>
      <c r="C162" s="5" t="s">
        <v>200</v>
      </c>
      <c r="D162" s="5" t="n">
        <v>8</v>
      </c>
      <c r="E162" s="13" t="n">
        <v>1.42</v>
      </c>
      <c r="F162" s="14" t="n">
        <f aca="false">E162*Assumptions!$D$4</f>
        <v>184.115163403039</v>
      </c>
      <c r="G162" s="14" t="n">
        <v>590</v>
      </c>
      <c r="H162" s="14" t="n">
        <v>820</v>
      </c>
      <c r="I162" s="14" t="n">
        <f aca="false">F162-(G162+H162)/2</f>
        <v>-520.884836596961</v>
      </c>
      <c r="J162" s="5" t="str">
        <f aca="false">IF(D162&lt;8,"LOW SAMPLE",IF(F162&gt;H162*(1+Assumptions!$B$10),"UNDERPAID",IF(F162&lt;G162*(1-Assumptions!$B$10),"OVERPAID","FAIR")))</f>
        <v>OVERPAID</v>
      </c>
      <c r="K162" s="5" t="n">
        <v>122</v>
      </c>
    </row>
    <row r="163" customFormat="false" ht="15" hidden="false" customHeight="false" outlineLevel="0" collapsed="false">
      <c r="A163" s="5" t="n">
        <v>2021</v>
      </c>
      <c r="B163" s="5" t="s">
        <v>186</v>
      </c>
      <c r="C163" s="5" t="s">
        <v>201</v>
      </c>
      <c r="D163" s="5" t="n">
        <v>19</v>
      </c>
      <c r="E163" s="13" t="n">
        <v>3.98</v>
      </c>
      <c r="F163" s="14" t="n">
        <f aca="false">E163*Assumptions!$D$4</f>
        <v>516.041091791615</v>
      </c>
      <c r="G163" s="14" t="n">
        <v>330</v>
      </c>
      <c r="H163" s="14" t="n">
        <v>435</v>
      </c>
      <c r="I163" s="14" t="n">
        <f aca="false">F163-(G163+H163)/2</f>
        <v>133.541091791615</v>
      </c>
      <c r="J163" s="5" t="str">
        <f aca="false">IF(D163&lt;8,"LOW SAMPLE",IF(F163&gt;H163*(1+Assumptions!$B$10),"UNDERPAID",IF(F163&lt;G163*(1-Assumptions!$B$10),"OVERPAID","FAIR")))</f>
        <v>UNDERPAID</v>
      </c>
      <c r="K163" s="5" t="n">
        <v>88</v>
      </c>
    </row>
    <row r="164" customFormat="false" ht="15" hidden="false" customHeight="false" outlineLevel="0" collapsed="false">
      <c r="A164" s="5" t="n">
        <v>2021</v>
      </c>
      <c r="B164" s="5" t="s">
        <v>186</v>
      </c>
      <c r="C164" s="5" t="s">
        <v>202</v>
      </c>
      <c r="D164" s="5" t="n">
        <v>16</v>
      </c>
      <c r="E164" s="13" t="n">
        <v>2.62</v>
      </c>
      <c r="F164" s="14" t="n">
        <f aca="false">E164*Assumptions!$D$4</f>
        <v>339.705442335184</v>
      </c>
      <c r="G164" s="14" t="n">
        <v>120</v>
      </c>
      <c r="H164" s="14" t="n">
        <v>215</v>
      </c>
      <c r="I164" s="14" t="n">
        <f aca="false">F164-(G164+H164)/2</f>
        <v>172.205442335184</v>
      </c>
      <c r="J164" s="5" t="str">
        <f aca="false">IF(D164&lt;8,"LOW SAMPLE",IF(F164&gt;H164*(1+Assumptions!$B$10),"UNDERPAID",IF(F164&lt;G164*(1-Assumptions!$B$10),"OVERPAID","FAIR")))</f>
        <v>UNDERPAID</v>
      </c>
      <c r="K164" s="5" t="n">
        <v>1</v>
      </c>
    </row>
    <row r="165" customFormat="false" ht="15" hidden="false" customHeight="false" outlineLevel="0" collapsed="false">
      <c r="A165" s="5" t="n">
        <v>2021</v>
      </c>
      <c r="B165" s="5" t="s">
        <v>186</v>
      </c>
      <c r="C165" s="5" t="s">
        <v>203</v>
      </c>
      <c r="D165" s="5" t="n">
        <v>19</v>
      </c>
      <c r="E165" s="13" t="n">
        <v>6.26</v>
      </c>
      <c r="F165" s="14" t="n">
        <f aca="false">E165*Assumptions!$D$4</f>
        <v>811.662621762692</v>
      </c>
      <c r="G165" s="14" t="n">
        <v>330</v>
      </c>
      <c r="H165" s="14" t="n">
        <v>435</v>
      </c>
      <c r="I165" s="14" t="n">
        <f aca="false">F165-(G165+H165)/2</f>
        <v>429.162621762692</v>
      </c>
      <c r="J165" s="5" t="str">
        <f aca="false">IF(D165&lt;8,"LOW SAMPLE",IF(F165&gt;H165*(1+Assumptions!$B$10),"UNDERPAID",IF(F165&lt;G165*(1-Assumptions!$B$10),"OVERPAID","FAIR")))</f>
        <v>UNDERPAID</v>
      </c>
      <c r="K165" s="5" t="n">
        <v>110</v>
      </c>
    </row>
    <row r="166" customFormat="false" ht="15" hidden="false" customHeight="false" outlineLevel="0" collapsed="false">
      <c r="A166" s="5" t="n">
        <v>2021</v>
      </c>
      <c r="B166" s="5" t="s">
        <v>186</v>
      </c>
      <c r="C166" s="5" t="s">
        <v>204</v>
      </c>
      <c r="D166" s="5" t="n">
        <v>17</v>
      </c>
      <c r="E166" s="13" t="n">
        <v>2.56</v>
      </c>
      <c r="F166" s="14" t="n">
        <f aca="false">E166*Assumptions!$D$4</f>
        <v>331.925928388577</v>
      </c>
      <c r="G166" s="14" t="n">
        <v>330</v>
      </c>
      <c r="H166" s="14" t="n">
        <v>435</v>
      </c>
      <c r="I166" s="14" t="n">
        <f aca="false">F166-(G166+H166)/2</f>
        <v>-50.5740716114233</v>
      </c>
      <c r="J166" s="5" t="str">
        <f aca="false">IF(D166&lt;8,"LOW SAMPLE",IF(F166&gt;H166*(1+Assumptions!$B$10),"UNDERPAID",IF(F166&lt;G166*(1-Assumptions!$B$10),"OVERPAID","FAIR")))</f>
        <v>FAIR</v>
      </c>
      <c r="K166" s="5" t="n">
        <v>51</v>
      </c>
    </row>
    <row r="167" customFormat="false" ht="15" hidden="false" customHeight="false" outlineLevel="0" collapsed="false">
      <c r="A167" s="5" t="n">
        <v>2021</v>
      </c>
      <c r="B167" s="5" t="s">
        <v>186</v>
      </c>
      <c r="C167" s="5" t="s">
        <v>205</v>
      </c>
      <c r="D167" s="5" t="n">
        <v>23</v>
      </c>
      <c r="E167" s="13" t="n">
        <v>3.66</v>
      </c>
      <c r="F167" s="14" t="n">
        <f aca="false">E167*Assumptions!$D$4</f>
        <v>474.550350743043</v>
      </c>
      <c r="G167" s="14" t="n">
        <v>215</v>
      </c>
      <c r="H167" s="14" t="n">
        <v>330</v>
      </c>
      <c r="I167" s="14" t="n">
        <f aca="false">F167-(G167+H167)/2</f>
        <v>202.050350743043</v>
      </c>
      <c r="J167" s="5" t="str">
        <f aca="false">IF(D167&lt;8,"LOW SAMPLE",IF(F167&gt;H167*(1+Assumptions!$B$10),"UNDERPAID",IF(F167&lt;G167*(1-Assumptions!$B$10),"OVERPAID","FAIR")))</f>
        <v>UNDERPAID</v>
      </c>
      <c r="K167" s="5" t="n">
        <v>46</v>
      </c>
    </row>
    <row r="168" customFormat="false" ht="15" hidden="false" customHeight="false" outlineLevel="0" collapsed="false">
      <c r="A168" s="5" t="n">
        <v>2021</v>
      </c>
      <c r="B168" s="5" t="s">
        <v>186</v>
      </c>
      <c r="C168" s="5" t="s">
        <v>206</v>
      </c>
      <c r="D168" s="5" t="n">
        <v>22</v>
      </c>
      <c r="E168" s="13" t="n">
        <v>5.34</v>
      </c>
      <c r="F168" s="14" t="n">
        <f aca="false">E168*Assumptions!$D$4</f>
        <v>692.376741248047</v>
      </c>
      <c r="G168" s="14" t="n">
        <v>330</v>
      </c>
      <c r="H168" s="14" t="n">
        <v>435</v>
      </c>
      <c r="I168" s="14" t="n">
        <f aca="false">F168-(G168+H168)/2</f>
        <v>309.876741248047</v>
      </c>
      <c r="J168" s="5" t="str">
        <f aca="false">IF(D168&lt;8,"LOW SAMPLE",IF(F168&gt;H168*(1+Assumptions!$B$10),"UNDERPAID",IF(F168&lt;G168*(1-Assumptions!$B$10),"OVERPAID","FAIR")))</f>
        <v>UNDERPAID</v>
      </c>
      <c r="K168" s="5" t="n">
        <v>26</v>
      </c>
    </row>
    <row r="169" customFormat="false" ht="15" hidden="false" customHeight="false" outlineLevel="0" collapsed="false">
      <c r="A169" s="5" t="n">
        <v>2021</v>
      </c>
      <c r="B169" s="5" t="s">
        <v>186</v>
      </c>
      <c r="C169" s="5" t="s">
        <v>207</v>
      </c>
      <c r="D169" s="5" t="n">
        <v>3</v>
      </c>
      <c r="E169" s="13" t="n">
        <v>0.55</v>
      </c>
      <c r="F169" s="14" t="n">
        <f aca="false">E169*Assumptions!$D$4</f>
        <v>71.3122111772333</v>
      </c>
      <c r="G169" s="14" t="n">
        <v>120</v>
      </c>
      <c r="H169" s="14" t="n">
        <v>215</v>
      </c>
      <c r="I169" s="14" t="n">
        <f aca="false">F169-(G169+H169)/2</f>
        <v>-96.1877888227667</v>
      </c>
      <c r="J169" s="5" t="str">
        <f aca="false">IF(D169&lt;8,"LOW SAMPLE",IF(F169&gt;H169*(1+Assumptions!$B$10),"UNDERPAID",IF(F169&lt;G169*(1-Assumptions!$B$10),"OVERPAID","FAIR")))</f>
        <v>LOW SAMPLE</v>
      </c>
      <c r="K169" s="5" t="n">
        <v>11</v>
      </c>
    </row>
    <row r="170" customFormat="false" ht="15" hidden="false" customHeight="false" outlineLevel="0" collapsed="false">
      <c r="A170" s="5" t="n">
        <v>2021</v>
      </c>
      <c r="B170" s="5" t="s">
        <v>186</v>
      </c>
      <c r="C170" s="5" t="s">
        <v>208</v>
      </c>
      <c r="D170" s="5" t="n">
        <v>17</v>
      </c>
      <c r="E170" s="13" t="n">
        <v>3.72</v>
      </c>
      <c r="F170" s="14" t="n">
        <f aca="false">E170*Assumptions!$D$4</f>
        <v>482.329864689651</v>
      </c>
      <c r="G170" s="14" t="n">
        <v>435</v>
      </c>
      <c r="H170" s="14" t="n">
        <v>590</v>
      </c>
      <c r="I170" s="14" t="n">
        <f aca="false">F170-(G170+H170)/2</f>
        <v>-30.1701353103495</v>
      </c>
      <c r="J170" s="5" t="str">
        <f aca="false">IF(D170&lt;8,"LOW SAMPLE",IF(F170&gt;H170*(1+Assumptions!$B$10),"UNDERPAID",IF(F170&lt;G170*(1-Assumptions!$B$10),"OVERPAID","FAIR")))</f>
        <v>FAIR</v>
      </c>
      <c r="K170" s="5" t="n">
        <v>81</v>
      </c>
    </row>
    <row r="171" customFormat="false" ht="15" hidden="false" customHeight="false" outlineLevel="0" collapsed="false">
      <c r="A171" s="5" t="n">
        <v>2021</v>
      </c>
      <c r="B171" s="5" t="s">
        <v>186</v>
      </c>
      <c r="C171" s="5" t="s">
        <v>209</v>
      </c>
      <c r="D171" s="5" t="n">
        <v>6</v>
      </c>
      <c r="E171" s="13" t="n">
        <v>0.49</v>
      </c>
      <c r="F171" s="14" t="n">
        <f aca="false">E171*Assumptions!$D$4</f>
        <v>63.532697230626</v>
      </c>
      <c r="G171" s="14" t="n">
        <v>215</v>
      </c>
      <c r="H171" s="14" t="n">
        <v>330</v>
      </c>
      <c r="I171" s="14" t="n">
        <f aca="false">F171-(G171+H171)/2</f>
        <v>-208.967302769374</v>
      </c>
      <c r="J171" s="5" t="str">
        <f aca="false">IF(D171&lt;8,"LOW SAMPLE",IF(F171&gt;H171*(1+Assumptions!$B$10),"UNDERPAID",IF(F171&lt;G171*(1-Assumptions!$B$10),"OVERPAID","FAIR")))</f>
        <v>LOW SAMPLE</v>
      </c>
      <c r="K171" s="5" t="n">
        <v>82</v>
      </c>
    </row>
    <row r="172" customFormat="false" ht="15" hidden="false" customHeight="false" outlineLevel="0" collapsed="false">
      <c r="A172" s="5" t="n">
        <v>2021</v>
      </c>
      <c r="B172" s="5" t="s">
        <v>186</v>
      </c>
      <c r="C172" s="5" t="s">
        <v>210</v>
      </c>
      <c r="D172" s="5" t="n">
        <v>22</v>
      </c>
      <c r="E172" s="13" t="n">
        <v>3.88</v>
      </c>
      <c r="F172" s="14" t="n">
        <f aca="false">E172*Assumptions!$D$4</f>
        <v>503.075235213937</v>
      </c>
      <c r="G172" s="14" t="n">
        <v>215</v>
      </c>
      <c r="H172" s="14" t="n">
        <v>330</v>
      </c>
      <c r="I172" s="14" t="n">
        <f aca="false">F172-(G172+H172)/2</f>
        <v>230.575235213937</v>
      </c>
      <c r="J172" s="5" t="str">
        <f aca="false">IF(D172&lt;8,"LOW SAMPLE",IF(F172&gt;H172*(1+Assumptions!$B$10),"UNDERPAID",IF(F172&lt;G172*(1-Assumptions!$B$10),"OVERPAID","FAIR")))</f>
        <v>UNDERPAID</v>
      </c>
      <c r="K172" s="5" t="n">
        <v>38</v>
      </c>
    </row>
    <row r="173" customFormat="false" ht="15" hidden="false" customHeight="false" outlineLevel="0" collapsed="false">
      <c r="A173" s="5" t="n">
        <v>2021</v>
      </c>
      <c r="B173" s="5" t="s">
        <v>186</v>
      </c>
      <c r="C173" s="5" t="s">
        <v>211</v>
      </c>
      <c r="D173" s="5" t="n">
        <v>20</v>
      </c>
      <c r="E173" s="13" t="n">
        <v>2.79</v>
      </c>
      <c r="F173" s="14" t="n">
        <f aca="false">E173*Assumptions!$D$4</f>
        <v>361.747398517238</v>
      </c>
      <c r="G173" s="14" t="n">
        <v>330</v>
      </c>
      <c r="H173" s="14" t="n">
        <v>435</v>
      </c>
      <c r="I173" s="14" t="n">
        <f aca="false">F173-(G173+H173)/2</f>
        <v>-20.7526014827621</v>
      </c>
      <c r="J173" s="5" t="str">
        <f aca="false">IF(D173&lt;8,"LOW SAMPLE",IF(F173&gt;H173*(1+Assumptions!$B$10),"UNDERPAID",IF(F173&lt;G173*(1-Assumptions!$B$10),"OVERPAID","FAIR")))</f>
        <v>FAIR</v>
      </c>
      <c r="K173" s="5" t="n">
        <v>43</v>
      </c>
    </row>
    <row r="174" customFormat="false" ht="15" hidden="false" customHeight="false" outlineLevel="0" collapsed="false">
      <c r="A174" s="5" t="n">
        <v>2021</v>
      </c>
      <c r="B174" s="5" t="s">
        <v>186</v>
      </c>
      <c r="C174" s="5" t="s">
        <v>212</v>
      </c>
      <c r="D174" s="5" t="n">
        <v>3</v>
      </c>
      <c r="E174" s="13" t="n">
        <v>0.32</v>
      </c>
      <c r="F174" s="14" t="n">
        <f aca="false">E174*Assumptions!$D$4</f>
        <v>41.4907410485721</v>
      </c>
      <c r="G174" s="14" t="n">
        <v>120</v>
      </c>
      <c r="H174" s="14" t="n">
        <v>215</v>
      </c>
      <c r="I174" s="14" t="n">
        <f aca="false">F174-(G174+H174)/2</f>
        <v>-126.009258951428</v>
      </c>
      <c r="J174" s="5" t="str">
        <f aca="false">IF(D174&lt;8,"LOW SAMPLE",IF(F174&gt;H174*(1+Assumptions!$B$10),"UNDERPAID",IF(F174&lt;G174*(1-Assumptions!$B$10),"OVERPAID","FAIR")))</f>
        <v>LOW SAMPLE</v>
      </c>
      <c r="K174" s="5" t="n">
        <v>3</v>
      </c>
    </row>
    <row r="175" customFormat="false" ht="15" hidden="false" customHeight="false" outlineLevel="0" collapsed="false">
      <c r="A175" s="5" t="n">
        <v>2021</v>
      </c>
      <c r="B175" s="5" t="s">
        <v>186</v>
      </c>
      <c r="C175" s="5" t="s">
        <v>213</v>
      </c>
      <c r="D175" s="5" t="n">
        <v>1</v>
      </c>
      <c r="E175" s="13" t="n">
        <v>0.15</v>
      </c>
      <c r="F175" s="14" t="n">
        <f aca="false">E175*Assumptions!$D$4</f>
        <v>19.4487848665182</v>
      </c>
      <c r="G175" s="14" t="n">
        <v>215</v>
      </c>
      <c r="H175" s="14" t="n">
        <v>330</v>
      </c>
      <c r="I175" s="14" t="n">
        <f aca="false">F175-(G175+H175)/2</f>
        <v>-253.051215133482</v>
      </c>
      <c r="J175" s="5" t="str">
        <f aca="false">IF(D175&lt;8,"LOW SAMPLE",IF(F175&gt;H175*(1+Assumptions!$B$10),"UNDERPAID",IF(F175&lt;G175*(1-Assumptions!$B$10),"OVERPAID","FAIR")))</f>
        <v>LOW SAMPLE</v>
      </c>
      <c r="K175" s="5" t="n">
        <v>0</v>
      </c>
    </row>
    <row r="176" customFormat="false" ht="15" hidden="false" customHeight="false" outlineLevel="0" collapsed="false">
      <c r="A176" s="5" t="n">
        <v>2021</v>
      </c>
      <c r="B176" s="5" t="s">
        <v>186</v>
      </c>
      <c r="C176" s="5" t="s">
        <v>214</v>
      </c>
      <c r="D176" s="5" t="n">
        <v>22</v>
      </c>
      <c r="E176" s="13" t="n">
        <v>4.71</v>
      </c>
      <c r="F176" s="14" t="n">
        <f aca="false">E176*Assumptions!$D$4</f>
        <v>610.691844808671</v>
      </c>
      <c r="G176" s="14" t="n">
        <v>215</v>
      </c>
      <c r="H176" s="14" t="n">
        <v>330</v>
      </c>
      <c r="I176" s="14" t="n">
        <f aca="false">F176-(G176+H176)/2</f>
        <v>338.19184480867</v>
      </c>
      <c r="J176" s="5" t="str">
        <f aca="false">IF(D176&lt;8,"LOW SAMPLE",IF(F176&gt;H176*(1+Assumptions!$B$10),"UNDERPAID",IF(F176&lt;G176*(1-Assumptions!$B$10),"OVERPAID","FAIR")))</f>
        <v>UNDERPAID</v>
      </c>
      <c r="K176" s="5" t="n">
        <v>21</v>
      </c>
    </row>
    <row r="177" customFormat="false" ht="15" hidden="false" customHeight="false" outlineLevel="0" collapsed="false">
      <c r="A177" s="5" t="n">
        <v>2021</v>
      </c>
      <c r="B177" s="5" t="s">
        <v>186</v>
      </c>
      <c r="C177" s="5" t="s">
        <v>215</v>
      </c>
      <c r="D177" s="5" t="n">
        <v>22</v>
      </c>
      <c r="E177" s="13" t="n">
        <v>2.81</v>
      </c>
      <c r="F177" s="14" t="n">
        <f aca="false">E177*Assumptions!$D$4</f>
        <v>364.340569832774</v>
      </c>
      <c r="G177" s="14" t="n">
        <v>215</v>
      </c>
      <c r="H177" s="14" t="n">
        <v>330</v>
      </c>
      <c r="I177" s="14" t="n">
        <f aca="false">F177-(G177+H177)/2</f>
        <v>91.8405698327737</v>
      </c>
      <c r="J177" s="5" t="str">
        <f aca="false">IF(D177&lt;8,"LOW SAMPLE",IF(F177&gt;H177*(1+Assumptions!$B$10),"UNDERPAID",IF(F177&lt;G177*(1-Assumptions!$B$10),"OVERPAID","FAIR")))</f>
        <v>FAIR</v>
      </c>
      <c r="K177" s="5" t="n">
        <v>0</v>
      </c>
    </row>
    <row r="178" customFormat="false" ht="15" hidden="false" customHeight="false" outlineLevel="0" collapsed="false">
      <c r="A178" s="5" t="n">
        <v>2021</v>
      </c>
      <c r="B178" s="5" t="s">
        <v>186</v>
      </c>
      <c r="C178" s="5" t="s">
        <v>216</v>
      </c>
      <c r="D178" s="5" t="n">
        <v>1</v>
      </c>
      <c r="E178" s="13" t="n">
        <v>0.04</v>
      </c>
      <c r="F178" s="14" t="n">
        <f aca="false">E178*Assumptions!$D$4</f>
        <v>5.18634263107151</v>
      </c>
      <c r="G178" s="14" t="n">
        <v>215</v>
      </c>
      <c r="H178" s="14" t="n">
        <v>330</v>
      </c>
      <c r="I178" s="14" t="n">
        <f aca="false">F178-(G178+H178)/2</f>
        <v>-267.313657368929</v>
      </c>
      <c r="J178" s="5" t="str">
        <f aca="false">IF(D178&lt;8,"LOW SAMPLE",IF(F178&gt;H178*(1+Assumptions!$B$10),"UNDERPAID",IF(F178&lt;G178*(1-Assumptions!$B$10),"OVERPAID","FAIR")))</f>
        <v>LOW SAMPLE</v>
      </c>
      <c r="K178" s="5" t="n">
        <v>71</v>
      </c>
    </row>
    <row r="179" customFormat="false" ht="15" hidden="false" customHeight="false" outlineLevel="0" collapsed="false">
      <c r="A179" s="5" t="n">
        <v>2021</v>
      </c>
      <c r="B179" s="5" t="s">
        <v>186</v>
      </c>
      <c r="C179" s="5" t="s">
        <v>217</v>
      </c>
      <c r="D179" s="5" t="n">
        <v>21</v>
      </c>
      <c r="E179" s="13" t="n">
        <v>5.39</v>
      </c>
      <c r="F179" s="14" t="n">
        <f aca="false">E179*Assumptions!$D$4</f>
        <v>698.859669536886</v>
      </c>
      <c r="G179" s="14" t="n">
        <v>330</v>
      </c>
      <c r="H179" s="14" t="n">
        <v>435</v>
      </c>
      <c r="I179" s="14" t="n">
        <f aca="false">F179-(G179+H179)/2</f>
        <v>316.359669536886</v>
      </c>
      <c r="J179" s="5" t="str">
        <f aca="false">IF(D179&lt;8,"LOW SAMPLE",IF(F179&gt;H179*(1+Assumptions!$B$10),"UNDERPAID",IF(F179&lt;G179*(1-Assumptions!$B$10),"OVERPAID","FAIR")))</f>
        <v>UNDERPAID</v>
      </c>
      <c r="K179" s="5" t="n">
        <v>66</v>
      </c>
    </row>
    <row r="180" customFormat="false" ht="15" hidden="false" customHeight="false" outlineLevel="0" collapsed="false">
      <c r="A180" s="5" t="n">
        <v>2021</v>
      </c>
      <c r="B180" s="5" t="s">
        <v>186</v>
      </c>
      <c r="C180" s="5" t="s">
        <v>218</v>
      </c>
      <c r="D180" s="5" t="n">
        <v>13</v>
      </c>
      <c r="E180" s="13" t="n">
        <v>3.39</v>
      </c>
      <c r="F180" s="14" t="n">
        <f aca="false">E180*Assumptions!$D$4</f>
        <v>439.542537983311</v>
      </c>
      <c r="G180" s="14" t="n">
        <v>215</v>
      </c>
      <c r="H180" s="14" t="n">
        <v>330</v>
      </c>
      <c r="I180" s="14" t="n">
        <f aca="false">F180-(G180+H180)/2</f>
        <v>167.042537983311</v>
      </c>
      <c r="J180" s="5" t="str">
        <f aca="false">IF(D180&lt;8,"LOW SAMPLE",IF(F180&gt;H180*(1+Assumptions!$B$10),"UNDERPAID",IF(F180&lt;G180*(1-Assumptions!$B$10),"OVERPAID","FAIR")))</f>
        <v>UNDERPAID</v>
      </c>
      <c r="K180" s="5" t="n">
        <v>8</v>
      </c>
    </row>
    <row r="181" customFormat="false" ht="15" hidden="false" customHeight="false" outlineLevel="0" collapsed="false">
      <c r="A181" s="5" t="n">
        <v>2021</v>
      </c>
      <c r="B181" s="5" t="s">
        <v>186</v>
      </c>
      <c r="C181" s="5" t="s">
        <v>219</v>
      </c>
      <c r="D181" s="5" t="n">
        <v>7</v>
      </c>
      <c r="E181" s="13" t="n">
        <v>1.02</v>
      </c>
      <c r="F181" s="14" t="n">
        <f aca="false">E181*Assumptions!$D$4</f>
        <v>132.251737092324</v>
      </c>
      <c r="G181" s="14" t="n">
        <v>215</v>
      </c>
      <c r="H181" s="14" t="n">
        <v>330</v>
      </c>
      <c r="I181" s="14" t="n">
        <f aca="false">F181-(G181+H181)/2</f>
        <v>-140.248262907676</v>
      </c>
      <c r="J181" s="5" t="str">
        <f aca="false">IF(D181&lt;8,"LOW SAMPLE",IF(F181&gt;H181*(1+Assumptions!$B$10),"UNDERPAID",IF(F181&lt;G181*(1-Assumptions!$B$10),"OVERPAID","FAIR")))</f>
        <v>LOW SAMPLE</v>
      </c>
      <c r="K181" s="5" t="n">
        <v>0</v>
      </c>
    </row>
    <row r="182" customFormat="false" ht="15" hidden="false" customHeight="false" outlineLevel="0" collapsed="false">
      <c r="A182" s="5" t="n">
        <v>2021</v>
      </c>
      <c r="B182" s="5" t="s">
        <v>186</v>
      </c>
      <c r="C182" s="5" t="s">
        <v>220</v>
      </c>
      <c r="D182" s="5" t="n">
        <v>13</v>
      </c>
      <c r="E182" s="13" t="n">
        <v>1.62</v>
      </c>
      <c r="F182" s="14" t="n">
        <f aca="false">E182*Assumptions!$D$4</f>
        <v>210.046876558396</v>
      </c>
      <c r="G182" s="14" t="n">
        <v>215</v>
      </c>
      <c r="H182" s="14" t="n">
        <v>330</v>
      </c>
      <c r="I182" s="14" t="n">
        <f aca="false">F182-(G182+H182)/2</f>
        <v>-62.4531234416038</v>
      </c>
      <c r="J182" s="5" t="str">
        <f aca="false">IF(D182&lt;8,"LOW SAMPLE",IF(F182&gt;H182*(1+Assumptions!$B$10),"UNDERPAID",IF(F182&lt;G182*(1-Assumptions!$B$10),"OVERPAID","FAIR")))</f>
        <v>FAIR</v>
      </c>
      <c r="K182" s="5" t="n">
        <v>67</v>
      </c>
    </row>
    <row r="183" customFormat="false" ht="15" hidden="false" customHeight="false" outlineLevel="0" collapsed="false">
      <c r="A183" s="5" t="n">
        <v>2021</v>
      </c>
      <c r="B183" s="5" t="s">
        <v>186</v>
      </c>
      <c r="C183" s="5" t="s">
        <v>221</v>
      </c>
      <c r="D183" s="5" t="n">
        <v>20</v>
      </c>
      <c r="E183" s="13" t="n">
        <v>3.99</v>
      </c>
      <c r="F183" s="14" t="n">
        <f aca="false">E183*Assumptions!$D$4</f>
        <v>517.337677449383</v>
      </c>
      <c r="G183" s="14" t="n">
        <v>330</v>
      </c>
      <c r="H183" s="14" t="n">
        <v>435</v>
      </c>
      <c r="I183" s="14" t="n">
        <f aca="false">F183-(G183+H183)/2</f>
        <v>134.837677449383</v>
      </c>
      <c r="J183" s="5" t="str">
        <f aca="false">IF(D183&lt;8,"LOW SAMPLE",IF(F183&gt;H183*(1+Assumptions!$B$10),"UNDERPAID",IF(F183&lt;G183*(1-Assumptions!$B$10),"OVERPAID","FAIR")))</f>
        <v>UNDERPAID</v>
      </c>
      <c r="K183" s="5" t="n">
        <v>22</v>
      </c>
    </row>
    <row r="184" customFormat="false" ht="15" hidden="false" customHeight="false" outlineLevel="0" collapsed="false">
      <c r="A184" s="5" t="n">
        <v>2021</v>
      </c>
      <c r="B184" s="5" t="s">
        <v>186</v>
      </c>
      <c r="C184" s="5" t="s">
        <v>222</v>
      </c>
      <c r="D184" s="5" t="n">
        <v>23</v>
      </c>
      <c r="E184" s="13" t="n">
        <v>6.71</v>
      </c>
      <c r="F184" s="14" t="n">
        <f aca="false">E184*Assumptions!$D$4</f>
        <v>870.008976362246</v>
      </c>
      <c r="G184" s="14" t="n">
        <v>590</v>
      </c>
      <c r="H184" s="14" t="n">
        <v>820</v>
      </c>
      <c r="I184" s="14" t="n">
        <f aca="false">F184-(G184+H184)/2</f>
        <v>165.008976362246</v>
      </c>
      <c r="J184" s="5" t="str">
        <f aca="false">IF(D184&lt;8,"LOW SAMPLE",IF(F184&gt;H184*(1+Assumptions!$B$10),"UNDERPAID",IF(F184&lt;G184*(1-Assumptions!$B$10),"OVERPAID","FAIR")))</f>
        <v>FAIR</v>
      </c>
      <c r="K184" s="5" t="n">
        <v>122</v>
      </c>
    </row>
    <row r="185" customFormat="false" ht="15" hidden="false" customHeight="false" outlineLevel="0" collapsed="false">
      <c r="A185" s="5" t="n">
        <v>2021</v>
      </c>
      <c r="B185" s="5" t="s">
        <v>186</v>
      </c>
      <c r="C185" s="5" t="s">
        <v>223</v>
      </c>
      <c r="D185" s="5" t="n">
        <v>1</v>
      </c>
      <c r="E185" s="13" t="n">
        <v>0.13</v>
      </c>
      <c r="F185" s="14" t="n">
        <f aca="false">E185*Assumptions!$D$4</f>
        <v>16.8556135509824</v>
      </c>
      <c r="G185" s="14" t="n">
        <v>215</v>
      </c>
      <c r="H185" s="14" t="n">
        <v>330</v>
      </c>
      <c r="I185" s="14" t="n">
        <f aca="false">F185-(G185+H185)/2</f>
        <v>-255.644386449018</v>
      </c>
      <c r="J185" s="5" t="str">
        <f aca="false">IF(D185&lt;8,"LOW SAMPLE",IF(F185&gt;H185*(1+Assumptions!$B$10),"UNDERPAID",IF(F185&lt;G185*(1-Assumptions!$B$10),"OVERPAID","FAIR")))</f>
        <v>LOW SAMPLE</v>
      </c>
      <c r="K185" s="5" t="n">
        <v>0</v>
      </c>
    </row>
    <row r="186" customFormat="false" ht="15" hidden="false" customHeight="false" outlineLevel="0" collapsed="false">
      <c r="A186" s="5" t="n">
        <v>2021</v>
      </c>
      <c r="B186" s="5" t="s">
        <v>224</v>
      </c>
      <c r="C186" s="5" t="s">
        <v>225</v>
      </c>
      <c r="D186" s="5" t="n">
        <v>18</v>
      </c>
      <c r="E186" s="13" t="n">
        <v>4.47</v>
      </c>
      <c r="F186" s="14" t="n">
        <f aca="false">E186*Assumptions!$D$4</f>
        <v>579.573789022241</v>
      </c>
      <c r="G186" s="14" t="n">
        <v>435</v>
      </c>
      <c r="H186" s="14" t="n">
        <v>590</v>
      </c>
      <c r="I186" s="14" t="n">
        <f aca="false">F186-(G186+H186)/2</f>
        <v>67.0737890222414</v>
      </c>
      <c r="J186" s="5" t="str">
        <f aca="false">IF(D186&lt;8,"LOW SAMPLE",IF(F186&gt;H186*(1+Assumptions!$B$10),"UNDERPAID",IF(F186&lt;G186*(1-Assumptions!$B$10),"OVERPAID","FAIR")))</f>
        <v>FAIR</v>
      </c>
      <c r="K186" s="5" t="n">
        <v>58</v>
      </c>
    </row>
    <row r="187" customFormat="false" ht="15" hidden="false" customHeight="false" outlineLevel="0" collapsed="false">
      <c r="A187" s="5" t="n">
        <v>2021</v>
      </c>
      <c r="B187" s="5" t="s">
        <v>224</v>
      </c>
      <c r="C187" s="5" t="s">
        <v>226</v>
      </c>
      <c r="D187" s="5" t="n">
        <v>10</v>
      </c>
      <c r="E187" s="13" t="n">
        <v>1.64</v>
      </c>
      <c r="F187" s="14" t="n">
        <f aca="false">E187*Assumptions!$D$4</f>
        <v>212.640047873932</v>
      </c>
      <c r="G187" s="14" t="n">
        <v>215</v>
      </c>
      <c r="H187" s="14" t="n">
        <v>330</v>
      </c>
      <c r="I187" s="14" t="n">
        <f aca="false">F187-(G187+H187)/2</f>
        <v>-59.859952126068</v>
      </c>
      <c r="J187" s="5" t="str">
        <f aca="false">IF(D187&lt;8,"LOW SAMPLE",IF(F187&gt;H187*(1+Assumptions!$B$10),"UNDERPAID",IF(F187&lt;G187*(1-Assumptions!$B$10),"OVERPAID","FAIR")))</f>
        <v>FAIR</v>
      </c>
      <c r="K187" s="5" t="n">
        <v>53</v>
      </c>
    </row>
    <row r="188" customFormat="false" ht="15" hidden="false" customHeight="false" outlineLevel="0" collapsed="false">
      <c r="A188" s="5" t="n">
        <v>2021</v>
      </c>
      <c r="B188" s="5" t="s">
        <v>224</v>
      </c>
      <c r="C188" s="5" t="s">
        <v>227</v>
      </c>
      <c r="D188" s="5" t="n">
        <v>20</v>
      </c>
      <c r="E188" s="13" t="n">
        <v>5.3</v>
      </c>
      <c r="F188" s="14" t="n">
        <f aca="false">E188*Assumptions!$D$4</f>
        <v>687.190398616975</v>
      </c>
      <c r="G188" s="14" t="n">
        <v>435</v>
      </c>
      <c r="H188" s="14" t="n">
        <v>590</v>
      </c>
      <c r="I188" s="14" t="n">
        <f aca="false">F188-(G188+H188)/2</f>
        <v>174.690398616975</v>
      </c>
      <c r="J188" s="5" t="str">
        <f aca="false">IF(D188&lt;8,"LOW SAMPLE",IF(F188&gt;H188*(1+Assumptions!$B$10),"UNDERPAID",IF(F188&lt;G188*(1-Assumptions!$B$10),"OVERPAID","FAIR")))</f>
        <v>UNDERPAID</v>
      </c>
      <c r="K188" s="5" t="n">
        <v>56</v>
      </c>
    </row>
    <row r="189" customFormat="false" ht="15" hidden="false" customHeight="false" outlineLevel="0" collapsed="false">
      <c r="A189" s="5" t="n">
        <v>2021</v>
      </c>
      <c r="B189" s="5" t="s">
        <v>224</v>
      </c>
      <c r="C189" s="5" t="s">
        <v>228</v>
      </c>
      <c r="D189" s="5" t="n">
        <v>6</v>
      </c>
      <c r="E189" s="13" t="n">
        <v>0.93</v>
      </c>
      <c r="F189" s="14" t="n">
        <f aca="false">E189*Assumptions!$D$4</f>
        <v>120.582466172413</v>
      </c>
      <c r="G189" s="14" t="n">
        <v>215</v>
      </c>
      <c r="H189" s="14" t="n">
        <v>330</v>
      </c>
      <c r="I189" s="14" t="n">
        <f aca="false">F189-(G189+H189)/2</f>
        <v>-151.917533827587</v>
      </c>
      <c r="J189" s="5" t="str">
        <f aca="false">IF(D189&lt;8,"LOW SAMPLE",IF(F189&gt;H189*(1+Assumptions!$B$10),"UNDERPAID",IF(F189&lt;G189*(1-Assumptions!$B$10),"OVERPAID","FAIR")))</f>
        <v>LOW SAMPLE</v>
      </c>
      <c r="K189" s="5" t="n">
        <v>32</v>
      </c>
    </row>
    <row r="190" customFormat="false" ht="15" hidden="false" customHeight="false" outlineLevel="0" collapsed="false">
      <c r="A190" s="5" t="n">
        <v>2021</v>
      </c>
      <c r="B190" s="5" t="s">
        <v>224</v>
      </c>
      <c r="C190" s="5" t="s">
        <v>229</v>
      </c>
      <c r="D190" s="5" t="n">
        <v>18</v>
      </c>
      <c r="E190" s="13" t="n">
        <v>3.21</v>
      </c>
      <c r="F190" s="14" t="n">
        <f aca="false">E190*Assumptions!$D$4</f>
        <v>416.203996143489</v>
      </c>
      <c r="G190" s="14" t="n">
        <v>330</v>
      </c>
      <c r="H190" s="14" t="n">
        <v>435</v>
      </c>
      <c r="I190" s="14" t="n">
        <f aca="false">F190-(G190+H190)/2</f>
        <v>33.7039961434888</v>
      </c>
      <c r="J190" s="5" t="str">
        <f aca="false">IF(D190&lt;8,"LOW SAMPLE",IF(F190&gt;H190*(1+Assumptions!$B$10),"UNDERPAID",IF(F190&lt;G190*(1-Assumptions!$B$10),"OVERPAID","FAIR")))</f>
        <v>FAIR</v>
      </c>
      <c r="K190" s="5" t="n">
        <v>79</v>
      </c>
    </row>
    <row r="191" customFormat="false" ht="15" hidden="false" customHeight="false" outlineLevel="0" collapsed="false">
      <c r="A191" s="5" t="n">
        <v>2021</v>
      </c>
      <c r="B191" s="5" t="s">
        <v>224</v>
      </c>
      <c r="C191" s="5" t="s">
        <v>230</v>
      </c>
      <c r="D191" s="5" t="n">
        <v>10</v>
      </c>
      <c r="E191" s="13" t="n">
        <v>1.11</v>
      </c>
      <c r="F191" s="14" t="n">
        <f aca="false">E191*Assumptions!$D$4</f>
        <v>143.921008012234</v>
      </c>
      <c r="G191" s="14" t="n">
        <v>215</v>
      </c>
      <c r="H191" s="14" t="n">
        <v>330</v>
      </c>
      <c r="I191" s="14" t="n">
        <f aca="false">F191-(G191+H191)/2</f>
        <v>-128.578991987766</v>
      </c>
      <c r="J191" s="5" t="str">
        <f aca="false">IF(D191&lt;8,"LOW SAMPLE",IF(F191&gt;H191*(1+Assumptions!$B$10),"UNDERPAID",IF(F191&lt;G191*(1-Assumptions!$B$10),"OVERPAID","FAIR")))</f>
        <v>OVERPAID</v>
      </c>
      <c r="K191" s="5" t="n">
        <v>0</v>
      </c>
    </row>
    <row r="192" customFormat="false" ht="15" hidden="false" customHeight="false" outlineLevel="0" collapsed="false">
      <c r="A192" s="5" t="n">
        <v>2021</v>
      </c>
      <c r="B192" s="5" t="s">
        <v>224</v>
      </c>
      <c r="C192" s="5" t="s">
        <v>231</v>
      </c>
      <c r="D192" s="5" t="n">
        <v>12</v>
      </c>
      <c r="E192" s="13" t="n">
        <v>2.58</v>
      </c>
      <c r="F192" s="14" t="n">
        <f aca="false">E192*Assumptions!$D$4</f>
        <v>334.519099704113</v>
      </c>
      <c r="G192" s="14" t="n">
        <v>330</v>
      </c>
      <c r="H192" s="14" t="n">
        <v>435</v>
      </c>
      <c r="I192" s="14" t="n">
        <f aca="false">F192-(G192+H192)/2</f>
        <v>-47.9809002958875</v>
      </c>
      <c r="J192" s="5" t="str">
        <f aca="false">IF(D192&lt;8,"LOW SAMPLE",IF(F192&gt;H192*(1+Assumptions!$B$10),"UNDERPAID",IF(F192&lt;G192*(1-Assumptions!$B$10),"OVERPAID","FAIR")))</f>
        <v>FAIR</v>
      </c>
      <c r="K192" s="5" t="n">
        <v>47</v>
      </c>
    </row>
    <row r="193" customFormat="false" ht="15" hidden="false" customHeight="false" outlineLevel="0" collapsed="false">
      <c r="A193" s="5" t="n">
        <v>2021</v>
      </c>
      <c r="B193" s="5" t="s">
        <v>224</v>
      </c>
      <c r="C193" s="5" t="s">
        <v>232</v>
      </c>
      <c r="D193" s="5" t="n">
        <v>6</v>
      </c>
      <c r="E193" s="13" t="n">
        <v>0.6</v>
      </c>
      <c r="F193" s="14" t="n">
        <f aca="false">E193*Assumptions!$D$4</f>
        <v>77.7951394660727</v>
      </c>
      <c r="G193" s="14" t="n">
        <v>215</v>
      </c>
      <c r="H193" s="14" t="n">
        <v>330</v>
      </c>
      <c r="I193" s="14" t="n">
        <f aca="false">F193-(G193+H193)/2</f>
        <v>-194.704860533927</v>
      </c>
      <c r="J193" s="5" t="str">
        <f aca="false">IF(D193&lt;8,"LOW SAMPLE",IF(F193&gt;H193*(1+Assumptions!$B$10),"UNDERPAID",IF(F193&lt;G193*(1-Assumptions!$B$10),"OVERPAID","FAIR")))</f>
        <v>LOW SAMPLE</v>
      </c>
      <c r="K193" s="5" t="n">
        <v>19</v>
      </c>
    </row>
    <row r="194" customFormat="false" ht="15" hidden="false" customHeight="false" outlineLevel="0" collapsed="false">
      <c r="A194" s="5" t="n">
        <v>2021</v>
      </c>
      <c r="B194" s="5" t="s">
        <v>224</v>
      </c>
      <c r="C194" s="5" t="s">
        <v>233</v>
      </c>
      <c r="D194" s="5" t="n">
        <v>22</v>
      </c>
      <c r="E194" s="13" t="n">
        <v>5.22</v>
      </c>
      <c r="F194" s="14" t="n">
        <f aca="false">E194*Assumptions!$D$4</f>
        <v>676.817713354832</v>
      </c>
      <c r="G194" s="14" t="n">
        <v>435</v>
      </c>
      <c r="H194" s="14" t="n">
        <v>590</v>
      </c>
      <c r="I194" s="14" t="n">
        <f aca="false">F194-(G194+H194)/2</f>
        <v>164.317713354832</v>
      </c>
      <c r="J194" s="5" t="str">
        <f aca="false">IF(D194&lt;8,"LOW SAMPLE",IF(F194&gt;H194*(1+Assumptions!$B$10),"UNDERPAID",IF(F194&lt;G194*(1-Assumptions!$B$10),"OVERPAID","FAIR")))</f>
        <v>FAIR</v>
      </c>
      <c r="K194" s="5" t="n">
        <v>14</v>
      </c>
    </row>
    <row r="195" customFormat="false" ht="15" hidden="false" customHeight="false" outlineLevel="0" collapsed="false">
      <c r="A195" s="5" t="n">
        <v>2021</v>
      </c>
      <c r="B195" s="5" t="s">
        <v>224</v>
      </c>
      <c r="C195" s="5" t="s">
        <v>234</v>
      </c>
      <c r="D195" s="5" t="n">
        <v>13</v>
      </c>
      <c r="E195" s="13" t="n">
        <v>1.06</v>
      </c>
      <c r="F195" s="14" t="n">
        <f aca="false">E195*Assumptions!$D$4</f>
        <v>137.438079723395</v>
      </c>
      <c r="G195" s="14" t="n">
        <v>215</v>
      </c>
      <c r="H195" s="14" t="n">
        <v>330</v>
      </c>
      <c r="I195" s="14" t="n">
        <f aca="false">F195-(G195+H195)/2</f>
        <v>-135.061920276605</v>
      </c>
      <c r="J195" s="5" t="str">
        <f aca="false">IF(D195&lt;8,"LOW SAMPLE",IF(F195&gt;H195*(1+Assumptions!$B$10),"UNDERPAID",IF(F195&lt;G195*(1-Assumptions!$B$10),"OVERPAID","FAIR")))</f>
        <v>OVERPAID</v>
      </c>
      <c r="K195" s="5" t="n">
        <v>65</v>
      </c>
    </row>
    <row r="196" customFormat="false" ht="15" hidden="false" customHeight="false" outlineLevel="0" collapsed="false">
      <c r="A196" s="5" t="n">
        <v>2021</v>
      </c>
      <c r="B196" s="5" t="s">
        <v>224</v>
      </c>
      <c r="C196" s="5" t="s">
        <v>235</v>
      </c>
      <c r="D196" s="5" t="n">
        <v>16</v>
      </c>
      <c r="E196" s="13" t="n">
        <v>1.92</v>
      </c>
      <c r="F196" s="14" t="n">
        <f aca="false">E196*Assumptions!$D$4</f>
        <v>248.944446291433</v>
      </c>
      <c r="G196" s="14" t="n">
        <v>330</v>
      </c>
      <c r="H196" s="14" t="n">
        <v>435</v>
      </c>
      <c r="I196" s="14" t="n">
        <f aca="false">F196-(G196+H196)/2</f>
        <v>-133.555553708567</v>
      </c>
      <c r="J196" s="5" t="str">
        <f aca="false">IF(D196&lt;8,"LOW SAMPLE",IF(F196&gt;H196*(1+Assumptions!$B$10),"UNDERPAID",IF(F196&lt;G196*(1-Assumptions!$B$10),"OVERPAID","FAIR")))</f>
        <v>OVERPAID</v>
      </c>
      <c r="K196" s="5" t="n">
        <v>78</v>
      </c>
    </row>
    <row r="197" customFormat="false" ht="15" hidden="false" customHeight="false" outlineLevel="0" collapsed="false">
      <c r="A197" s="5" t="n">
        <v>2021</v>
      </c>
      <c r="B197" s="5" t="s">
        <v>224</v>
      </c>
      <c r="C197" s="5" t="s">
        <v>236</v>
      </c>
      <c r="D197" s="5" t="n">
        <v>22</v>
      </c>
      <c r="E197" s="13" t="n">
        <v>6.22</v>
      </c>
      <c r="F197" s="14" t="n">
        <f aca="false">E197*Assumptions!$D$4</f>
        <v>806.47627913162</v>
      </c>
      <c r="G197" s="14" t="n">
        <v>590</v>
      </c>
      <c r="H197" s="14" t="n">
        <v>820</v>
      </c>
      <c r="I197" s="14" t="n">
        <f aca="false">F197-(G197+H197)/2</f>
        <v>101.47627913162</v>
      </c>
      <c r="J197" s="5" t="str">
        <f aca="false">IF(D197&lt;8,"LOW SAMPLE",IF(F197&gt;H197*(1+Assumptions!$B$10),"UNDERPAID",IF(F197&lt;G197*(1-Assumptions!$B$10),"OVERPAID","FAIR")))</f>
        <v>FAIR</v>
      </c>
      <c r="K197" s="5" t="n">
        <v>122</v>
      </c>
    </row>
    <row r="198" customFormat="false" ht="15" hidden="false" customHeight="false" outlineLevel="0" collapsed="false">
      <c r="A198" s="5" t="n">
        <v>2021</v>
      </c>
      <c r="B198" s="5" t="s">
        <v>224</v>
      </c>
      <c r="C198" s="5" t="s">
        <v>237</v>
      </c>
      <c r="D198" s="5" t="n">
        <v>8</v>
      </c>
      <c r="E198" s="13" t="n">
        <v>1.24</v>
      </c>
      <c r="F198" s="14" t="n">
        <f aca="false">E198*Assumptions!$D$4</f>
        <v>160.776621563217</v>
      </c>
      <c r="G198" s="14" t="n">
        <v>330</v>
      </c>
      <c r="H198" s="14" t="n">
        <v>435</v>
      </c>
      <c r="I198" s="14" t="n">
        <f aca="false">F198-(G198+H198)/2</f>
        <v>-221.723378436783</v>
      </c>
      <c r="J198" s="5" t="str">
        <f aca="false">IF(D198&lt;8,"LOW SAMPLE",IF(F198&gt;H198*(1+Assumptions!$B$10),"UNDERPAID",IF(F198&lt;G198*(1-Assumptions!$B$10),"OVERPAID","FAIR")))</f>
        <v>OVERPAID</v>
      </c>
      <c r="K198" s="5" t="n">
        <v>67</v>
      </c>
    </row>
    <row r="199" customFormat="false" ht="15" hidden="false" customHeight="false" outlineLevel="0" collapsed="false">
      <c r="A199" s="5" t="n">
        <v>2021</v>
      </c>
      <c r="B199" s="5" t="s">
        <v>224</v>
      </c>
      <c r="C199" s="5" t="s">
        <v>238</v>
      </c>
      <c r="D199" s="5" t="n">
        <v>16</v>
      </c>
      <c r="E199" s="13" t="n">
        <v>2.57</v>
      </c>
      <c r="F199" s="14" t="n">
        <f aca="false">E199*Assumptions!$D$4</f>
        <v>333.222514046345</v>
      </c>
      <c r="G199" s="14" t="n">
        <v>120</v>
      </c>
      <c r="H199" s="14" t="n">
        <v>215</v>
      </c>
      <c r="I199" s="14" t="n">
        <f aca="false">F199-(G199+H199)/2</f>
        <v>165.722514046345</v>
      </c>
      <c r="J199" s="5" t="str">
        <f aca="false">IF(D199&lt;8,"LOW SAMPLE",IF(F199&gt;H199*(1+Assumptions!$B$10),"UNDERPAID",IF(F199&lt;G199*(1-Assumptions!$B$10),"OVERPAID","FAIR")))</f>
        <v>UNDERPAID</v>
      </c>
      <c r="K199" s="5" t="n">
        <v>28</v>
      </c>
    </row>
    <row r="200" customFormat="false" ht="15" hidden="false" customHeight="false" outlineLevel="0" collapsed="false">
      <c r="A200" s="5" t="n">
        <v>2021</v>
      </c>
      <c r="B200" s="5" t="s">
        <v>224</v>
      </c>
      <c r="C200" s="5" t="s">
        <v>239</v>
      </c>
      <c r="D200" s="5" t="n">
        <v>8</v>
      </c>
      <c r="E200" s="13" t="n">
        <v>1.4</v>
      </c>
      <c r="F200" s="14" t="n">
        <f aca="false">E200*Assumptions!$D$4</f>
        <v>181.521992087503</v>
      </c>
      <c r="G200" s="14" t="n">
        <v>120</v>
      </c>
      <c r="H200" s="14" t="n">
        <v>215</v>
      </c>
      <c r="I200" s="14" t="n">
        <f aca="false">F200-(G200+H200)/2</f>
        <v>14.0219920875029</v>
      </c>
      <c r="J200" s="5" t="str">
        <f aca="false">IF(D200&lt;8,"LOW SAMPLE",IF(F200&gt;H200*(1+Assumptions!$B$10),"UNDERPAID",IF(F200&lt;G200*(1-Assumptions!$B$10),"OVERPAID","FAIR")))</f>
        <v>FAIR</v>
      </c>
      <c r="K200" s="5" t="n">
        <v>5</v>
      </c>
    </row>
    <row r="201" customFormat="false" ht="15" hidden="false" customHeight="false" outlineLevel="0" collapsed="false">
      <c r="A201" s="5" t="n">
        <v>2021</v>
      </c>
      <c r="B201" s="5" t="s">
        <v>224</v>
      </c>
      <c r="C201" s="5" t="s">
        <v>240</v>
      </c>
      <c r="D201" s="5" t="n">
        <v>6</v>
      </c>
      <c r="E201" s="13" t="n">
        <v>0.88</v>
      </c>
      <c r="F201" s="14" t="n">
        <f aca="false">E201*Assumptions!$D$4</f>
        <v>114.099537883573</v>
      </c>
      <c r="G201" s="14" t="n">
        <v>215</v>
      </c>
      <c r="H201" s="14" t="n">
        <v>330</v>
      </c>
      <c r="I201" s="14" t="n">
        <f aca="false">F201-(G201+H201)/2</f>
        <v>-158.400462116427</v>
      </c>
      <c r="J201" s="5" t="str">
        <f aca="false">IF(D201&lt;8,"LOW SAMPLE",IF(F201&gt;H201*(1+Assumptions!$B$10),"UNDERPAID",IF(F201&lt;G201*(1-Assumptions!$B$10),"OVERPAID","FAIR")))</f>
        <v>LOW SAMPLE</v>
      </c>
      <c r="K201" s="5" t="n">
        <v>0</v>
      </c>
    </row>
    <row r="202" customFormat="false" ht="15" hidden="false" customHeight="false" outlineLevel="0" collapsed="false">
      <c r="A202" s="5" t="n">
        <v>2021</v>
      </c>
      <c r="B202" s="5" t="s">
        <v>224</v>
      </c>
      <c r="C202" s="5" t="s">
        <v>241</v>
      </c>
      <c r="D202" s="5" t="n">
        <v>22</v>
      </c>
      <c r="E202" s="13" t="n">
        <v>4.03</v>
      </c>
      <c r="F202" s="14" t="n">
        <f aca="false">E202*Assumptions!$D$4</f>
        <v>522.524020080455</v>
      </c>
      <c r="G202" s="14" t="n">
        <v>330</v>
      </c>
      <c r="H202" s="14" t="n">
        <v>435</v>
      </c>
      <c r="I202" s="14" t="n">
        <f aca="false">F202-(G202+H202)/2</f>
        <v>140.024020080455</v>
      </c>
      <c r="J202" s="5" t="str">
        <f aca="false">IF(D202&lt;8,"LOW SAMPLE",IF(F202&gt;H202*(1+Assumptions!$B$10),"UNDERPAID",IF(F202&lt;G202*(1-Assumptions!$B$10),"OVERPAID","FAIR")))</f>
        <v>UNDERPAID</v>
      </c>
      <c r="K202" s="5" t="n">
        <v>77</v>
      </c>
    </row>
    <row r="203" customFormat="false" ht="15" hidden="false" customHeight="false" outlineLevel="0" collapsed="false">
      <c r="A203" s="5" t="n">
        <v>2021</v>
      </c>
      <c r="B203" s="5" t="s">
        <v>224</v>
      </c>
      <c r="C203" s="5" t="s">
        <v>242</v>
      </c>
      <c r="D203" s="5" t="n">
        <v>1</v>
      </c>
      <c r="E203" s="13" t="n">
        <v>0.14</v>
      </c>
      <c r="F203" s="14" t="n">
        <f aca="false">E203*Assumptions!$D$4</f>
        <v>18.1521992087503</v>
      </c>
      <c r="G203" s="14" t="n">
        <v>435</v>
      </c>
      <c r="H203" s="14" t="n">
        <v>590</v>
      </c>
      <c r="I203" s="14" t="n">
        <f aca="false">F203-(G203+H203)/2</f>
        <v>-494.34780079125</v>
      </c>
      <c r="J203" s="5" t="str">
        <f aca="false">IF(D203&lt;8,"LOW SAMPLE",IF(F203&gt;H203*(1+Assumptions!$B$10),"UNDERPAID",IF(F203&lt;G203*(1-Assumptions!$B$10),"OVERPAID","FAIR")))</f>
        <v>LOW SAMPLE</v>
      </c>
      <c r="K203" s="5" t="n">
        <v>85</v>
      </c>
    </row>
    <row r="204" customFormat="false" ht="15" hidden="false" customHeight="false" outlineLevel="0" collapsed="false">
      <c r="A204" s="5" t="n">
        <v>2021</v>
      </c>
      <c r="B204" s="5" t="s">
        <v>224</v>
      </c>
      <c r="C204" s="5" t="s">
        <v>243</v>
      </c>
      <c r="D204" s="5" t="n">
        <v>4</v>
      </c>
      <c r="E204" s="13" t="n">
        <v>0.23</v>
      </c>
      <c r="F204" s="14" t="n">
        <f aca="false">E204*Assumptions!$D$4</f>
        <v>29.8214701286612</v>
      </c>
      <c r="G204" s="14" t="n">
        <v>215</v>
      </c>
      <c r="H204" s="14" t="n">
        <v>330</v>
      </c>
      <c r="I204" s="14" t="n">
        <f aca="false">F204-(G204+H204)/2</f>
        <v>-242.678529871339</v>
      </c>
      <c r="J204" s="5" t="str">
        <f aca="false">IF(D204&lt;8,"LOW SAMPLE",IF(F204&gt;H204*(1+Assumptions!$B$10),"UNDERPAID",IF(F204&lt;G204*(1-Assumptions!$B$10),"OVERPAID","FAIR")))</f>
        <v>LOW SAMPLE</v>
      </c>
      <c r="K204" s="5" t="n">
        <v>0</v>
      </c>
    </row>
    <row r="205" customFormat="false" ht="15" hidden="false" customHeight="false" outlineLevel="0" collapsed="false">
      <c r="A205" s="5" t="n">
        <v>2021</v>
      </c>
      <c r="B205" s="5" t="s">
        <v>224</v>
      </c>
      <c r="C205" s="5" t="s">
        <v>244</v>
      </c>
      <c r="D205" s="5" t="n">
        <v>15</v>
      </c>
      <c r="E205" s="13" t="n">
        <v>2.09</v>
      </c>
      <c r="F205" s="14" t="n">
        <f aca="false">E205*Assumptions!$D$4</f>
        <v>270.986402473486</v>
      </c>
      <c r="G205" s="14" t="n">
        <v>215</v>
      </c>
      <c r="H205" s="14" t="n">
        <v>330</v>
      </c>
      <c r="I205" s="14" t="n">
        <f aca="false">F205-(G205+H205)/2</f>
        <v>-1.51359752651354</v>
      </c>
      <c r="J205" s="5" t="str">
        <f aca="false">IF(D205&lt;8,"LOW SAMPLE",IF(F205&gt;H205*(1+Assumptions!$B$10),"UNDERPAID",IF(F205&lt;G205*(1-Assumptions!$B$10),"OVERPAID","FAIR")))</f>
        <v>FAIR</v>
      </c>
      <c r="K205" s="5" t="n">
        <v>0</v>
      </c>
    </row>
    <row r="206" customFormat="false" ht="15" hidden="false" customHeight="false" outlineLevel="0" collapsed="false">
      <c r="A206" s="5" t="n">
        <v>2021</v>
      </c>
      <c r="B206" s="5" t="s">
        <v>224</v>
      </c>
      <c r="C206" s="5" t="s">
        <v>245</v>
      </c>
      <c r="D206" s="5" t="n">
        <v>20</v>
      </c>
      <c r="E206" s="13" t="n">
        <v>3.3</v>
      </c>
      <c r="F206" s="14" t="n">
        <f aca="false">E206*Assumptions!$D$4</f>
        <v>427.8732670634</v>
      </c>
      <c r="G206" s="14" t="n">
        <v>330</v>
      </c>
      <c r="H206" s="14" t="n">
        <v>435</v>
      </c>
      <c r="I206" s="14" t="n">
        <f aca="false">F206-(G206+H206)/2</f>
        <v>45.3732670633997</v>
      </c>
      <c r="J206" s="5" t="str">
        <f aca="false">IF(D206&lt;8,"LOW SAMPLE",IF(F206&gt;H206*(1+Assumptions!$B$10),"UNDERPAID",IF(F206&lt;G206*(1-Assumptions!$B$10),"OVERPAID","FAIR")))</f>
        <v>FAIR</v>
      </c>
      <c r="K206" s="5" t="n">
        <v>24</v>
      </c>
    </row>
    <row r="207" customFormat="false" ht="15" hidden="false" customHeight="false" outlineLevel="0" collapsed="false">
      <c r="A207" s="5" t="n">
        <v>2021</v>
      </c>
      <c r="B207" s="5" t="s">
        <v>224</v>
      </c>
      <c r="C207" s="5" t="s">
        <v>246</v>
      </c>
      <c r="D207" s="5" t="n">
        <v>17</v>
      </c>
      <c r="E207" s="13" t="n">
        <v>2.15</v>
      </c>
      <c r="F207" s="14" t="n">
        <f aca="false">E207*Assumptions!$D$4</f>
        <v>278.765916420094</v>
      </c>
      <c r="G207" s="14" t="n">
        <v>120</v>
      </c>
      <c r="H207" s="14" t="n">
        <v>215</v>
      </c>
      <c r="I207" s="14" t="n">
        <f aca="false">F207-(G207+H207)/2</f>
        <v>111.265916420094</v>
      </c>
      <c r="J207" s="5" t="str">
        <f aca="false">IF(D207&lt;8,"LOW SAMPLE",IF(F207&gt;H207*(1+Assumptions!$B$10),"UNDERPAID",IF(F207&lt;G207*(1-Assumptions!$B$10),"OVERPAID","FAIR")))</f>
        <v>UNDERPAID</v>
      </c>
      <c r="K207" s="5" t="n">
        <v>3</v>
      </c>
    </row>
    <row r="208" customFormat="false" ht="15" hidden="false" customHeight="false" outlineLevel="0" collapsed="false">
      <c r="A208" s="5" t="n">
        <v>2021</v>
      </c>
      <c r="B208" s="5" t="s">
        <v>224</v>
      </c>
      <c r="C208" s="5" t="s">
        <v>247</v>
      </c>
      <c r="D208" s="5" t="n">
        <v>9</v>
      </c>
      <c r="E208" s="13" t="n">
        <v>1.28</v>
      </c>
      <c r="F208" s="14" t="n">
        <f aca="false">E208*Assumptions!$D$4</f>
        <v>165.962964194288</v>
      </c>
      <c r="G208" s="14" t="n">
        <v>215</v>
      </c>
      <c r="H208" s="14" t="n">
        <v>330</v>
      </c>
      <c r="I208" s="14" t="n">
        <f aca="false">F208-(G208+H208)/2</f>
        <v>-106.537035805712</v>
      </c>
      <c r="J208" s="5" t="str">
        <f aca="false">IF(D208&lt;8,"LOW SAMPLE",IF(F208&gt;H208*(1+Assumptions!$B$10),"UNDERPAID",IF(F208&lt;G208*(1-Assumptions!$B$10),"OVERPAID","FAIR")))</f>
        <v>OVERPAID</v>
      </c>
      <c r="K208" s="5" t="n">
        <v>0</v>
      </c>
    </row>
    <row r="209" customFormat="false" ht="15" hidden="false" customHeight="false" outlineLevel="0" collapsed="false">
      <c r="A209" s="5" t="n">
        <v>2021</v>
      </c>
      <c r="B209" s="5" t="s">
        <v>224</v>
      </c>
      <c r="C209" s="5" t="s">
        <v>248</v>
      </c>
      <c r="D209" s="5" t="n">
        <v>19</v>
      </c>
      <c r="E209" s="13" t="n">
        <v>4.86</v>
      </c>
      <c r="F209" s="14" t="n">
        <f aca="false">E209*Assumptions!$D$4</f>
        <v>630.140629675189</v>
      </c>
      <c r="G209" s="14" t="n">
        <v>590</v>
      </c>
      <c r="H209" s="14" t="n">
        <v>820</v>
      </c>
      <c r="I209" s="14" t="n">
        <f aca="false">F209-(G209+H209)/2</f>
        <v>-74.8593703248114</v>
      </c>
      <c r="J209" s="5" t="str">
        <f aca="false">IF(D209&lt;8,"LOW SAMPLE",IF(F209&gt;H209*(1+Assumptions!$B$10),"UNDERPAID",IF(F209&lt;G209*(1-Assumptions!$B$10),"OVERPAID","FAIR")))</f>
        <v>FAIR</v>
      </c>
      <c r="K209" s="5" t="n">
        <v>66</v>
      </c>
    </row>
    <row r="210" customFormat="false" ht="15" hidden="false" customHeight="false" outlineLevel="0" collapsed="false">
      <c r="A210" s="5" t="n">
        <v>2021</v>
      </c>
      <c r="B210" s="5" t="s">
        <v>224</v>
      </c>
      <c r="C210" s="5" t="s">
        <v>249</v>
      </c>
      <c r="D210" s="5" t="n">
        <v>16</v>
      </c>
      <c r="E210" s="13" t="n">
        <v>3.85</v>
      </c>
      <c r="F210" s="14" t="n">
        <f aca="false">E210*Assumptions!$D$4</f>
        <v>499.185478240633</v>
      </c>
      <c r="G210" s="14" t="n">
        <v>435</v>
      </c>
      <c r="H210" s="14" t="n">
        <v>590</v>
      </c>
      <c r="I210" s="14" t="n">
        <f aca="false">F210-(G210+H210)/2</f>
        <v>-13.314521759367</v>
      </c>
      <c r="J210" s="5" t="str">
        <f aca="false">IF(D210&lt;8,"LOW SAMPLE",IF(F210&gt;H210*(1+Assumptions!$B$10),"UNDERPAID",IF(F210&lt;G210*(1-Assumptions!$B$10),"OVERPAID","FAIR")))</f>
        <v>FAIR</v>
      </c>
      <c r="K210" s="5" t="n">
        <v>74</v>
      </c>
    </row>
    <row r="211" customFormat="false" ht="15" hidden="false" customHeight="false" outlineLevel="0" collapsed="false">
      <c r="A211" s="5" t="n">
        <v>2021</v>
      </c>
      <c r="B211" s="5" t="s">
        <v>224</v>
      </c>
      <c r="C211" s="5" t="s">
        <v>250</v>
      </c>
      <c r="D211" s="5" t="n">
        <v>7</v>
      </c>
      <c r="E211" s="13" t="n">
        <v>0.96</v>
      </c>
      <c r="F211" s="14" t="n">
        <f aca="false">E211*Assumptions!$D$4</f>
        <v>124.472223145716</v>
      </c>
      <c r="G211" s="14" t="n">
        <v>120</v>
      </c>
      <c r="H211" s="14" t="n">
        <v>215</v>
      </c>
      <c r="I211" s="14" t="n">
        <f aca="false">F211-(G211+H211)/2</f>
        <v>-43.0277768542837</v>
      </c>
      <c r="J211" s="5" t="str">
        <f aca="false">IF(D211&lt;8,"LOW SAMPLE",IF(F211&gt;H211*(1+Assumptions!$B$10),"UNDERPAID",IF(F211&lt;G211*(1-Assumptions!$B$10),"OVERPAID","FAIR")))</f>
        <v>LOW SAMPLE</v>
      </c>
      <c r="K211" s="5" t="n">
        <v>10</v>
      </c>
    </row>
    <row r="212" customFormat="false" ht="15" hidden="false" customHeight="false" outlineLevel="0" collapsed="false">
      <c r="A212" s="5" t="n">
        <v>2021</v>
      </c>
      <c r="B212" s="5" t="s">
        <v>224</v>
      </c>
      <c r="C212" s="5" t="s">
        <v>251</v>
      </c>
      <c r="D212" s="5" t="n">
        <v>16</v>
      </c>
      <c r="E212" s="13" t="n">
        <v>2.68</v>
      </c>
      <c r="F212" s="14" t="n">
        <f aca="false">E212*Assumptions!$D$4</f>
        <v>347.484956281791</v>
      </c>
      <c r="G212" s="14" t="n">
        <v>590</v>
      </c>
      <c r="H212" s="14" t="n">
        <v>820</v>
      </c>
      <c r="I212" s="14" t="n">
        <f aca="false">F212-(G212+H212)/2</f>
        <v>-357.515043718209</v>
      </c>
      <c r="J212" s="5" t="str">
        <f aca="false">IF(D212&lt;8,"LOW SAMPLE",IF(F212&gt;H212*(1+Assumptions!$B$10),"UNDERPAID",IF(F212&lt;G212*(1-Assumptions!$B$10),"OVERPAID","FAIR")))</f>
        <v>OVERPAID</v>
      </c>
      <c r="K212" s="5" t="n">
        <v>115</v>
      </c>
    </row>
    <row r="213" customFormat="false" ht="15" hidden="false" customHeight="false" outlineLevel="0" collapsed="false">
      <c r="A213" s="5" t="n">
        <v>2021</v>
      </c>
      <c r="B213" s="5" t="s">
        <v>224</v>
      </c>
      <c r="C213" s="5" t="s">
        <v>252</v>
      </c>
      <c r="D213" s="5" t="n">
        <v>16</v>
      </c>
      <c r="E213" s="13" t="n">
        <v>1.88</v>
      </c>
      <c r="F213" s="14" t="n">
        <f aca="false">E213*Assumptions!$D$4</f>
        <v>243.758103660361</v>
      </c>
      <c r="G213" s="14" t="n">
        <v>120</v>
      </c>
      <c r="H213" s="14" t="n">
        <v>215</v>
      </c>
      <c r="I213" s="14" t="n">
        <f aca="false">F213-(G213+H213)/2</f>
        <v>76.258103660361</v>
      </c>
      <c r="J213" s="5" t="str">
        <f aca="false">IF(D213&lt;8,"LOW SAMPLE",IF(F213&gt;H213*(1+Assumptions!$B$10),"UNDERPAID",IF(F213&lt;G213*(1-Assumptions!$B$10),"OVERPAID","FAIR")))</f>
        <v>FAIR</v>
      </c>
      <c r="K213" s="5" t="n">
        <v>24</v>
      </c>
    </row>
    <row r="214" customFormat="false" ht="15" hidden="false" customHeight="false" outlineLevel="0" collapsed="false">
      <c r="A214" s="5" t="n">
        <v>2021</v>
      </c>
      <c r="B214" s="5" t="s">
        <v>224</v>
      </c>
      <c r="C214" s="5" t="s">
        <v>253</v>
      </c>
      <c r="D214" s="5" t="n">
        <v>15</v>
      </c>
      <c r="E214" s="13" t="n">
        <v>4.56</v>
      </c>
      <c r="F214" s="14" t="n">
        <f aca="false">E214*Assumptions!$D$4</f>
        <v>591.243059942152</v>
      </c>
      <c r="G214" s="14" t="n">
        <v>590</v>
      </c>
      <c r="H214" s="14" t="n">
        <v>820</v>
      </c>
      <c r="I214" s="14" t="n">
        <f aca="false">F214-(G214+H214)/2</f>
        <v>-113.756940057848</v>
      </c>
      <c r="J214" s="5" t="str">
        <f aca="false">IF(D214&lt;8,"LOW SAMPLE",IF(F214&gt;H214*(1+Assumptions!$B$10),"UNDERPAID",IF(F214&lt;G214*(1-Assumptions!$B$10),"OVERPAID","FAIR")))</f>
        <v>FAIR</v>
      </c>
      <c r="K214" s="5" t="n">
        <v>95</v>
      </c>
    </row>
    <row r="215" customFormat="false" ht="15" hidden="false" customHeight="false" outlineLevel="0" collapsed="false">
      <c r="A215" s="5" t="n">
        <v>2021</v>
      </c>
      <c r="B215" s="5" t="s">
        <v>224</v>
      </c>
      <c r="C215" s="5" t="s">
        <v>254</v>
      </c>
      <c r="D215" s="5" t="n">
        <v>18</v>
      </c>
      <c r="E215" s="13" t="n">
        <v>3.78</v>
      </c>
      <c r="F215" s="14" t="n">
        <f aca="false">E215*Assumptions!$D$4</f>
        <v>490.109378636258</v>
      </c>
      <c r="G215" s="14" t="n">
        <v>435</v>
      </c>
      <c r="H215" s="14" t="n">
        <v>590</v>
      </c>
      <c r="I215" s="14" t="n">
        <f aca="false">F215-(G215+H215)/2</f>
        <v>-22.3906213637422</v>
      </c>
      <c r="J215" s="5" t="str">
        <f aca="false">IF(D215&lt;8,"LOW SAMPLE",IF(F215&gt;H215*(1+Assumptions!$B$10),"UNDERPAID",IF(F215&lt;G215*(1-Assumptions!$B$10),"OVERPAID","FAIR")))</f>
        <v>FAIR</v>
      </c>
      <c r="K215" s="5" t="n">
        <v>112</v>
      </c>
    </row>
    <row r="216" customFormat="false" ht="15" hidden="false" customHeight="false" outlineLevel="0" collapsed="false">
      <c r="A216" s="5" t="n">
        <v>2021</v>
      </c>
      <c r="B216" s="5" t="s">
        <v>224</v>
      </c>
      <c r="C216" s="5" t="s">
        <v>255</v>
      </c>
      <c r="D216" s="5" t="n">
        <v>10</v>
      </c>
      <c r="E216" s="13" t="n">
        <v>1.21</v>
      </c>
      <c r="F216" s="14" t="n">
        <f aca="false">E216*Assumptions!$D$4</f>
        <v>156.886864589913</v>
      </c>
      <c r="G216" s="14" t="n">
        <v>330</v>
      </c>
      <c r="H216" s="14" t="n">
        <v>435</v>
      </c>
      <c r="I216" s="14" t="n">
        <f aca="false">F216-(G216+H216)/2</f>
        <v>-225.613135410087</v>
      </c>
      <c r="J216" s="5" t="str">
        <f aca="false">IF(D216&lt;8,"LOW SAMPLE",IF(F216&gt;H216*(1+Assumptions!$B$10),"UNDERPAID",IF(F216&lt;G216*(1-Assumptions!$B$10),"OVERPAID","FAIR")))</f>
        <v>OVERPAID</v>
      </c>
      <c r="K216" s="5" t="n">
        <v>69</v>
      </c>
    </row>
    <row r="217" customFormat="false" ht="15" hidden="false" customHeight="false" outlineLevel="0" collapsed="false">
      <c r="A217" s="5" t="n">
        <v>2021</v>
      </c>
      <c r="B217" s="5" t="s">
        <v>224</v>
      </c>
      <c r="C217" s="5" t="s">
        <v>256</v>
      </c>
      <c r="D217" s="5" t="n">
        <v>13</v>
      </c>
      <c r="E217" s="13" t="n">
        <v>3.4</v>
      </c>
      <c r="F217" s="14" t="n">
        <f aca="false">E217*Assumptions!$D$4</f>
        <v>440.839123641078</v>
      </c>
      <c r="G217" s="14" t="n">
        <v>590</v>
      </c>
      <c r="H217" s="14" t="n">
        <v>820</v>
      </c>
      <c r="I217" s="14" t="n">
        <f aca="false">F217-(G217+H217)/2</f>
        <v>-264.160876358922</v>
      </c>
      <c r="J217" s="5" t="str">
        <f aca="false">IF(D217&lt;8,"LOW SAMPLE",IF(F217&gt;H217*(1+Assumptions!$B$10),"UNDERPAID",IF(F217&lt;G217*(1-Assumptions!$B$10),"OVERPAID","FAIR")))</f>
        <v>OVERPAID</v>
      </c>
      <c r="K217" s="5" t="n">
        <v>104</v>
      </c>
    </row>
    <row r="218" customFormat="false" ht="15" hidden="false" customHeight="false" outlineLevel="0" collapsed="false">
      <c r="A218" s="5" t="n">
        <v>2021</v>
      </c>
      <c r="B218" s="5" t="s">
        <v>224</v>
      </c>
      <c r="C218" s="5" t="s">
        <v>257</v>
      </c>
      <c r="D218" s="5" t="n">
        <v>1</v>
      </c>
      <c r="E218" s="13" t="n">
        <v>0.11</v>
      </c>
      <c r="F218" s="14" t="n">
        <f aca="false">E218*Assumptions!$D$4</f>
        <v>14.2624422354467</v>
      </c>
      <c r="G218" s="14" t="n">
        <v>120</v>
      </c>
      <c r="H218" s="14" t="n">
        <v>215</v>
      </c>
      <c r="I218" s="14" t="n">
        <f aca="false">F218-(G218+H218)/2</f>
        <v>-153.237557764553</v>
      </c>
      <c r="J218" s="5" t="str">
        <f aca="false">IF(D218&lt;8,"LOW SAMPLE",IF(F218&gt;H218*(1+Assumptions!$B$10),"UNDERPAID",IF(F218&lt;G218*(1-Assumptions!$B$10),"OVERPAID","FAIR")))</f>
        <v>LOW SAMPLE</v>
      </c>
      <c r="K218" s="5" t="n">
        <v>3</v>
      </c>
    </row>
    <row r="219" customFormat="false" ht="15" hidden="false" customHeight="false" outlineLevel="0" collapsed="false">
      <c r="A219" s="5" t="n">
        <v>2021</v>
      </c>
      <c r="B219" s="5" t="s">
        <v>224</v>
      </c>
      <c r="C219" s="5" t="s">
        <v>258</v>
      </c>
      <c r="D219" s="5" t="n">
        <v>12</v>
      </c>
      <c r="E219" s="13" t="n">
        <v>2.11</v>
      </c>
      <c r="F219" s="14" t="n">
        <f aca="false">E219*Assumptions!$D$4</f>
        <v>273.579573789022</v>
      </c>
      <c r="G219" s="14" t="n">
        <v>215</v>
      </c>
      <c r="H219" s="14" t="n">
        <v>330</v>
      </c>
      <c r="I219" s="14" t="n">
        <f aca="false">F219-(G219+H219)/2</f>
        <v>1.07957378902222</v>
      </c>
      <c r="J219" s="5" t="str">
        <f aca="false">IF(D219&lt;8,"LOW SAMPLE",IF(F219&gt;H219*(1+Assumptions!$B$10),"UNDERPAID",IF(F219&lt;G219*(1-Assumptions!$B$10),"OVERPAID","FAIR")))</f>
        <v>FAIR</v>
      </c>
      <c r="K219" s="5" t="n">
        <v>20</v>
      </c>
    </row>
    <row r="220" customFormat="false" ht="15" hidden="false" customHeight="false" outlineLevel="0" collapsed="false">
      <c r="A220" s="5" t="n">
        <v>2021</v>
      </c>
      <c r="B220" s="5" t="s">
        <v>224</v>
      </c>
      <c r="C220" s="5" t="s">
        <v>259</v>
      </c>
      <c r="D220" s="5" t="n">
        <v>21</v>
      </c>
      <c r="E220" s="13" t="n">
        <v>6.47</v>
      </c>
      <c r="F220" s="14" t="n">
        <f aca="false">E220*Assumptions!$D$4</f>
        <v>838.890920575817</v>
      </c>
      <c r="G220" s="14" t="n">
        <v>330</v>
      </c>
      <c r="H220" s="14" t="n">
        <v>435</v>
      </c>
      <c r="I220" s="14" t="n">
        <f aca="false">F220-(G220+H220)/2</f>
        <v>456.390920575817</v>
      </c>
      <c r="J220" s="5" t="str">
        <f aca="false">IF(D220&lt;8,"LOW SAMPLE",IF(F220&gt;H220*(1+Assumptions!$B$10),"UNDERPAID",IF(F220&lt;G220*(1-Assumptions!$B$10),"OVERPAID","FAIR")))</f>
        <v>UNDERPAID</v>
      </c>
      <c r="K220" s="5" t="n">
        <v>41</v>
      </c>
    </row>
    <row r="221" customFormat="false" ht="15" hidden="false" customHeight="false" outlineLevel="0" collapsed="false">
      <c r="A221" s="5" t="n">
        <v>2021</v>
      </c>
      <c r="B221" s="5" t="s">
        <v>224</v>
      </c>
      <c r="C221" s="5" t="s">
        <v>260</v>
      </c>
      <c r="D221" s="5" t="n">
        <v>4</v>
      </c>
      <c r="E221" s="13" t="n">
        <v>0.44</v>
      </c>
      <c r="F221" s="14" t="n">
        <f aca="false">E221*Assumptions!$D$4</f>
        <v>57.0497689417866</v>
      </c>
      <c r="G221" s="14" t="n">
        <v>120</v>
      </c>
      <c r="H221" s="14" t="n">
        <v>215</v>
      </c>
      <c r="I221" s="14" t="n">
        <f aca="false">F221-(G221+H221)/2</f>
        <v>-110.450231058213</v>
      </c>
      <c r="J221" s="5" t="str">
        <f aca="false">IF(D221&lt;8,"LOW SAMPLE",IF(F221&gt;H221*(1+Assumptions!$B$10),"UNDERPAID",IF(F221&lt;G221*(1-Assumptions!$B$10),"OVERPAID","FAIR")))</f>
        <v>LOW SAMPLE</v>
      </c>
      <c r="K221" s="5" t="n">
        <v>10</v>
      </c>
    </row>
    <row r="222" customFormat="false" ht="15" hidden="false" customHeight="false" outlineLevel="0" collapsed="false">
      <c r="A222" s="5" t="n">
        <v>2021</v>
      </c>
      <c r="B222" s="5" t="s">
        <v>224</v>
      </c>
      <c r="C222" s="5" t="s">
        <v>261</v>
      </c>
      <c r="D222" s="5" t="n">
        <v>6</v>
      </c>
      <c r="E222" s="13" t="n">
        <v>0.92</v>
      </c>
      <c r="F222" s="14" t="n">
        <f aca="false">E222*Assumptions!$D$4</f>
        <v>119.285880514645</v>
      </c>
      <c r="G222" s="14" t="n">
        <v>330</v>
      </c>
      <c r="H222" s="14" t="n">
        <v>435</v>
      </c>
      <c r="I222" s="14" t="n">
        <f aca="false">F222-(G222+H222)/2</f>
        <v>-263.214119485355</v>
      </c>
      <c r="J222" s="5" t="str">
        <f aca="false">IF(D222&lt;8,"LOW SAMPLE",IF(F222&gt;H222*(1+Assumptions!$B$10),"UNDERPAID",IF(F222&lt;G222*(1-Assumptions!$B$10),"OVERPAID","FAIR")))</f>
        <v>LOW SAMPLE</v>
      </c>
      <c r="K222" s="5" t="n">
        <v>39</v>
      </c>
    </row>
    <row r="223" customFormat="false" ht="15" hidden="false" customHeight="false" outlineLevel="0" collapsed="false">
      <c r="A223" s="5" t="n">
        <v>2021</v>
      </c>
      <c r="B223" s="5" t="s">
        <v>224</v>
      </c>
      <c r="C223" s="5" t="s">
        <v>262</v>
      </c>
      <c r="D223" s="5" t="n">
        <v>11</v>
      </c>
      <c r="E223" s="13" t="n">
        <v>1.19</v>
      </c>
      <c r="F223" s="14" t="n">
        <f aca="false">E223*Assumptions!$D$4</f>
        <v>154.293693274377</v>
      </c>
      <c r="G223" s="14" t="n">
        <v>120</v>
      </c>
      <c r="H223" s="14" t="n">
        <v>215</v>
      </c>
      <c r="I223" s="14" t="n">
        <f aca="false">F223-(G223+H223)/2</f>
        <v>-13.2063067256225</v>
      </c>
      <c r="J223" s="5" t="str">
        <f aca="false">IF(D223&lt;8,"LOW SAMPLE",IF(F223&gt;H223*(1+Assumptions!$B$10),"UNDERPAID",IF(F223&lt;G223*(1-Assumptions!$B$10),"OVERPAID","FAIR")))</f>
        <v>FAIR</v>
      </c>
      <c r="K223" s="5" t="n">
        <v>3</v>
      </c>
    </row>
    <row r="224" customFormat="false" ht="15" hidden="false" customHeight="false" outlineLevel="0" collapsed="false">
      <c r="A224" s="5" t="n">
        <v>2021</v>
      </c>
      <c r="B224" s="5" t="s">
        <v>224</v>
      </c>
      <c r="C224" s="5" t="s">
        <v>263</v>
      </c>
      <c r="D224" s="5" t="n">
        <v>22</v>
      </c>
      <c r="E224" s="13" t="n">
        <v>3.37</v>
      </c>
      <c r="F224" s="14" t="n">
        <f aca="false">E224*Assumptions!$D$4</f>
        <v>436.949366667775</v>
      </c>
      <c r="G224" s="14" t="n">
        <v>215</v>
      </c>
      <c r="H224" s="14" t="n">
        <v>330</v>
      </c>
      <c r="I224" s="14" t="n">
        <f aca="false">F224-(G224+H224)/2</f>
        <v>164.449366667775</v>
      </c>
      <c r="J224" s="5" t="str">
        <f aca="false">IF(D224&lt;8,"LOW SAMPLE",IF(F224&gt;H224*(1+Assumptions!$B$10),"UNDERPAID",IF(F224&lt;G224*(1-Assumptions!$B$10),"OVERPAID","FAIR")))</f>
        <v>UNDERPAID</v>
      </c>
      <c r="K224" s="5" t="n">
        <v>60</v>
      </c>
    </row>
    <row r="225" customFormat="false" ht="15" hidden="false" customHeight="false" outlineLevel="0" collapsed="false">
      <c r="A225" s="5" t="n">
        <v>2021</v>
      </c>
      <c r="B225" s="5" t="s">
        <v>264</v>
      </c>
      <c r="C225" s="5" t="s">
        <v>265</v>
      </c>
      <c r="D225" s="5" t="n">
        <v>9</v>
      </c>
      <c r="E225" s="13" t="n">
        <v>1.2</v>
      </c>
      <c r="F225" s="14" t="n">
        <f aca="false">E225*Assumptions!$D$4</f>
        <v>155.590278932145</v>
      </c>
      <c r="G225" s="14" t="n">
        <v>215</v>
      </c>
      <c r="H225" s="14" t="n">
        <v>330</v>
      </c>
      <c r="I225" s="14" t="n">
        <f aca="false">F225-(G225+H225)/2</f>
        <v>-116.909721067855</v>
      </c>
      <c r="J225" s="5" t="str">
        <f aca="false">IF(D225&lt;8,"LOW SAMPLE",IF(F225&gt;H225*(1+Assumptions!$B$10),"UNDERPAID",IF(F225&lt;G225*(1-Assumptions!$B$10),"OVERPAID","FAIR")))</f>
        <v>OVERPAID</v>
      </c>
      <c r="K225" s="5" t="n">
        <v>67</v>
      </c>
    </row>
    <row r="226" customFormat="false" ht="15" hidden="false" customHeight="false" outlineLevel="0" collapsed="false">
      <c r="A226" s="5" t="n">
        <v>2021</v>
      </c>
      <c r="B226" s="5" t="s">
        <v>264</v>
      </c>
      <c r="C226" s="5" t="s">
        <v>266</v>
      </c>
      <c r="D226" s="5" t="n">
        <v>17</v>
      </c>
      <c r="E226" s="13" t="n">
        <v>2.58</v>
      </c>
      <c r="F226" s="14" t="n">
        <f aca="false">E226*Assumptions!$D$4</f>
        <v>334.519099704113</v>
      </c>
      <c r="G226" s="14" t="n">
        <v>120</v>
      </c>
      <c r="H226" s="14" t="n">
        <v>215</v>
      </c>
      <c r="I226" s="14" t="n">
        <f aca="false">F226-(G226+H226)/2</f>
        <v>167.019099704112</v>
      </c>
      <c r="J226" s="5" t="str">
        <f aca="false">IF(D226&lt;8,"LOW SAMPLE",IF(F226&gt;H226*(1+Assumptions!$B$10),"UNDERPAID",IF(F226&lt;G226*(1-Assumptions!$B$10),"OVERPAID","FAIR")))</f>
        <v>UNDERPAID</v>
      </c>
      <c r="K226" s="5" t="n">
        <v>13</v>
      </c>
    </row>
    <row r="227" customFormat="false" ht="15" hidden="false" customHeight="false" outlineLevel="0" collapsed="false">
      <c r="A227" s="5" t="n">
        <v>2021</v>
      </c>
      <c r="B227" s="5" t="s">
        <v>264</v>
      </c>
      <c r="C227" s="5" t="s">
        <v>267</v>
      </c>
      <c r="D227" s="5" t="n">
        <v>13</v>
      </c>
      <c r="E227" s="13" t="n">
        <v>1.95</v>
      </c>
      <c r="F227" s="14" t="n">
        <f aca="false">E227*Assumptions!$D$4</f>
        <v>252.834203264736</v>
      </c>
      <c r="G227" s="14" t="n">
        <v>330</v>
      </c>
      <c r="H227" s="14" t="n">
        <v>435</v>
      </c>
      <c r="I227" s="14" t="n">
        <f aca="false">F227-(G227+H227)/2</f>
        <v>-129.665796735264</v>
      </c>
      <c r="J227" s="5" t="str">
        <f aca="false">IF(D227&lt;8,"LOW SAMPLE",IF(F227&gt;H227*(1+Assumptions!$B$10),"UNDERPAID",IF(F227&lt;G227*(1-Assumptions!$B$10),"OVERPAID","FAIR")))</f>
        <v>OVERPAID</v>
      </c>
      <c r="K227" s="5" t="n">
        <v>49</v>
      </c>
    </row>
    <row r="228" customFormat="false" ht="15" hidden="false" customHeight="false" outlineLevel="0" collapsed="false">
      <c r="A228" s="5" t="n">
        <v>2021</v>
      </c>
      <c r="B228" s="5" t="s">
        <v>264</v>
      </c>
      <c r="C228" s="5" t="s">
        <v>268</v>
      </c>
      <c r="D228" s="5" t="n">
        <v>24</v>
      </c>
      <c r="E228" s="13" t="n">
        <v>5.18</v>
      </c>
      <c r="F228" s="14" t="n">
        <f aca="false">E228*Assumptions!$D$4</f>
        <v>671.631370723761</v>
      </c>
      <c r="G228" s="14" t="n">
        <v>330</v>
      </c>
      <c r="H228" s="14" t="n">
        <v>435</v>
      </c>
      <c r="I228" s="14" t="n">
        <f aca="false">F228-(G228+H228)/2</f>
        <v>289.131370723761</v>
      </c>
      <c r="J228" s="5" t="str">
        <f aca="false">IF(D228&lt;8,"LOW SAMPLE",IF(F228&gt;H228*(1+Assumptions!$B$10),"UNDERPAID",IF(F228&lt;G228*(1-Assumptions!$B$10),"OVERPAID","FAIR")))</f>
        <v>UNDERPAID</v>
      </c>
      <c r="K228" s="5" t="n">
        <v>103</v>
      </c>
    </row>
    <row r="229" customFormat="false" ht="15" hidden="false" customHeight="false" outlineLevel="0" collapsed="false">
      <c r="A229" s="5" t="n">
        <v>2021</v>
      </c>
      <c r="B229" s="5" t="s">
        <v>264</v>
      </c>
      <c r="C229" s="5" t="s">
        <v>154</v>
      </c>
      <c r="D229" s="5" t="n">
        <v>2</v>
      </c>
      <c r="E229" s="13" t="n">
        <v>0.15</v>
      </c>
      <c r="F229" s="14" t="n">
        <f aca="false">E229*Assumptions!$D$4</f>
        <v>19.4487848665182</v>
      </c>
      <c r="G229" s="14" t="n">
        <v>330</v>
      </c>
      <c r="H229" s="14" t="n">
        <v>435</v>
      </c>
      <c r="I229" s="14" t="n">
        <f aca="false">F229-(G229+H229)/2</f>
        <v>-363.051215133482</v>
      </c>
      <c r="J229" s="5" t="str">
        <f aca="false">IF(D229&lt;8,"LOW SAMPLE",IF(F229&gt;H229*(1+Assumptions!$B$10),"UNDERPAID",IF(F229&lt;G229*(1-Assumptions!$B$10),"OVERPAID","FAIR")))</f>
        <v>LOW SAMPLE</v>
      </c>
      <c r="K229" s="5" t="n">
        <v>49</v>
      </c>
    </row>
    <row r="230" customFormat="false" ht="15" hidden="false" customHeight="false" outlineLevel="0" collapsed="false">
      <c r="A230" s="5" t="n">
        <v>2021</v>
      </c>
      <c r="B230" s="5" t="s">
        <v>264</v>
      </c>
      <c r="C230" s="5" t="s">
        <v>269</v>
      </c>
      <c r="D230" s="5" t="n">
        <v>23</v>
      </c>
      <c r="E230" s="13" t="n">
        <v>2.74</v>
      </c>
      <c r="F230" s="14" t="n">
        <f aca="false">E230*Assumptions!$D$4</f>
        <v>355.264470228399</v>
      </c>
      <c r="G230" s="14" t="n">
        <v>120</v>
      </c>
      <c r="H230" s="14" t="n">
        <v>215</v>
      </c>
      <c r="I230" s="14" t="n">
        <f aca="false">F230-(G230+H230)/2</f>
        <v>187.764470228399</v>
      </c>
      <c r="J230" s="5" t="str">
        <f aca="false">IF(D230&lt;8,"LOW SAMPLE",IF(F230&gt;H230*(1+Assumptions!$B$10),"UNDERPAID",IF(F230&lt;G230*(1-Assumptions!$B$10),"OVERPAID","FAIR")))</f>
        <v>UNDERPAID</v>
      </c>
      <c r="K230" s="5" t="n">
        <v>3</v>
      </c>
    </row>
    <row r="231" customFormat="false" ht="15" hidden="false" customHeight="false" outlineLevel="0" collapsed="false">
      <c r="A231" s="5" t="n">
        <v>2021</v>
      </c>
      <c r="B231" s="5" t="s">
        <v>264</v>
      </c>
      <c r="C231" s="5" t="s">
        <v>270</v>
      </c>
      <c r="D231" s="5" t="n">
        <v>5</v>
      </c>
      <c r="E231" s="13" t="n">
        <v>0.4</v>
      </c>
      <c r="F231" s="14" t="n">
        <f aca="false">E231*Assumptions!$D$4</f>
        <v>51.8634263107151</v>
      </c>
      <c r="G231" s="14" t="n">
        <v>215</v>
      </c>
      <c r="H231" s="14" t="n">
        <v>330</v>
      </c>
      <c r="I231" s="14" t="n">
        <f aca="false">F231-(G231+H231)/2</f>
        <v>-220.636573689285</v>
      </c>
      <c r="J231" s="5" t="str">
        <f aca="false">IF(D231&lt;8,"LOW SAMPLE",IF(F231&gt;H231*(1+Assumptions!$B$10),"UNDERPAID",IF(F231&lt;G231*(1-Assumptions!$B$10),"OVERPAID","FAIR")))</f>
        <v>LOW SAMPLE</v>
      </c>
      <c r="K231" s="5" t="n">
        <v>0</v>
      </c>
    </row>
    <row r="232" customFormat="false" ht="15" hidden="false" customHeight="false" outlineLevel="0" collapsed="false">
      <c r="A232" s="5" t="n">
        <v>2021</v>
      </c>
      <c r="B232" s="5" t="s">
        <v>264</v>
      </c>
      <c r="C232" s="5" t="s">
        <v>271</v>
      </c>
      <c r="D232" s="5" t="n">
        <v>16</v>
      </c>
      <c r="E232" s="13" t="n">
        <v>2.8</v>
      </c>
      <c r="F232" s="14" t="n">
        <f aca="false">E232*Assumptions!$D$4</f>
        <v>363.043984175006</v>
      </c>
      <c r="G232" s="14" t="n">
        <v>330</v>
      </c>
      <c r="H232" s="14" t="n">
        <v>435</v>
      </c>
      <c r="I232" s="14" t="n">
        <f aca="false">F232-(G232+H232)/2</f>
        <v>-19.4560158249942</v>
      </c>
      <c r="J232" s="5" t="str">
        <f aca="false">IF(D232&lt;8,"LOW SAMPLE",IF(F232&gt;H232*(1+Assumptions!$B$10),"UNDERPAID",IF(F232&lt;G232*(1-Assumptions!$B$10),"OVERPAID","FAIR")))</f>
        <v>FAIR</v>
      </c>
      <c r="K232" s="5" t="n">
        <v>51</v>
      </c>
    </row>
    <row r="233" customFormat="false" ht="15" hidden="false" customHeight="false" outlineLevel="0" collapsed="false">
      <c r="A233" s="5" t="n">
        <v>2021</v>
      </c>
      <c r="B233" s="5" t="s">
        <v>264</v>
      </c>
      <c r="C233" s="5" t="s">
        <v>272</v>
      </c>
      <c r="D233" s="5" t="n">
        <v>24</v>
      </c>
      <c r="E233" s="13" t="n">
        <v>5.33</v>
      </c>
      <c r="F233" s="14" t="n">
        <f aca="false">E233*Assumptions!$D$4</f>
        <v>691.080155590279</v>
      </c>
      <c r="G233" s="14" t="n">
        <v>435</v>
      </c>
      <c r="H233" s="14" t="n">
        <v>590</v>
      </c>
      <c r="I233" s="14" t="n">
        <f aca="false">F233-(G233+H233)/2</f>
        <v>178.580155590279</v>
      </c>
      <c r="J233" s="5" t="str">
        <f aca="false">IF(D233&lt;8,"LOW SAMPLE",IF(F233&gt;H233*(1+Assumptions!$B$10),"UNDERPAID",IF(F233&lt;G233*(1-Assumptions!$B$10),"OVERPAID","FAIR")))</f>
        <v>UNDERPAID</v>
      </c>
      <c r="K233" s="5" t="n">
        <v>81</v>
      </c>
    </row>
    <row r="234" customFormat="false" ht="15" hidden="false" customHeight="false" outlineLevel="0" collapsed="false">
      <c r="A234" s="5" t="n">
        <v>2021</v>
      </c>
      <c r="B234" s="5" t="s">
        <v>264</v>
      </c>
      <c r="C234" s="5" t="s">
        <v>273</v>
      </c>
      <c r="D234" s="5" t="n">
        <v>18</v>
      </c>
      <c r="E234" s="13" t="n">
        <v>3.72</v>
      </c>
      <c r="F234" s="14" t="n">
        <f aca="false">E234*Assumptions!$D$4</f>
        <v>482.329864689651</v>
      </c>
      <c r="G234" s="14" t="n">
        <v>330</v>
      </c>
      <c r="H234" s="14" t="n">
        <v>435</v>
      </c>
      <c r="I234" s="14" t="n">
        <f aca="false">F234-(G234+H234)/2</f>
        <v>99.8298646896506</v>
      </c>
      <c r="J234" s="5" t="str">
        <f aca="false">IF(D234&lt;8,"LOW SAMPLE",IF(F234&gt;H234*(1+Assumptions!$B$10),"UNDERPAID",IF(F234&lt;G234*(1-Assumptions!$B$10),"OVERPAID","FAIR")))</f>
        <v>FAIR</v>
      </c>
      <c r="K234" s="5" t="n">
        <v>52</v>
      </c>
    </row>
    <row r="235" customFormat="false" ht="15" hidden="false" customHeight="false" outlineLevel="0" collapsed="false">
      <c r="A235" s="5" t="n">
        <v>2021</v>
      </c>
      <c r="B235" s="5" t="s">
        <v>264</v>
      </c>
      <c r="C235" s="5" t="s">
        <v>274</v>
      </c>
      <c r="D235" s="5" t="n">
        <v>24</v>
      </c>
      <c r="E235" s="13" t="n">
        <v>4.78</v>
      </c>
      <c r="F235" s="14" t="n">
        <f aca="false">E235*Assumptions!$D$4</f>
        <v>619.767944413046</v>
      </c>
      <c r="G235" s="14" t="n">
        <v>120</v>
      </c>
      <c r="H235" s="14" t="n">
        <v>215</v>
      </c>
      <c r="I235" s="14" t="n">
        <f aca="false">F235-(G235+H235)/2</f>
        <v>452.267944413046</v>
      </c>
      <c r="J235" s="5" t="str">
        <f aca="false">IF(D235&lt;8,"LOW SAMPLE",IF(F235&gt;H235*(1+Assumptions!$B$10),"UNDERPAID",IF(F235&lt;G235*(1-Assumptions!$B$10),"OVERPAID","FAIR")))</f>
        <v>UNDERPAID</v>
      </c>
      <c r="K235" s="5" t="n">
        <v>10</v>
      </c>
    </row>
    <row r="236" customFormat="false" ht="15" hidden="false" customHeight="false" outlineLevel="0" collapsed="false">
      <c r="A236" s="5" t="n">
        <v>2021</v>
      </c>
      <c r="B236" s="5" t="s">
        <v>264</v>
      </c>
      <c r="C236" s="5" t="s">
        <v>275</v>
      </c>
      <c r="D236" s="5" t="n">
        <v>15</v>
      </c>
      <c r="E236" s="13" t="n">
        <v>2.11</v>
      </c>
      <c r="F236" s="14" t="n">
        <f aca="false">E236*Assumptions!$D$4</f>
        <v>273.579573789022</v>
      </c>
      <c r="G236" s="14" t="n">
        <v>120</v>
      </c>
      <c r="H236" s="14" t="n">
        <v>215</v>
      </c>
      <c r="I236" s="14" t="n">
        <f aca="false">F236-(G236+H236)/2</f>
        <v>106.079573789022</v>
      </c>
      <c r="J236" s="5" t="str">
        <f aca="false">IF(D236&lt;8,"LOW SAMPLE",IF(F236&gt;H236*(1+Assumptions!$B$10),"UNDERPAID",IF(F236&lt;G236*(1-Assumptions!$B$10),"OVERPAID","FAIR")))</f>
        <v>UNDERPAID</v>
      </c>
      <c r="K236" s="5" t="n">
        <v>2</v>
      </c>
    </row>
    <row r="237" customFormat="false" ht="15" hidden="false" customHeight="false" outlineLevel="0" collapsed="false">
      <c r="A237" s="5" t="n">
        <v>2021</v>
      </c>
      <c r="B237" s="5" t="s">
        <v>264</v>
      </c>
      <c r="C237" s="5" t="s">
        <v>276</v>
      </c>
      <c r="D237" s="5" t="n">
        <v>23</v>
      </c>
      <c r="E237" s="13" t="n">
        <v>5.79</v>
      </c>
      <c r="F237" s="14" t="n">
        <f aca="false">E237*Assumptions!$D$4</f>
        <v>750.723095847601</v>
      </c>
      <c r="G237" s="14" t="n">
        <v>435</v>
      </c>
      <c r="H237" s="14" t="n">
        <v>590</v>
      </c>
      <c r="I237" s="14" t="n">
        <f aca="false">F237-(G237+H237)/2</f>
        <v>238.223095847601</v>
      </c>
      <c r="J237" s="5" t="str">
        <f aca="false">IF(D237&lt;8,"LOW SAMPLE",IF(F237&gt;H237*(1+Assumptions!$B$10),"UNDERPAID",IF(F237&lt;G237*(1-Assumptions!$B$10),"OVERPAID","FAIR")))</f>
        <v>UNDERPAID</v>
      </c>
      <c r="K237" s="5" t="n">
        <v>84</v>
      </c>
    </row>
    <row r="238" customFormat="false" ht="15" hidden="false" customHeight="false" outlineLevel="0" collapsed="false">
      <c r="A238" s="5" t="n">
        <v>2021</v>
      </c>
      <c r="B238" s="5" t="s">
        <v>264</v>
      </c>
      <c r="C238" s="5" t="s">
        <v>277</v>
      </c>
      <c r="D238" s="5" t="n">
        <v>9</v>
      </c>
      <c r="E238" s="13" t="n">
        <v>0.56</v>
      </c>
      <c r="F238" s="14" t="n">
        <f aca="false">E238*Assumptions!$D$4</f>
        <v>72.6087968350012</v>
      </c>
      <c r="G238" s="14" t="n">
        <v>215</v>
      </c>
      <c r="H238" s="14" t="n">
        <v>330</v>
      </c>
      <c r="I238" s="14" t="n">
        <f aca="false">F238-(G238+H238)/2</f>
        <v>-199.891203164999</v>
      </c>
      <c r="J238" s="5" t="str">
        <f aca="false">IF(D238&lt;8,"LOW SAMPLE",IF(F238&gt;H238*(1+Assumptions!$B$10),"UNDERPAID",IF(F238&lt;G238*(1-Assumptions!$B$10),"OVERPAID","FAIR")))</f>
        <v>OVERPAID</v>
      </c>
      <c r="K238" s="5" t="n">
        <v>5</v>
      </c>
    </row>
    <row r="239" customFormat="false" ht="15" hidden="false" customHeight="false" outlineLevel="0" collapsed="false">
      <c r="A239" s="5" t="n">
        <v>2021</v>
      </c>
      <c r="B239" s="5" t="s">
        <v>264</v>
      </c>
      <c r="C239" s="5" t="s">
        <v>278</v>
      </c>
      <c r="D239" s="5" t="n">
        <v>6</v>
      </c>
      <c r="E239" s="13" t="n">
        <v>0.74</v>
      </c>
      <c r="F239" s="14" t="n">
        <f aca="false">E239*Assumptions!$D$4</f>
        <v>95.947338674823</v>
      </c>
      <c r="G239" s="14" t="n">
        <v>120</v>
      </c>
      <c r="H239" s="14" t="n">
        <v>215</v>
      </c>
      <c r="I239" s="14" t="n">
        <f aca="false">F239-(G239+H239)/2</f>
        <v>-71.552661325177</v>
      </c>
      <c r="J239" s="5" t="str">
        <f aca="false">IF(D239&lt;8,"LOW SAMPLE",IF(F239&gt;H239*(1+Assumptions!$B$10),"UNDERPAID",IF(F239&lt;G239*(1-Assumptions!$B$10),"OVERPAID","FAIR")))</f>
        <v>LOW SAMPLE</v>
      </c>
      <c r="K239" s="5" t="n">
        <v>5</v>
      </c>
    </row>
    <row r="240" customFormat="false" ht="15" hidden="false" customHeight="false" outlineLevel="0" collapsed="false">
      <c r="A240" s="5" t="n">
        <v>2021</v>
      </c>
      <c r="B240" s="5" t="s">
        <v>264</v>
      </c>
      <c r="C240" s="5" t="s">
        <v>279</v>
      </c>
      <c r="D240" s="5" t="n">
        <v>4</v>
      </c>
      <c r="E240" s="13" t="n">
        <v>0.37</v>
      </c>
      <c r="F240" s="14" t="n">
        <f aca="false">E240*Assumptions!$D$4</f>
        <v>47.9736693374115</v>
      </c>
      <c r="G240" s="14" t="n">
        <v>215</v>
      </c>
      <c r="H240" s="14" t="n">
        <v>330</v>
      </c>
      <c r="I240" s="14" t="n">
        <f aca="false">F240-(G240+H240)/2</f>
        <v>-224.526330662589</v>
      </c>
      <c r="J240" s="5" t="str">
        <f aca="false">IF(D240&lt;8,"LOW SAMPLE",IF(F240&gt;H240*(1+Assumptions!$B$10),"UNDERPAID",IF(F240&lt;G240*(1-Assumptions!$B$10),"OVERPAID","FAIR")))</f>
        <v>LOW SAMPLE</v>
      </c>
      <c r="K240" s="5" t="n">
        <v>0</v>
      </c>
    </row>
    <row r="241" customFormat="false" ht="15" hidden="false" customHeight="false" outlineLevel="0" collapsed="false">
      <c r="A241" s="5" t="n">
        <v>2021</v>
      </c>
      <c r="B241" s="5" t="s">
        <v>264</v>
      </c>
      <c r="C241" s="5" t="s">
        <v>280</v>
      </c>
      <c r="D241" s="5" t="n">
        <v>13</v>
      </c>
      <c r="E241" s="13" t="n">
        <v>2.66</v>
      </c>
      <c r="F241" s="14" t="n">
        <f aca="false">E241*Assumptions!$D$4</f>
        <v>344.891784966256</v>
      </c>
      <c r="G241" s="14" t="n">
        <v>435</v>
      </c>
      <c r="H241" s="14" t="n">
        <v>590</v>
      </c>
      <c r="I241" s="14" t="n">
        <f aca="false">F241-(G241+H241)/2</f>
        <v>-167.608215033745</v>
      </c>
      <c r="J241" s="5" t="str">
        <f aca="false">IF(D241&lt;8,"LOW SAMPLE",IF(F241&gt;H241*(1+Assumptions!$B$10),"UNDERPAID",IF(F241&lt;G241*(1-Assumptions!$B$10),"OVERPAID","FAIR")))</f>
        <v>OVERPAID</v>
      </c>
      <c r="K241" s="5" t="n">
        <v>53</v>
      </c>
    </row>
    <row r="242" customFormat="false" ht="15" hidden="false" customHeight="false" outlineLevel="0" collapsed="false">
      <c r="A242" s="5" t="n">
        <v>2021</v>
      </c>
      <c r="B242" s="5" t="s">
        <v>264</v>
      </c>
      <c r="C242" s="5" t="s">
        <v>281</v>
      </c>
      <c r="D242" s="5" t="n">
        <v>9</v>
      </c>
      <c r="E242" s="13" t="n">
        <v>2.42</v>
      </c>
      <c r="F242" s="14" t="n">
        <f aca="false">E242*Assumptions!$D$4</f>
        <v>313.773729179826</v>
      </c>
      <c r="G242" s="14" t="n">
        <v>330</v>
      </c>
      <c r="H242" s="14" t="n">
        <v>435</v>
      </c>
      <c r="I242" s="14" t="n">
        <f aca="false">F242-(G242+H242)/2</f>
        <v>-68.7262708201736</v>
      </c>
      <c r="J242" s="5" t="str">
        <f aca="false">IF(D242&lt;8,"LOW SAMPLE",IF(F242&gt;H242*(1+Assumptions!$B$10),"UNDERPAID",IF(F242&lt;G242*(1-Assumptions!$B$10),"OVERPAID","FAIR")))</f>
        <v>FAIR</v>
      </c>
      <c r="K242" s="5" t="n">
        <v>90</v>
      </c>
    </row>
    <row r="243" customFormat="false" ht="15" hidden="false" customHeight="false" outlineLevel="0" collapsed="false">
      <c r="A243" s="5" t="n">
        <v>2021</v>
      </c>
      <c r="B243" s="5" t="s">
        <v>264</v>
      </c>
      <c r="C243" s="5" t="s">
        <v>282</v>
      </c>
      <c r="D243" s="5" t="n">
        <v>23</v>
      </c>
      <c r="E243" s="13" t="n">
        <v>5.94</v>
      </c>
      <c r="F243" s="14" t="n">
        <f aca="false">E243*Assumptions!$D$4</f>
        <v>770.171880714119</v>
      </c>
      <c r="G243" s="14" t="n">
        <v>435</v>
      </c>
      <c r="H243" s="14" t="n">
        <v>590</v>
      </c>
      <c r="I243" s="14" t="n">
        <f aca="false">F243-(G243+H243)/2</f>
        <v>257.671880714119</v>
      </c>
      <c r="J243" s="5" t="str">
        <f aca="false">IF(D243&lt;8,"LOW SAMPLE",IF(F243&gt;H243*(1+Assumptions!$B$10),"UNDERPAID",IF(F243&lt;G243*(1-Assumptions!$B$10),"OVERPAID","FAIR")))</f>
        <v>UNDERPAID</v>
      </c>
      <c r="K243" s="5" t="n">
        <v>114</v>
      </c>
    </row>
    <row r="244" customFormat="false" ht="15" hidden="false" customHeight="false" outlineLevel="0" collapsed="false">
      <c r="A244" s="5" t="n">
        <v>2021</v>
      </c>
      <c r="B244" s="5" t="s">
        <v>264</v>
      </c>
      <c r="C244" s="5" t="s">
        <v>283</v>
      </c>
      <c r="D244" s="5" t="n">
        <v>5</v>
      </c>
      <c r="E244" s="13" t="n">
        <v>1</v>
      </c>
      <c r="F244" s="14" t="n">
        <f aca="false">E244*Assumptions!$D$4</f>
        <v>129.658565776788</v>
      </c>
      <c r="G244" s="14" t="n">
        <v>215</v>
      </c>
      <c r="H244" s="14" t="n">
        <v>330</v>
      </c>
      <c r="I244" s="14" t="n">
        <f aca="false">F244-(G244+H244)/2</f>
        <v>-142.841434223212</v>
      </c>
      <c r="J244" s="5" t="str">
        <f aca="false">IF(D244&lt;8,"LOW SAMPLE",IF(F244&gt;H244*(1+Assumptions!$B$10),"UNDERPAID",IF(F244&lt;G244*(1-Assumptions!$B$10),"OVERPAID","FAIR")))</f>
        <v>LOW SAMPLE</v>
      </c>
      <c r="K244" s="5" t="n">
        <v>0</v>
      </c>
    </row>
    <row r="245" customFormat="false" ht="15" hidden="false" customHeight="false" outlineLevel="0" collapsed="false">
      <c r="A245" s="5" t="n">
        <v>2021</v>
      </c>
      <c r="B245" s="5" t="s">
        <v>264</v>
      </c>
      <c r="C245" s="5" t="s">
        <v>284</v>
      </c>
      <c r="D245" s="5" t="n">
        <v>23</v>
      </c>
      <c r="E245" s="13" t="n">
        <v>3.06</v>
      </c>
      <c r="F245" s="14" t="n">
        <f aca="false">E245*Assumptions!$D$4</f>
        <v>396.755211276971</v>
      </c>
      <c r="G245" s="14" t="n">
        <v>215</v>
      </c>
      <c r="H245" s="14" t="n">
        <v>330</v>
      </c>
      <c r="I245" s="14" t="n">
        <f aca="false">F245-(G245+H245)/2</f>
        <v>124.255211276971</v>
      </c>
      <c r="J245" s="5" t="str">
        <f aca="false">IF(D245&lt;8,"LOW SAMPLE",IF(F245&gt;H245*(1+Assumptions!$B$10),"UNDERPAID",IF(F245&lt;G245*(1-Assumptions!$B$10),"OVERPAID","FAIR")))</f>
        <v>UNDERPAID</v>
      </c>
      <c r="K245" s="5" t="n">
        <v>12</v>
      </c>
    </row>
    <row r="246" customFormat="false" ht="15" hidden="false" customHeight="false" outlineLevel="0" collapsed="false">
      <c r="A246" s="5" t="n">
        <v>2021</v>
      </c>
      <c r="B246" s="5" t="s">
        <v>264</v>
      </c>
      <c r="C246" s="5" t="s">
        <v>285</v>
      </c>
      <c r="D246" s="5" t="n">
        <v>17</v>
      </c>
      <c r="E246" s="13" t="n">
        <v>3.3</v>
      </c>
      <c r="F246" s="14" t="n">
        <f aca="false">E246*Assumptions!$D$4</f>
        <v>427.8732670634</v>
      </c>
      <c r="G246" s="14" t="n">
        <v>435</v>
      </c>
      <c r="H246" s="14" t="n">
        <v>590</v>
      </c>
      <c r="I246" s="14" t="n">
        <f aca="false">F246-(G246+H246)/2</f>
        <v>-84.6267329366003</v>
      </c>
      <c r="J246" s="5" t="str">
        <f aca="false">IF(D246&lt;8,"LOW SAMPLE",IF(F246&gt;H246*(1+Assumptions!$B$10),"UNDERPAID",IF(F246&lt;G246*(1-Assumptions!$B$10),"OVERPAID","FAIR")))</f>
        <v>FAIR</v>
      </c>
      <c r="K246" s="5" t="n">
        <v>120</v>
      </c>
    </row>
    <row r="247" customFormat="false" ht="15" hidden="false" customHeight="false" outlineLevel="0" collapsed="false">
      <c r="A247" s="5" t="n">
        <v>2021</v>
      </c>
      <c r="B247" s="5" t="s">
        <v>264</v>
      </c>
      <c r="C247" s="5" t="s">
        <v>286</v>
      </c>
      <c r="D247" s="5" t="n">
        <v>8</v>
      </c>
      <c r="E247" s="13" t="n">
        <v>1.27</v>
      </c>
      <c r="F247" s="14" t="n">
        <f aca="false">E247*Assumptions!$D$4</f>
        <v>164.66637853652</v>
      </c>
      <c r="G247" s="14" t="n">
        <v>215</v>
      </c>
      <c r="H247" s="14" t="n">
        <v>330</v>
      </c>
      <c r="I247" s="14" t="n">
        <f aca="false">F247-(G247+H247)/2</f>
        <v>-107.83362146348</v>
      </c>
      <c r="J247" s="5" t="str">
        <f aca="false">IF(D247&lt;8,"LOW SAMPLE",IF(F247&gt;H247*(1+Assumptions!$B$10),"UNDERPAID",IF(F247&lt;G247*(1-Assumptions!$B$10),"OVERPAID","FAIR")))</f>
        <v>OVERPAID</v>
      </c>
      <c r="K247" s="5" t="n">
        <v>31</v>
      </c>
    </row>
    <row r="248" customFormat="false" ht="15" hidden="false" customHeight="false" outlineLevel="0" collapsed="false">
      <c r="A248" s="5" t="n">
        <v>2021</v>
      </c>
      <c r="B248" s="5" t="s">
        <v>264</v>
      </c>
      <c r="C248" s="5" t="s">
        <v>287</v>
      </c>
      <c r="D248" s="5" t="n">
        <v>8</v>
      </c>
      <c r="E248" s="13" t="n">
        <v>0.87</v>
      </c>
      <c r="F248" s="14" t="n">
        <f aca="false">E248*Assumptions!$D$4</f>
        <v>112.802952225805</v>
      </c>
      <c r="G248" s="14" t="n">
        <v>215</v>
      </c>
      <c r="H248" s="14" t="n">
        <v>330</v>
      </c>
      <c r="I248" s="14" t="n">
        <f aca="false">F248-(G248+H248)/2</f>
        <v>-159.697047774195</v>
      </c>
      <c r="J248" s="5" t="str">
        <f aca="false">IF(D248&lt;8,"LOW SAMPLE",IF(F248&gt;H248*(1+Assumptions!$B$10),"UNDERPAID",IF(F248&lt;G248*(1-Assumptions!$B$10),"OVERPAID","FAIR")))</f>
        <v>OVERPAID</v>
      </c>
      <c r="K248" s="5" t="n">
        <v>43</v>
      </c>
    </row>
    <row r="249" customFormat="false" ht="15" hidden="false" customHeight="false" outlineLevel="0" collapsed="false">
      <c r="A249" s="5" t="n">
        <v>2021</v>
      </c>
      <c r="B249" s="5" t="s">
        <v>264</v>
      </c>
      <c r="C249" s="5" t="s">
        <v>288</v>
      </c>
      <c r="D249" s="5" t="n">
        <v>12</v>
      </c>
      <c r="E249" s="13" t="n">
        <v>2.56</v>
      </c>
      <c r="F249" s="14" t="n">
        <f aca="false">E249*Assumptions!$D$4</f>
        <v>331.925928388577</v>
      </c>
      <c r="G249" s="14" t="n">
        <v>215</v>
      </c>
      <c r="H249" s="14" t="n">
        <v>330</v>
      </c>
      <c r="I249" s="14" t="n">
        <f aca="false">F249-(G249+H249)/2</f>
        <v>59.4259283885767</v>
      </c>
      <c r="J249" s="5" t="str">
        <f aca="false">IF(D249&lt;8,"LOW SAMPLE",IF(F249&gt;H249*(1+Assumptions!$B$10),"UNDERPAID",IF(F249&lt;G249*(1-Assumptions!$B$10),"OVERPAID","FAIR")))</f>
        <v>FAIR</v>
      </c>
      <c r="K249" s="5" t="n">
        <v>0</v>
      </c>
    </row>
    <row r="250" customFormat="false" ht="15" hidden="false" customHeight="false" outlineLevel="0" collapsed="false">
      <c r="A250" s="5" t="n">
        <v>2021</v>
      </c>
      <c r="B250" s="5" t="s">
        <v>264</v>
      </c>
      <c r="C250" s="5" t="s">
        <v>289</v>
      </c>
      <c r="D250" s="5" t="n">
        <v>11</v>
      </c>
      <c r="E250" s="13" t="n">
        <v>1.71</v>
      </c>
      <c r="F250" s="14" t="n">
        <f aca="false">E250*Assumptions!$D$4</f>
        <v>221.716147478307</v>
      </c>
      <c r="G250" s="14" t="n">
        <v>330</v>
      </c>
      <c r="H250" s="14" t="n">
        <v>435</v>
      </c>
      <c r="I250" s="14" t="n">
        <f aca="false">F250-(G250+H250)/2</f>
        <v>-160.783852521693</v>
      </c>
      <c r="J250" s="5" t="str">
        <f aca="false">IF(D250&lt;8,"LOW SAMPLE",IF(F250&gt;H250*(1+Assumptions!$B$10),"UNDERPAID",IF(F250&lt;G250*(1-Assumptions!$B$10),"OVERPAID","FAIR")))</f>
        <v>OVERPAID</v>
      </c>
      <c r="K250" s="5" t="n">
        <v>85</v>
      </c>
    </row>
    <row r="251" customFormat="false" ht="15" hidden="false" customHeight="false" outlineLevel="0" collapsed="false">
      <c r="A251" s="5" t="n">
        <v>2021</v>
      </c>
      <c r="B251" s="5" t="s">
        <v>264</v>
      </c>
      <c r="C251" s="5" t="s">
        <v>290</v>
      </c>
      <c r="D251" s="5" t="n">
        <v>21</v>
      </c>
      <c r="E251" s="13" t="n">
        <v>3.28</v>
      </c>
      <c r="F251" s="14" t="n">
        <f aca="false">E251*Assumptions!$D$4</f>
        <v>425.280095747864</v>
      </c>
      <c r="G251" s="14" t="n">
        <v>435</v>
      </c>
      <c r="H251" s="14" t="n">
        <v>590</v>
      </c>
      <c r="I251" s="14" t="n">
        <f aca="false">F251-(G251+H251)/2</f>
        <v>-87.2199042521361</v>
      </c>
      <c r="J251" s="5" t="str">
        <f aca="false">IF(D251&lt;8,"LOW SAMPLE",IF(F251&gt;H251*(1+Assumptions!$B$10),"UNDERPAID",IF(F251&lt;G251*(1-Assumptions!$B$10),"OVERPAID","FAIR")))</f>
        <v>FAIR</v>
      </c>
      <c r="K251" s="5" t="n">
        <v>118</v>
      </c>
    </row>
    <row r="252" customFormat="false" ht="15" hidden="false" customHeight="false" outlineLevel="0" collapsed="false">
      <c r="A252" s="5" t="n">
        <v>2021</v>
      </c>
      <c r="B252" s="5" t="s">
        <v>264</v>
      </c>
      <c r="C252" s="5" t="s">
        <v>291</v>
      </c>
      <c r="D252" s="5" t="n">
        <v>4</v>
      </c>
      <c r="E252" s="13" t="n">
        <v>0.07</v>
      </c>
      <c r="F252" s="14" t="n">
        <f aca="false">E252*Assumptions!$D$4</f>
        <v>9.07609960437515</v>
      </c>
      <c r="G252" s="14" t="n">
        <v>120</v>
      </c>
      <c r="H252" s="14" t="n">
        <v>215</v>
      </c>
      <c r="I252" s="14" t="n">
        <f aca="false">F252-(G252+H252)/2</f>
        <v>-158.423900395625</v>
      </c>
      <c r="J252" s="5" t="str">
        <f aca="false">IF(D252&lt;8,"LOW SAMPLE",IF(F252&gt;H252*(1+Assumptions!$B$10),"UNDERPAID",IF(F252&lt;G252*(1-Assumptions!$B$10),"OVERPAID","FAIR")))</f>
        <v>LOW SAMPLE</v>
      </c>
      <c r="K252" s="5" t="n">
        <v>2</v>
      </c>
    </row>
    <row r="253" customFormat="false" ht="15" hidden="false" customHeight="false" outlineLevel="0" collapsed="false">
      <c r="A253" s="5" t="n">
        <v>2021</v>
      </c>
      <c r="B253" s="5" t="s">
        <v>264</v>
      </c>
      <c r="C253" s="5" t="s">
        <v>292</v>
      </c>
      <c r="D253" s="5" t="n">
        <v>11</v>
      </c>
      <c r="E253" s="13" t="n">
        <v>1.25</v>
      </c>
      <c r="F253" s="14" t="n">
        <f aca="false">E253*Assumptions!$D$4</f>
        <v>162.073207220985</v>
      </c>
      <c r="G253" s="14" t="n">
        <v>330</v>
      </c>
      <c r="H253" s="14" t="n">
        <v>435</v>
      </c>
      <c r="I253" s="14" t="n">
        <f aca="false">F253-(G253+H253)/2</f>
        <v>-220.426792779015</v>
      </c>
      <c r="J253" s="5" t="str">
        <f aca="false">IF(D253&lt;8,"LOW SAMPLE",IF(F253&gt;H253*(1+Assumptions!$B$10),"UNDERPAID",IF(F253&lt;G253*(1-Assumptions!$B$10),"OVERPAID","FAIR")))</f>
        <v>OVERPAID</v>
      </c>
      <c r="K253" s="5" t="n">
        <v>112</v>
      </c>
    </row>
    <row r="254" customFormat="false" ht="15" hidden="false" customHeight="false" outlineLevel="0" collapsed="false">
      <c r="A254" s="5" t="n">
        <v>2021</v>
      </c>
      <c r="B254" s="5" t="s">
        <v>264</v>
      </c>
      <c r="C254" s="5" t="s">
        <v>293</v>
      </c>
      <c r="D254" s="5" t="n">
        <v>15</v>
      </c>
      <c r="E254" s="13" t="n">
        <v>1.54</v>
      </c>
      <c r="F254" s="14" t="n">
        <f aca="false">E254*Assumptions!$D$4</f>
        <v>199.674191296253</v>
      </c>
      <c r="G254" s="14" t="n">
        <v>435</v>
      </c>
      <c r="H254" s="14" t="n">
        <v>590</v>
      </c>
      <c r="I254" s="14" t="n">
        <f aca="false">F254-(G254+H254)/2</f>
        <v>-312.825808703747</v>
      </c>
      <c r="J254" s="5" t="str">
        <f aca="false">IF(D254&lt;8,"LOW SAMPLE",IF(F254&gt;H254*(1+Assumptions!$B$10),"UNDERPAID",IF(F254&lt;G254*(1-Assumptions!$B$10),"OVERPAID","FAIR")))</f>
        <v>OVERPAID</v>
      </c>
      <c r="K254" s="5" t="n">
        <v>146</v>
      </c>
    </row>
    <row r="255" customFormat="false" ht="15" hidden="false" customHeight="false" outlineLevel="0" collapsed="false">
      <c r="A255" s="5" t="n">
        <v>2021</v>
      </c>
      <c r="B255" s="5" t="s">
        <v>264</v>
      </c>
      <c r="C255" s="5" t="s">
        <v>294</v>
      </c>
      <c r="D255" s="5" t="n">
        <v>19</v>
      </c>
      <c r="E255" s="13" t="n">
        <v>3.79</v>
      </c>
      <c r="F255" s="14" t="n">
        <f aca="false">E255*Assumptions!$D$4</f>
        <v>491.405964294026</v>
      </c>
      <c r="G255" s="14" t="n">
        <v>215</v>
      </c>
      <c r="H255" s="14" t="n">
        <v>330</v>
      </c>
      <c r="I255" s="14" t="n">
        <f aca="false">F255-(G255+H255)/2</f>
        <v>218.905964294026</v>
      </c>
      <c r="J255" s="5" t="str">
        <f aca="false">IF(D255&lt;8,"LOW SAMPLE",IF(F255&gt;H255*(1+Assumptions!$B$10),"UNDERPAID",IF(F255&lt;G255*(1-Assumptions!$B$10),"OVERPAID","FAIR")))</f>
        <v>UNDERPAID</v>
      </c>
      <c r="K255" s="5" t="n">
        <v>34</v>
      </c>
    </row>
    <row r="256" customFormat="false" ht="15" hidden="false" customHeight="false" outlineLevel="0" collapsed="false">
      <c r="A256" s="5" t="n">
        <v>2021</v>
      </c>
      <c r="B256" s="5" t="s">
        <v>264</v>
      </c>
      <c r="C256" s="5" t="s">
        <v>295</v>
      </c>
      <c r="D256" s="5" t="n">
        <v>14</v>
      </c>
      <c r="E256" s="13" t="n">
        <v>3.14</v>
      </c>
      <c r="F256" s="14" t="n">
        <f aca="false">E256*Assumptions!$D$4</f>
        <v>407.127896539114</v>
      </c>
      <c r="G256" s="14" t="n">
        <v>330</v>
      </c>
      <c r="H256" s="14" t="n">
        <v>435</v>
      </c>
      <c r="I256" s="14" t="n">
        <f aca="false">F256-(G256+H256)/2</f>
        <v>24.6278965391136</v>
      </c>
      <c r="J256" s="5" t="str">
        <f aca="false">IF(D256&lt;8,"LOW SAMPLE",IF(F256&gt;H256*(1+Assumptions!$B$10),"UNDERPAID",IF(F256&lt;G256*(1-Assumptions!$B$10),"OVERPAID","FAIR")))</f>
        <v>FAIR</v>
      </c>
      <c r="K256" s="5" t="n">
        <v>85</v>
      </c>
    </row>
    <row r="257" customFormat="false" ht="15" hidden="false" customHeight="false" outlineLevel="0" collapsed="false">
      <c r="A257" s="5" t="n">
        <v>2021</v>
      </c>
      <c r="B257" s="5" t="s">
        <v>264</v>
      </c>
      <c r="C257" s="5" t="s">
        <v>296</v>
      </c>
      <c r="D257" s="5" t="n">
        <v>7</v>
      </c>
      <c r="E257" s="13" t="n">
        <v>1.15</v>
      </c>
      <c r="F257" s="14" t="n">
        <f aca="false">E257*Assumptions!$D$4</f>
        <v>149.107350643306</v>
      </c>
      <c r="G257" s="14" t="n">
        <v>590</v>
      </c>
      <c r="H257" s="14" t="n">
        <v>820</v>
      </c>
      <c r="I257" s="14" t="n">
        <f aca="false">F257-(G257+H257)/2</f>
        <v>-555.892649356694</v>
      </c>
      <c r="J257" s="5" t="str">
        <f aca="false">IF(D257&lt;8,"LOW SAMPLE",IF(F257&gt;H257*(1+Assumptions!$B$10),"UNDERPAID",IF(F257&lt;G257*(1-Assumptions!$B$10),"OVERPAID","FAIR")))</f>
        <v>LOW SAMPLE</v>
      </c>
      <c r="K257" s="5" t="n">
        <v>105</v>
      </c>
    </row>
    <row r="258" customFormat="false" ht="15" hidden="false" customHeight="false" outlineLevel="0" collapsed="false">
      <c r="A258" s="5" t="n">
        <v>2021</v>
      </c>
      <c r="B258" s="5" t="s">
        <v>264</v>
      </c>
      <c r="C258" s="5" t="s">
        <v>297</v>
      </c>
      <c r="D258" s="5" t="n">
        <v>13</v>
      </c>
      <c r="E258" s="13" t="n">
        <v>1.3</v>
      </c>
      <c r="F258" s="14" t="n">
        <f aca="false">E258*Assumptions!$D$4</f>
        <v>168.556135509824</v>
      </c>
      <c r="G258" s="14" t="n">
        <v>215</v>
      </c>
      <c r="H258" s="14" t="n">
        <v>330</v>
      </c>
      <c r="I258" s="14" t="n">
        <f aca="false">F258-(G258+H258)/2</f>
        <v>-103.943864490176</v>
      </c>
      <c r="J258" s="5" t="str">
        <f aca="false">IF(D258&lt;8,"LOW SAMPLE",IF(F258&gt;H258*(1+Assumptions!$B$10),"UNDERPAID",IF(F258&lt;G258*(1-Assumptions!$B$10),"OVERPAID","FAIR")))</f>
        <v>OVERPAID</v>
      </c>
      <c r="K258" s="5" t="n">
        <v>0</v>
      </c>
    </row>
    <row r="259" customFormat="false" ht="15" hidden="false" customHeight="false" outlineLevel="0" collapsed="false">
      <c r="A259" s="5" t="n">
        <v>2021</v>
      </c>
      <c r="B259" s="5" t="s">
        <v>264</v>
      </c>
      <c r="C259" s="5" t="s">
        <v>298</v>
      </c>
      <c r="D259" s="5" t="n">
        <v>24</v>
      </c>
      <c r="E259" s="13" t="n">
        <v>5.86</v>
      </c>
      <c r="F259" s="14" t="n">
        <f aca="false">E259*Assumptions!$D$4</f>
        <v>759.799195451976</v>
      </c>
      <c r="G259" s="14" t="n">
        <v>435</v>
      </c>
      <c r="H259" s="14" t="n">
        <v>590</v>
      </c>
      <c r="I259" s="14" t="n">
        <f aca="false">F259-(G259+H259)/2</f>
        <v>247.299195451976</v>
      </c>
      <c r="J259" s="5" t="str">
        <f aca="false">IF(D259&lt;8,"LOW SAMPLE",IF(F259&gt;H259*(1+Assumptions!$B$10),"UNDERPAID",IF(F259&lt;G259*(1-Assumptions!$B$10),"OVERPAID","FAIR")))</f>
        <v>UNDERPAID</v>
      </c>
      <c r="K259" s="5" t="n">
        <v>74</v>
      </c>
    </row>
    <row r="260" customFormat="false" ht="15" hidden="false" customHeight="false" outlineLevel="0" collapsed="false">
      <c r="A260" s="5" t="n">
        <v>2021</v>
      </c>
      <c r="B260" s="5" t="s">
        <v>264</v>
      </c>
      <c r="C260" s="5" t="s">
        <v>299</v>
      </c>
      <c r="D260" s="5" t="n">
        <v>18</v>
      </c>
      <c r="E260" s="13" t="n">
        <v>5.34</v>
      </c>
      <c r="F260" s="14" t="n">
        <f aca="false">E260*Assumptions!$D$4</f>
        <v>692.376741248047</v>
      </c>
      <c r="G260" s="14" t="n">
        <v>435</v>
      </c>
      <c r="H260" s="14" t="n">
        <v>590</v>
      </c>
      <c r="I260" s="14" t="n">
        <f aca="false">F260-(G260+H260)/2</f>
        <v>179.876741248047</v>
      </c>
      <c r="J260" s="5" t="str">
        <f aca="false">IF(D260&lt;8,"LOW SAMPLE",IF(F260&gt;H260*(1+Assumptions!$B$10),"UNDERPAID",IF(F260&lt;G260*(1-Assumptions!$B$10),"OVERPAID","FAIR")))</f>
        <v>UNDERPAID</v>
      </c>
      <c r="K260" s="5" t="n">
        <v>105</v>
      </c>
    </row>
    <row r="261" customFormat="false" ht="15" hidden="false" customHeight="false" outlineLevel="0" collapsed="false">
      <c r="A261" s="5" t="n">
        <v>2021</v>
      </c>
      <c r="B261" s="5" t="s">
        <v>264</v>
      </c>
      <c r="C261" s="5" t="s">
        <v>300</v>
      </c>
      <c r="D261" s="5" t="n">
        <v>18</v>
      </c>
      <c r="E261" s="13" t="n">
        <v>3.25</v>
      </c>
      <c r="F261" s="14" t="n">
        <f aca="false">E261*Assumptions!$D$4</f>
        <v>421.39033877456</v>
      </c>
      <c r="G261" s="14" t="n">
        <v>120</v>
      </c>
      <c r="H261" s="14" t="n">
        <v>215</v>
      </c>
      <c r="I261" s="14" t="n">
        <f aca="false">F261-(G261+H261)/2</f>
        <v>253.89033877456</v>
      </c>
      <c r="J261" s="5" t="str">
        <f aca="false">IF(D261&lt;8,"LOW SAMPLE",IF(F261&gt;H261*(1+Assumptions!$B$10),"UNDERPAID",IF(F261&lt;G261*(1-Assumptions!$B$10),"OVERPAID","FAIR")))</f>
        <v>UNDERPAID</v>
      </c>
      <c r="K261" s="5" t="n">
        <v>6</v>
      </c>
    </row>
    <row r="262" customFormat="false" ht="15" hidden="false" customHeight="false" outlineLevel="0" collapsed="false">
      <c r="A262" s="5" t="n">
        <v>2021</v>
      </c>
      <c r="B262" s="5" t="s">
        <v>264</v>
      </c>
      <c r="C262" s="5" t="s">
        <v>301</v>
      </c>
      <c r="D262" s="5" t="n">
        <v>17</v>
      </c>
      <c r="E262" s="13" t="n">
        <v>1.91</v>
      </c>
      <c r="F262" s="14" t="n">
        <f aca="false">E262*Assumptions!$D$4</f>
        <v>247.647860633665</v>
      </c>
      <c r="G262" s="14" t="n">
        <v>120</v>
      </c>
      <c r="H262" s="14" t="n">
        <v>215</v>
      </c>
      <c r="I262" s="14" t="n">
        <f aca="false">F262-(G262+H262)/2</f>
        <v>80.1478606336647</v>
      </c>
      <c r="J262" s="5" t="str">
        <f aca="false">IF(D262&lt;8,"LOW SAMPLE",IF(F262&gt;H262*(1+Assumptions!$B$10),"UNDERPAID",IF(F262&lt;G262*(1-Assumptions!$B$10),"OVERPAID","FAIR")))</f>
        <v>UNDERPAID</v>
      </c>
      <c r="K262" s="5" t="n">
        <v>2</v>
      </c>
    </row>
    <row r="263" customFormat="false" ht="15" hidden="false" customHeight="false" outlineLevel="0" collapsed="false">
      <c r="A263" s="5" t="n">
        <v>2021</v>
      </c>
      <c r="B263" s="5" t="s">
        <v>264</v>
      </c>
      <c r="C263" s="5" t="s">
        <v>302</v>
      </c>
      <c r="D263" s="5" t="n">
        <v>10</v>
      </c>
      <c r="E263" s="13" t="n">
        <v>1.39</v>
      </c>
      <c r="F263" s="14" t="n">
        <f aca="false">E263*Assumptions!$D$4</f>
        <v>180.225406429735</v>
      </c>
      <c r="G263" s="14" t="n">
        <v>120</v>
      </c>
      <c r="H263" s="14" t="n">
        <v>215</v>
      </c>
      <c r="I263" s="14" t="n">
        <f aca="false">F263-(G263+H263)/2</f>
        <v>12.725406429735</v>
      </c>
      <c r="J263" s="5" t="str">
        <f aca="false">IF(D263&lt;8,"LOW SAMPLE",IF(F263&gt;H263*(1+Assumptions!$B$10),"UNDERPAID",IF(F263&lt;G263*(1-Assumptions!$B$10),"OVERPAID","FAIR")))</f>
        <v>FAIR</v>
      </c>
      <c r="K263" s="5" t="n">
        <v>1</v>
      </c>
    </row>
    <row r="264" customFormat="false" ht="15" hidden="false" customHeight="false" outlineLevel="0" collapsed="false">
      <c r="A264" s="5" t="n">
        <v>2021</v>
      </c>
      <c r="B264" s="5" t="s">
        <v>303</v>
      </c>
      <c r="C264" s="5" t="s">
        <v>304</v>
      </c>
      <c r="D264" s="5" t="n">
        <v>22</v>
      </c>
      <c r="E264" s="13" t="n">
        <v>3.21</v>
      </c>
      <c r="F264" s="14" t="n">
        <f aca="false">E264*Assumptions!$D$4</f>
        <v>416.203996143489</v>
      </c>
      <c r="G264" s="14" t="n">
        <v>120</v>
      </c>
      <c r="H264" s="14" t="n">
        <v>215</v>
      </c>
      <c r="I264" s="14" t="n">
        <f aca="false">F264-(G264+H264)/2</f>
        <v>248.703996143489</v>
      </c>
      <c r="J264" s="5" t="str">
        <f aca="false">IF(D264&lt;8,"LOW SAMPLE",IF(F264&gt;H264*(1+Assumptions!$B$10),"UNDERPAID",IF(F264&lt;G264*(1-Assumptions!$B$10),"OVERPAID","FAIR")))</f>
        <v>UNDERPAID</v>
      </c>
      <c r="K264" s="5" t="n">
        <v>8</v>
      </c>
    </row>
    <row r="265" customFormat="false" ht="15" hidden="false" customHeight="false" outlineLevel="0" collapsed="false">
      <c r="A265" s="5" t="n">
        <v>2021</v>
      </c>
      <c r="B265" s="5" t="s">
        <v>303</v>
      </c>
      <c r="C265" s="5" t="s">
        <v>305</v>
      </c>
      <c r="D265" s="5" t="n">
        <v>23</v>
      </c>
      <c r="E265" s="13" t="n">
        <v>4.42</v>
      </c>
      <c r="F265" s="14" t="n">
        <f aca="false">E265*Assumptions!$D$4</f>
        <v>573.090860733402</v>
      </c>
      <c r="G265" s="14" t="n">
        <v>435</v>
      </c>
      <c r="H265" s="14" t="n">
        <v>590</v>
      </c>
      <c r="I265" s="14" t="n">
        <f aca="false">F265-(G265+H265)/2</f>
        <v>60.590860733402</v>
      </c>
      <c r="J265" s="5" t="str">
        <f aca="false">IF(D265&lt;8,"LOW SAMPLE",IF(F265&gt;H265*(1+Assumptions!$B$10),"UNDERPAID",IF(F265&lt;G265*(1-Assumptions!$B$10),"OVERPAID","FAIR")))</f>
        <v>FAIR</v>
      </c>
      <c r="K265" s="5" t="n">
        <v>72</v>
      </c>
    </row>
    <row r="266" customFormat="false" ht="15" hidden="false" customHeight="false" outlineLevel="0" collapsed="false">
      <c r="A266" s="5" t="n">
        <v>2021</v>
      </c>
      <c r="B266" s="5" t="s">
        <v>303</v>
      </c>
      <c r="C266" s="5" t="s">
        <v>306</v>
      </c>
      <c r="D266" s="5" t="n">
        <v>23</v>
      </c>
      <c r="E266" s="13" t="n">
        <v>5.19</v>
      </c>
      <c r="F266" s="14" t="n">
        <f aca="false">E266*Assumptions!$D$4</f>
        <v>672.927956381529</v>
      </c>
      <c r="G266" s="14" t="n">
        <v>435</v>
      </c>
      <c r="H266" s="14" t="n">
        <v>590</v>
      </c>
      <c r="I266" s="14" t="n">
        <f aca="false">F266-(G266+H266)/2</f>
        <v>160.427956381529</v>
      </c>
      <c r="J266" s="5" t="str">
        <f aca="false">IF(D266&lt;8,"LOW SAMPLE",IF(F266&gt;H266*(1+Assumptions!$B$10),"UNDERPAID",IF(F266&lt;G266*(1-Assumptions!$B$10),"OVERPAID","FAIR")))</f>
        <v>FAIR</v>
      </c>
      <c r="K266" s="5" t="n">
        <v>118</v>
      </c>
    </row>
    <row r="267" customFormat="false" ht="15" hidden="false" customHeight="false" outlineLevel="0" collapsed="false">
      <c r="A267" s="5" t="n">
        <v>2021</v>
      </c>
      <c r="B267" s="5" t="s">
        <v>303</v>
      </c>
      <c r="C267" s="5" t="s">
        <v>307</v>
      </c>
      <c r="D267" s="5" t="n">
        <v>3</v>
      </c>
      <c r="E267" s="13" t="n">
        <v>0.27</v>
      </c>
      <c r="F267" s="14" t="n">
        <f aca="false">E267*Assumptions!$D$4</f>
        <v>35.0078127597327</v>
      </c>
      <c r="G267" s="14" t="n">
        <v>120</v>
      </c>
      <c r="H267" s="14" t="n">
        <v>215</v>
      </c>
      <c r="I267" s="14" t="n">
        <f aca="false">F267-(G267+H267)/2</f>
        <v>-132.492187240267</v>
      </c>
      <c r="J267" s="5" t="str">
        <f aca="false">IF(D267&lt;8,"LOW SAMPLE",IF(F267&gt;H267*(1+Assumptions!$B$10),"UNDERPAID",IF(F267&lt;G267*(1-Assumptions!$B$10),"OVERPAID","FAIR")))</f>
        <v>LOW SAMPLE</v>
      </c>
      <c r="K267" s="5" t="n">
        <v>9</v>
      </c>
    </row>
    <row r="268" customFormat="false" ht="15" hidden="false" customHeight="false" outlineLevel="0" collapsed="false">
      <c r="A268" s="5" t="n">
        <v>2021</v>
      </c>
      <c r="B268" s="5" t="s">
        <v>303</v>
      </c>
      <c r="C268" s="5" t="s">
        <v>308</v>
      </c>
      <c r="D268" s="5" t="n">
        <v>15</v>
      </c>
      <c r="E268" s="13" t="n">
        <v>2.48</v>
      </c>
      <c r="F268" s="14" t="n">
        <f aca="false">E268*Assumptions!$D$4</f>
        <v>321.553243126434</v>
      </c>
      <c r="G268" s="14" t="n">
        <v>330</v>
      </c>
      <c r="H268" s="14" t="n">
        <v>435</v>
      </c>
      <c r="I268" s="14" t="n">
        <f aca="false">F268-(G268+H268)/2</f>
        <v>-60.9467568735663</v>
      </c>
      <c r="J268" s="5" t="str">
        <f aca="false">IF(D268&lt;8,"LOW SAMPLE",IF(F268&gt;H268*(1+Assumptions!$B$10),"UNDERPAID",IF(F268&lt;G268*(1-Assumptions!$B$10),"OVERPAID","FAIR")))</f>
        <v>FAIR</v>
      </c>
      <c r="K268" s="5" t="n">
        <v>40</v>
      </c>
    </row>
    <row r="269" customFormat="false" ht="15" hidden="false" customHeight="false" outlineLevel="0" collapsed="false">
      <c r="A269" s="5" t="n">
        <v>2021</v>
      </c>
      <c r="B269" s="5" t="s">
        <v>303</v>
      </c>
      <c r="C269" s="5" t="s">
        <v>309</v>
      </c>
      <c r="D269" s="5" t="n">
        <v>2</v>
      </c>
      <c r="E269" s="13" t="n">
        <v>0.15</v>
      </c>
      <c r="F269" s="14" t="n">
        <f aca="false">E269*Assumptions!$D$4</f>
        <v>19.4487848665182</v>
      </c>
      <c r="G269" s="14" t="n">
        <v>215</v>
      </c>
      <c r="H269" s="14" t="n">
        <v>330</v>
      </c>
      <c r="I269" s="14" t="n">
        <f aca="false">F269-(G269+H269)/2</f>
        <v>-253.051215133482</v>
      </c>
      <c r="J269" s="5" t="str">
        <f aca="false">IF(D269&lt;8,"LOW SAMPLE",IF(F269&gt;H269*(1+Assumptions!$B$10),"UNDERPAID",IF(F269&lt;G269*(1-Assumptions!$B$10),"OVERPAID","FAIR")))</f>
        <v>LOW SAMPLE</v>
      </c>
      <c r="K269" s="5" t="n">
        <v>0</v>
      </c>
    </row>
    <row r="270" customFormat="false" ht="15" hidden="false" customHeight="false" outlineLevel="0" collapsed="false">
      <c r="A270" s="5" t="n">
        <v>2021</v>
      </c>
      <c r="B270" s="5" t="s">
        <v>303</v>
      </c>
      <c r="C270" s="5" t="s">
        <v>310</v>
      </c>
      <c r="D270" s="5" t="n">
        <v>21</v>
      </c>
      <c r="E270" s="13" t="n">
        <v>3.79</v>
      </c>
      <c r="F270" s="14" t="n">
        <f aca="false">E270*Assumptions!$D$4</f>
        <v>491.405964294026</v>
      </c>
      <c r="G270" s="14" t="n">
        <v>330</v>
      </c>
      <c r="H270" s="14" t="n">
        <v>435</v>
      </c>
      <c r="I270" s="14" t="n">
        <f aca="false">F270-(G270+H270)/2</f>
        <v>108.905964294026</v>
      </c>
      <c r="J270" s="5" t="str">
        <f aca="false">IF(D270&lt;8,"LOW SAMPLE",IF(F270&gt;H270*(1+Assumptions!$B$10),"UNDERPAID",IF(F270&lt;G270*(1-Assumptions!$B$10),"OVERPAID","FAIR")))</f>
        <v>FAIR</v>
      </c>
      <c r="K270" s="5" t="n">
        <v>101</v>
      </c>
    </row>
    <row r="271" customFormat="false" ht="15" hidden="false" customHeight="false" outlineLevel="0" collapsed="false">
      <c r="A271" s="5" t="n">
        <v>2021</v>
      </c>
      <c r="B271" s="5" t="s">
        <v>303</v>
      </c>
      <c r="C271" s="5" t="s">
        <v>311</v>
      </c>
      <c r="D271" s="5" t="n">
        <v>15</v>
      </c>
      <c r="E271" s="13" t="n">
        <v>1.98</v>
      </c>
      <c r="F271" s="14" t="n">
        <f aca="false">E271*Assumptions!$D$4</f>
        <v>256.72396023804</v>
      </c>
      <c r="G271" s="14" t="n">
        <v>435</v>
      </c>
      <c r="H271" s="14" t="n">
        <v>590</v>
      </c>
      <c r="I271" s="14" t="n">
        <f aca="false">F271-(G271+H271)/2</f>
        <v>-255.77603976196</v>
      </c>
      <c r="J271" s="5" t="str">
        <f aca="false">IF(D271&lt;8,"LOW SAMPLE",IF(F271&gt;H271*(1+Assumptions!$B$10),"UNDERPAID",IF(F271&lt;G271*(1-Assumptions!$B$10),"OVERPAID","FAIR")))</f>
        <v>OVERPAID</v>
      </c>
      <c r="K271" s="5" t="n">
        <v>46</v>
      </c>
    </row>
    <row r="272" customFormat="false" ht="15" hidden="false" customHeight="false" outlineLevel="0" collapsed="false">
      <c r="A272" s="5" t="n">
        <v>2021</v>
      </c>
      <c r="B272" s="5" t="s">
        <v>303</v>
      </c>
      <c r="C272" s="5" t="s">
        <v>312</v>
      </c>
      <c r="D272" s="5" t="n">
        <v>24</v>
      </c>
      <c r="E272" s="13" t="n">
        <v>5.22</v>
      </c>
      <c r="F272" s="14" t="n">
        <f aca="false">E272*Assumptions!$D$4</f>
        <v>676.817713354832</v>
      </c>
      <c r="G272" s="14" t="n">
        <v>330</v>
      </c>
      <c r="H272" s="14" t="n">
        <v>435</v>
      </c>
      <c r="I272" s="14" t="n">
        <f aca="false">F272-(G272+H272)/2</f>
        <v>294.317713354832</v>
      </c>
      <c r="J272" s="5" t="str">
        <f aca="false">IF(D272&lt;8,"LOW SAMPLE",IF(F272&gt;H272*(1+Assumptions!$B$10),"UNDERPAID",IF(F272&lt;G272*(1-Assumptions!$B$10),"OVERPAID","FAIR")))</f>
        <v>UNDERPAID</v>
      </c>
      <c r="K272" s="5" t="n">
        <v>124</v>
      </c>
    </row>
    <row r="273" customFormat="false" ht="15" hidden="false" customHeight="false" outlineLevel="0" collapsed="false">
      <c r="A273" s="5" t="n">
        <v>2021</v>
      </c>
      <c r="B273" s="5" t="s">
        <v>303</v>
      </c>
      <c r="C273" s="5" t="s">
        <v>313</v>
      </c>
      <c r="D273" s="5" t="n">
        <v>24</v>
      </c>
      <c r="E273" s="13" t="n">
        <v>4.66</v>
      </c>
      <c r="F273" s="14" t="n">
        <f aca="false">E273*Assumptions!$D$4</f>
        <v>604.208916519831</v>
      </c>
      <c r="G273" s="14" t="n">
        <v>435</v>
      </c>
      <c r="H273" s="14" t="n">
        <v>590</v>
      </c>
      <c r="I273" s="14" t="n">
        <f aca="false">F273-(G273+H273)/2</f>
        <v>91.7089165198311</v>
      </c>
      <c r="J273" s="5" t="str">
        <f aca="false">IF(D273&lt;8,"LOW SAMPLE",IF(F273&gt;H273*(1+Assumptions!$B$10),"UNDERPAID",IF(F273&lt;G273*(1-Assumptions!$B$10),"OVERPAID","FAIR")))</f>
        <v>FAIR</v>
      </c>
      <c r="K273" s="5" t="n">
        <v>66</v>
      </c>
    </row>
    <row r="274" customFormat="false" ht="15" hidden="false" customHeight="false" outlineLevel="0" collapsed="false">
      <c r="A274" s="5" t="n">
        <v>2021</v>
      </c>
      <c r="B274" s="5" t="s">
        <v>303</v>
      </c>
      <c r="C274" s="5" t="s">
        <v>314</v>
      </c>
      <c r="D274" s="5" t="n">
        <v>22</v>
      </c>
      <c r="E274" s="13" t="n">
        <v>3.06</v>
      </c>
      <c r="F274" s="14" t="n">
        <f aca="false">E274*Assumptions!$D$4</f>
        <v>396.755211276971</v>
      </c>
      <c r="G274" s="14" t="n">
        <v>330</v>
      </c>
      <c r="H274" s="14" t="n">
        <v>435</v>
      </c>
      <c r="I274" s="14" t="n">
        <f aca="false">F274-(G274+H274)/2</f>
        <v>14.2552112769706</v>
      </c>
      <c r="J274" s="5" t="str">
        <f aca="false">IF(D274&lt;8,"LOW SAMPLE",IF(F274&gt;H274*(1+Assumptions!$B$10),"UNDERPAID",IF(F274&lt;G274*(1-Assumptions!$B$10),"OVERPAID","FAIR")))</f>
        <v>FAIR</v>
      </c>
      <c r="K274" s="5" t="n">
        <v>110</v>
      </c>
    </row>
    <row r="275" customFormat="false" ht="15" hidden="false" customHeight="false" outlineLevel="0" collapsed="false">
      <c r="A275" s="5" t="n">
        <v>2021</v>
      </c>
      <c r="B275" s="5" t="s">
        <v>303</v>
      </c>
      <c r="C275" s="5" t="s">
        <v>315</v>
      </c>
      <c r="D275" s="5" t="n">
        <v>25</v>
      </c>
      <c r="E275" s="13" t="n">
        <v>2.88</v>
      </c>
      <c r="F275" s="14" t="n">
        <f aca="false">E275*Assumptions!$D$4</f>
        <v>373.416669437149</v>
      </c>
      <c r="G275" s="14" t="n">
        <v>330</v>
      </c>
      <c r="H275" s="14" t="n">
        <v>435</v>
      </c>
      <c r="I275" s="14" t="n">
        <f aca="false">F275-(G275+H275)/2</f>
        <v>-9.08333056285119</v>
      </c>
      <c r="J275" s="5" t="str">
        <f aca="false">IF(D275&lt;8,"LOW SAMPLE",IF(F275&gt;H275*(1+Assumptions!$B$10),"UNDERPAID",IF(F275&lt;G275*(1-Assumptions!$B$10),"OVERPAID","FAIR")))</f>
        <v>FAIR</v>
      </c>
      <c r="K275" s="5" t="n">
        <v>96</v>
      </c>
    </row>
    <row r="276" customFormat="false" ht="15" hidden="false" customHeight="false" outlineLevel="0" collapsed="false">
      <c r="A276" s="5" t="n">
        <v>2021</v>
      </c>
      <c r="B276" s="5" t="s">
        <v>303</v>
      </c>
      <c r="C276" s="5" t="s">
        <v>316</v>
      </c>
      <c r="D276" s="5" t="n">
        <v>15</v>
      </c>
      <c r="E276" s="13" t="n">
        <v>3.36</v>
      </c>
      <c r="F276" s="14" t="n">
        <f aca="false">E276*Assumptions!$D$4</f>
        <v>435.652781010007</v>
      </c>
      <c r="G276" s="14" t="n">
        <v>590</v>
      </c>
      <c r="H276" s="14" t="n">
        <v>820</v>
      </c>
      <c r="I276" s="14" t="n">
        <f aca="false">F276-(G276+H276)/2</f>
        <v>-269.347218989993</v>
      </c>
      <c r="J276" s="5" t="str">
        <f aca="false">IF(D276&lt;8,"LOW SAMPLE",IF(F276&gt;H276*(1+Assumptions!$B$10),"UNDERPAID",IF(F276&lt;G276*(1-Assumptions!$B$10),"OVERPAID","FAIR")))</f>
        <v>OVERPAID</v>
      </c>
      <c r="K276" s="5" t="n">
        <v>120</v>
      </c>
    </row>
    <row r="277" customFormat="false" ht="15" hidden="false" customHeight="false" outlineLevel="0" collapsed="false">
      <c r="A277" s="5" t="n">
        <v>2021</v>
      </c>
      <c r="B277" s="5" t="s">
        <v>303</v>
      </c>
      <c r="C277" s="5" t="s">
        <v>317</v>
      </c>
      <c r="D277" s="5" t="n">
        <v>24</v>
      </c>
      <c r="E277" s="13" t="n">
        <v>5.83</v>
      </c>
      <c r="F277" s="14" t="n">
        <f aca="false">E277*Assumptions!$D$4</f>
        <v>755.909438478673</v>
      </c>
      <c r="G277" s="14" t="n">
        <v>590</v>
      </c>
      <c r="H277" s="14" t="n">
        <v>820</v>
      </c>
      <c r="I277" s="14" t="n">
        <f aca="false">F277-(G277+H277)/2</f>
        <v>50.9094384786728</v>
      </c>
      <c r="J277" s="5" t="str">
        <f aca="false">IF(D277&lt;8,"LOW SAMPLE",IF(F277&gt;H277*(1+Assumptions!$B$10),"UNDERPAID",IF(F277&lt;G277*(1-Assumptions!$B$10),"OVERPAID","FAIR")))</f>
        <v>FAIR</v>
      </c>
      <c r="K277" s="5" t="n">
        <v>126</v>
      </c>
    </row>
    <row r="278" customFormat="false" ht="15" hidden="false" customHeight="false" outlineLevel="0" collapsed="false">
      <c r="A278" s="5" t="n">
        <v>2021</v>
      </c>
      <c r="B278" s="5" t="s">
        <v>303</v>
      </c>
      <c r="C278" s="5" t="s">
        <v>318</v>
      </c>
      <c r="D278" s="5" t="n">
        <v>11</v>
      </c>
      <c r="E278" s="13" t="n">
        <v>1.07</v>
      </c>
      <c r="F278" s="14" t="n">
        <f aca="false">E278*Assumptions!$D$4</f>
        <v>138.734665381163</v>
      </c>
      <c r="G278" s="14" t="n">
        <v>120</v>
      </c>
      <c r="H278" s="14" t="n">
        <v>215</v>
      </c>
      <c r="I278" s="14" t="n">
        <f aca="false">F278-(G278+H278)/2</f>
        <v>-28.7653346188371</v>
      </c>
      <c r="J278" s="5" t="str">
        <f aca="false">IF(D278&lt;8,"LOW SAMPLE",IF(F278&gt;H278*(1+Assumptions!$B$10),"UNDERPAID",IF(F278&lt;G278*(1-Assumptions!$B$10),"OVERPAID","FAIR")))</f>
        <v>FAIR</v>
      </c>
      <c r="K278" s="5" t="n">
        <v>21</v>
      </c>
    </row>
    <row r="279" customFormat="false" ht="15" hidden="false" customHeight="false" outlineLevel="0" collapsed="false">
      <c r="A279" s="5" t="n">
        <v>2021</v>
      </c>
      <c r="B279" s="5" t="s">
        <v>303</v>
      </c>
      <c r="C279" s="5" t="s">
        <v>319</v>
      </c>
      <c r="D279" s="5" t="n">
        <v>1</v>
      </c>
      <c r="E279" s="13" t="n">
        <v>0.15</v>
      </c>
      <c r="F279" s="14" t="n">
        <f aca="false">E279*Assumptions!$D$4</f>
        <v>19.4487848665182</v>
      </c>
      <c r="G279" s="14" t="n">
        <v>330</v>
      </c>
      <c r="H279" s="14" t="n">
        <v>435</v>
      </c>
      <c r="I279" s="14" t="n">
        <f aca="false">F279-(G279+H279)/2</f>
        <v>-363.051215133482</v>
      </c>
      <c r="J279" s="5" t="str">
        <f aca="false">IF(D279&lt;8,"LOW SAMPLE",IF(F279&gt;H279*(1+Assumptions!$B$10),"UNDERPAID",IF(F279&lt;G279*(1-Assumptions!$B$10),"OVERPAID","FAIR")))</f>
        <v>LOW SAMPLE</v>
      </c>
      <c r="K279" s="5" t="n">
        <v>100</v>
      </c>
    </row>
    <row r="280" customFormat="false" ht="15" hidden="false" customHeight="false" outlineLevel="0" collapsed="false">
      <c r="A280" s="5" t="n">
        <v>2021</v>
      </c>
      <c r="B280" s="5" t="s">
        <v>303</v>
      </c>
      <c r="C280" s="5" t="s">
        <v>320</v>
      </c>
      <c r="D280" s="5" t="n">
        <v>21</v>
      </c>
      <c r="E280" s="13" t="n">
        <v>4.35</v>
      </c>
      <c r="F280" s="14" t="n">
        <f aca="false">E280*Assumptions!$D$4</f>
        <v>564.014761129027</v>
      </c>
      <c r="G280" s="14" t="n">
        <v>215</v>
      </c>
      <c r="H280" s="14" t="n">
        <v>330</v>
      </c>
      <c r="I280" s="14" t="n">
        <f aca="false">F280-(G280+H280)/2</f>
        <v>291.514761129027</v>
      </c>
      <c r="J280" s="5" t="str">
        <f aca="false">IF(D280&lt;8,"LOW SAMPLE",IF(F280&gt;H280*(1+Assumptions!$B$10),"UNDERPAID",IF(F280&lt;G280*(1-Assumptions!$B$10),"OVERPAID","FAIR")))</f>
        <v>UNDERPAID</v>
      </c>
      <c r="K280" s="5" t="n">
        <v>84</v>
      </c>
    </row>
    <row r="281" customFormat="false" ht="15" hidden="false" customHeight="false" outlineLevel="0" collapsed="false">
      <c r="A281" s="5" t="n">
        <v>2021</v>
      </c>
      <c r="B281" s="5" t="s">
        <v>303</v>
      </c>
      <c r="C281" s="5" t="s">
        <v>321</v>
      </c>
      <c r="D281" s="5" t="n">
        <v>21</v>
      </c>
      <c r="E281" s="13" t="n">
        <v>2.68</v>
      </c>
      <c r="F281" s="14" t="n">
        <f aca="false">E281*Assumptions!$D$4</f>
        <v>347.484956281791</v>
      </c>
      <c r="G281" s="14" t="n">
        <v>330</v>
      </c>
      <c r="H281" s="14" t="n">
        <v>435</v>
      </c>
      <c r="I281" s="14" t="n">
        <f aca="false">F281-(G281+H281)/2</f>
        <v>-35.0150437182087</v>
      </c>
      <c r="J281" s="5" t="str">
        <f aca="false">IF(D281&lt;8,"LOW SAMPLE",IF(F281&gt;H281*(1+Assumptions!$B$10),"UNDERPAID",IF(F281&lt;G281*(1-Assumptions!$B$10),"OVERPAID","FAIR")))</f>
        <v>FAIR</v>
      </c>
      <c r="K281" s="5" t="n">
        <v>123</v>
      </c>
    </row>
    <row r="282" customFormat="false" ht="15" hidden="false" customHeight="false" outlineLevel="0" collapsed="false">
      <c r="A282" s="5" t="n">
        <v>2021</v>
      </c>
      <c r="B282" s="5" t="s">
        <v>303</v>
      </c>
      <c r="C282" s="5" t="s">
        <v>322</v>
      </c>
      <c r="D282" s="5" t="n">
        <v>24</v>
      </c>
      <c r="E282" s="13" t="n">
        <v>5.21</v>
      </c>
      <c r="F282" s="14" t="n">
        <f aca="false">E282*Assumptions!$D$4</f>
        <v>675.521127697064</v>
      </c>
      <c r="G282" s="14" t="n">
        <v>590</v>
      </c>
      <c r="H282" s="14" t="n">
        <v>820</v>
      </c>
      <c r="I282" s="14" t="n">
        <f aca="false">F282-(G282+H282)/2</f>
        <v>-29.4788723029357</v>
      </c>
      <c r="J282" s="5" t="str">
        <f aca="false">IF(D282&lt;8,"LOW SAMPLE",IF(F282&gt;H282*(1+Assumptions!$B$10),"UNDERPAID",IF(F282&lt;G282*(1-Assumptions!$B$10),"OVERPAID","FAIR")))</f>
        <v>FAIR</v>
      </c>
      <c r="K282" s="5" t="n">
        <v>134</v>
      </c>
    </row>
    <row r="283" customFormat="false" ht="15" hidden="false" customHeight="false" outlineLevel="0" collapsed="false">
      <c r="A283" s="5" t="n">
        <v>2021</v>
      </c>
      <c r="B283" s="5" t="s">
        <v>303</v>
      </c>
      <c r="C283" s="5" t="s">
        <v>323</v>
      </c>
      <c r="D283" s="5" t="n">
        <v>14</v>
      </c>
      <c r="E283" s="13" t="n">
        <v>2.03</v>
      </c>
      <c r="F283" s="14" t="n">
        <f aca="false">E283*Assumptions!$D$4</f>
        <v>263.206888526879</v>
      </c>
      <c r="G283" s="14" t="n">
        <v>330</v>
      </c>
      <c r="H283" s="14" t="n">
        <v>435</v>
      </c>
      <c r="I283" s="14" t="n">
        <f aca="false">F283-(G283+H283)/2</f>
        <v>-119.293111473121</v>
      </c>
      <c r="J283" s="5" t="str">
        <f aca="false">IF(D283&lt;8,"LOW SAMPLE",IF(F283&gt;H283*(1+Assumptions!$B$10),"UNDERPAID",IF(F283&lt;G283*(1-Assumptions!$B$10),"OVERPAID","FAIR")))</f>
        <v>OVERPAID</v>
      </c>
      <c r="K283" s="5" t="n">
        <v>51</v>
      </c>
    </row>
    <row r="284" customFormat="false" ht="15" hidden="false" customHeight="false" outlineLevel="0" collapsed="false">
      <c r="A284" s="5" t="n">
        <v>2021</v>
      </c>
      <c r="B284" s="5" t="s">
        <v>303</v>
      </c>
      <c r="C284" s="5" t="s">
        <v>324</v>
      </c>
      <c r="D284" s="5" t="n">
        <v>12</v>
      </c>
      <c r="E284" s="13" t="n">
        <v>1.24</v>
      </c>
      <c r="F284" s="14" t="n">
        <f aca="false">E284*Assumptions!$D$4</f>
        <v>160.776621563217</v>
      </c>
      <c r="G284" s="14" t="n">
        <v>215</v>
      </c>
      <c r="H284" s="14" t="n">
        <v>330</v>
      </c>
      <c r="I284" s="14" t="n">
        <f aca="false">F284-(G284+H284)/2</f>
        <v>-111.723378436783</v>
      </c>
      <c r="J284" s="5" t="str">
        <f aca="false">IF(D284&lt;8,"LOW SAMPLE",IF(F284&gt;H284*(1+Assumptions!$B$10),"UNDERPAID",IF(F284&lt;G284*(1-Assumptions!$B$10),"OVERPAID","FAIR")))</f>
        <v>OVERPAID</v>
      </c>
      <c r="K284" s="5" t="n">
        <v>0</v>
      </c>
    </row>
    <row r="285" customFormat="false" ht="15" hidden="false" customHeight="false" outlineLevel="0" collapsed="false">
      <c r="A285" s="5" t="n">
        <v>2021</v>
      </c>
      <c r="B285" s="5" t="s">
        <v>303</v>
      </c>
      <c r="C285" s="5" t="s">
        <v>325</v>
      </c>
      <c r="D285" s="5" t="n">
        <v>13</v>
      </c>
      <c r="E285" s="13" t="n">
        <v>2.79</v>
      </c>
      <c r="F285" s="14" t="n">
        <f aca="false">E285*Assumptions!$D$4</f>
        <v>361.747398517238</v>
      </c>
      <c r="G285" s="14" t="n">
        <v>590</v>
      </c>
      <c r="H285" s="14" t="n">
        <v>820</v>
      </c>
      <c r="I285" s="14" t="n">
        <f aca="false">F285-(G285+H285)/2</f>
        <v>-343.252601482762</v>
      </c>
      <c r="J285" s="5" t="str">
        <f aca="false">IF(D285&lt;8,"LOW SAMPLE",IF(F285&gt;H285*(1+Assumptions!$B$10),"UNDERPAID",IF(F285&lt;G285*(1-Assumptions!$B$10),"OVERPAID","FAIR")))</f>
        <v>OVERPAID</v>
      </c>
      <c r="K285" s="5" t="n">
        <v>123</v>
      </c>
    </row>
    <row r="286" customFormat="false" ht="15" hidden="false" customHeight="false" outlineLevel="0" collapsed="false">
      <c r="A286" s="5" t="n">
        <v>2021</v>
      </c>
      <c r="B286" s="5" t="s">
        <v>303</v>
      </c>
      <c r="C286" s="5" t="s">
        <v>326</v>
      </c>
      <c r="D286" s="5" t="n">
        <v>2</v>
      </c>
      <c r="E286" s="13" t="n">
        <v>0.27</v>
      </c>
      <c r="F286" s="14" t="n">
        <f aca="false">E286*Assumptions!$D$4</f>
        <v>35.0078127597327</v>
      </c>
      <c r="G286" s="14" t="n">
        <v>215</v>
      </c>
      <c r="H286" s="14" t="n">
        <v>330</v>
      </c>
      <c r="I286" s="14" t="n">
        <f aca="false">F286-(G286+H286)/2</f>
        <v>-237.492187240267</v>
      </c>
      <c r="J286" s="5" t="str">
        <f aca="false">IF(D286&lt;8,"LOW SAMPLE",IF(F286&gt;H286*(1+Assumptions!$B$10),"UNDERPAID",IF(F286&lt;G286*(1-Assumptions!$B$10),"OVERPAID","FAIR")))</f>
        <v>LOW SAMPLE</v>
      </c>
      <c r="K286" s="5" t="n">
        <v>0</v>
      </c>
    </row>
    <row r="287" customFormat="false" ht="15" hidden="false" customHeight="false" outlineLevel="0" collapsed="false">
      <c r="A287" s="5" t="n">
        <v>2021</v>
      </c>
      <c r="B287" s="5" t="s">
        <v>303</v>
      </c>
      <c r="C287" s="5" t="s">
        <v>327</v>
      </c>
      <c r="D287" s="5" t="n">
        <v>16</v>
      </c>
      <c r="E287" s="13" t="n">
        <v>4.89</v>
      </c>
      <c r="F287" s="14" t="n">
        <f aca="false">E287*Assumptions!$D$4</f>
        <v>634.030386648492</v>
      </c>
      <c r="G287" s="14" t="n">
        <v>1125</v>
      </c>
      <c r="H287" s="14" t="n">
        <v>1470</v>
      </c>
      <c r="I287" s="14" t="n">
        <f aca="false">F287-(G287+H287)/2</f>
        <v>-663.469613351508</v>
      </c>
      <c r="J287" s="5" t="str">
        <f aca="false">IF(D287&lt;8,"LOW SAMPLE",IF(F287&gt;H287*(1+Assumptions!$B$10),"UNDERPAID",IF(F287&lt;G287*(1-Assumptions!$B$10),"OVERPAID","FAIR")))</f>
        <v>OVERPAID</v>
      </c>
      <c r="K287" s="5" t="n">
        <v>138</v>
      </c>
    </row>
    <row r="288" customFormat="false" ht="15" hidden="false" customHeight="false" outlineLevel="0" collapsed="false">
      <c r="A288" s="5" t="n">
        <v>2021</v>
      </c>
      <c r="B288" s="5" t="s">
        <v>303</v>
      </c>
      <c r="C288" s="5" t="s">
        <v>328</v>
      </c>
      <c r="D288" s="5" t="n">
        <v>16</v>
      </c>
      <c r="E288" s="13" t="n">
        <v>1.85</v>
      </c>
      <c r="F288" s="14" t="n">
        <f aca="false">E288*Assumptions!$D$4</f>
        <v>239.868346687057</v>
      </c>
      <c r="G288" s="14" t="n">
        <v>120</v>
      </c>
      <c r="H288" s="14" t="n">
        <v>215</v>
      </c>
      <c r="I288" s="14" t="n">
        <f aca="false">F288-(G288+H288)/2</f>
        <v>72.3683466870574</v>
      </c>
      <c r="J288" s="5" t="str">
        <f aca="false">IF(D288&lt;8,"LOW SAMPLE",IF(F288&gt;H288*(1+Assumptions!$B$10),"UNDERPAID",IF(F288&lt;G288*(1-Assumptions!$B$10),"OVERPAID","FAIR")))</f>
        <v>FAIR</v>
      </c>
      <c r="K288" s="5" t="n">
        <v>17</v>
      </c>
    </row>
    <row r="289" customFormat="false" ht="15" hidden="false" customHeight="false" outlineLevel="0" collapsed="false">
      <c r="A289" s="5" t="n">
        <v>2021</v>
      </c>
      <c r="B289" s="5" t="s">
        <v>303</v>
      </c>
      <c r="C289" s="5" t="s">
        <v>329</v>
      </c>
      <c r="D289" s="5" t="n">
        <v>19</v>
      </c>
      <c r="E289" s="13" t="n">
        <v>4.3</v>
      </c>
      <c r="F289" s="14" t="n">
        <f aca="false">E289*Assumptions!$D$4</f>
        <v>557.531832840188</v>
      </c>
      <c r="G289" s="14" t="n">
        <v>435</v>
      </c>
      <c r="H289" s="14" t="n">
        <v>590</v>
      </c>
      <c r="I289" s="14" t="n">
        <f aca="false">F289-(G289+H289)/2</f>
        <v>45.0318328401875</v>
      </c>
      <c r="J289" s="5" t="str">
        <f aca="false">IF(D289&lt;8,"LOW SAMPLE",IF(F289&gt;H289*(1+Assumptions!$B$10),"UNDERPAID",IF(F289&lt;G289*(1-Assumptions!$B$10),"OVERPAID","FAIR")))</f>
        <v>FAIR</v>
      </c>
      <c r="K289" s="5" t="n">
        <v>86</v>
      </c>
    </row>
    <row r="290" customFormat="false" ht="15" hidden="false" customHeight="false" outlineLevel="0" collapsed="false">
      <c r="A290" s="5" t="n">
        <v>2021</v>
      </c>
      <c r="B290" s="5" t="s">
        <v>303</v>
      </c>
      <c r="C290" s="5" t="s">
        <v>330</v>
      </c>
      <c r="D290" s="5" t="n">
        <v>1</v>
      </c>
      <c r="E290" s="13" t="n">
        <v>0.1</v>
      </c>
      <c r="F290" s="14" t="n">
        <f aca="false">E290*Assumptions!$D$4</f>
        <v>12.9658565776788</v>
      </c>
      <c r="G290" s="14" t="n">
        <v>215</v>
      </c>
      <c r="H290" s="14" t="n">
        <v>330</v>
      </c>
      <c r="I290" s="14" t="n">
        <f aca="false">F290-(G290+H290)/2</f>
        <v>-259.534143422321</v>
      </c>
      <c r="J290" s="5" t="str">
        <f aca="false">IF(D290&lt;8,"LOW SAMPLE",IF(F290&gt;H290*(1+Assumptions!$B$10),"UNDERPAID",IF(F290&lt;G290*(1-Assumptions!$B$10),"OVERPAID","FAIR")))</f>
        <v>LOW SAMPLE</v>
      </c>
      <c r="K290" s="5" t="n">
        <v>0</v>
      </c>
    </row>
    <row r="291" customFormat="false" ht="15" hidden="false" customHeight="false" outlineLevel="0" collapsed="false">
      <c r="A291" s="5" t="n">
        <v>2021</v>
      </c>
      <c r="B291" s="5" t="s">
        <v>303</v>
      </c>
      <c r="C291" s="5" t="s">
        <v>331</v>
      </c>
      <c r="D291" s="5" t="n">
        <v>23</v>
      </c>
      <c r="E291" s="13" t="n">
        <v>5.17</v>
      </c>
      <c r="F291" s="14" t="n">
        <f aca="false">E291*Assumptions!$D$4</f>
        <v>670.334785065993</v>
      </c>
      <c r="G291" s="14" t="n">
        <v>590</v>
      </c>
      <c r="H291" s="14" t="n">
        <v>820</v>
      </c>
      <c r="I291" s="14" t="n">
        <f aca="false">F291-(G291+H291)/2</f>
        <v>-34.6652149340072</v>
      </c>
      <c r="J291" s="5" t="str">
        <f aca="false">IF(D291&lt;8,"LOW SAMPLE",IF(F291&gt;H291*(1+Assumptions!$B$10),"UNDERPAID",IF(F291&lt;G291*(1-Assumptions!$B$10),"OVERPAID","FAIR")))</f>
        <v>FAIR</v>
      </c>
      <c r="K291" s="5" t="n">
        <v>86</v>
      </c>
    </row>
    <row r="292" customFormat="false" ht="15" hidden="false" customHeight="false" outlineLevel="0" collapsed="false">
      <c r="A292" s="5" t="n">
        <v>2021</v>
      </c>
      <c r="B292" s="5" t="s">
        <v>303</v>
      </c>
      <c r="C292" s="5" t="s">
        <v>332</v>
      </c>
      <c r="D292" s="5" t="n">
        <v>4</v>
      </c>
      <c r="E292" s="13" t="n">
        <v>0.56</v>
      </c>
      <c r="F292" s="14" t="n">
        <f aca="false">E292*Assumptions!$D$4</f>
        <v>72.6087968350012</v>
      </c>
      <c r="G292" s="14" t="n">
        <v>120</v>
      </c>
      <c r="H292" s="14" t="n">
        <v>215</v>
      </c>
      <c r="I292" s="14" t="n">
        <f aca="false">F292-(G292+H292)/2</f>
        <v>-94.8912031649988</v>
      </c>
      <c r="J292" s="5" t="str">
        <f aca="false">IF(D292&lt;8,"LOW SAMPLE",IF(F292&gt;H292*(1+Assumptions!$B$10),"UNDERPAID",IF(F292&lt;G292*(1-Assumptions!$B$10),"OVERPAID","FAIR")))</f>
        <v>LOW SAMPLE</v>
      </c>
      <c r="K292" s="5" t="n">
        <v>15</v>
      </c>
    </row>
    <row r="293" customFormat="false" ht="15" hidden="false" customHeight="false" outlineLevel="0" collapsed="false">
      <c r="A293" s="5" t="n">
        <v>2021</v>
      </c>
      <c r="B293" s="5" t="s">
        <v>303</v>
      </c>
      <c r="C293" s="5" t="s">
        <v>333</v>
      </c>
      <c r="D293" s="5" t="n">
        <v>18</v>
      </c>
      <c r="E293" s="13" t="n">
        <v>2.67</v>
      </c>
      <c r="F293" s="14" t="n">
        <f aca="false">E293*Assumptions!$D$4</f>
        <v>346.188370624023</v>
      </c>
      <c r="G293" s="14" t="n">
        <v>435</v>
      </c>
      <c r="H293" s="14" t="n">
        <v>590</v>
      </c>
      <c r="I293" s="14" t="n">
        <f aca="false">F293-(G293+H293)/2</f>
        <v>-166.311629375977</v>
      </c>
      <c r="J293" s="5" t="str">
        <f aca="false">IF(D293&lt;8,"LOW SAMPLE",IF(F293&gt;H293*(1+Assumptions!$B$10),"UNDERPAID",IF(F293&lt;G293*(1-Assumptions!$B$10),"OVERPAID","FAIR")))</f>
        <v>OVERPAID</v>
      </c>
      <c r="K293" s="5" t="n">
        <v>108</v>
      </c>
    </row>
    <row r="294" customFormat="false" ht="15" hidden="false" customHeight="false" outlineLevel="0" collapsed="false">
      <c r="A294" s="5" t="n">
        <v>2021</v>
      </c>
      <c r="B294" s="5" t="s">
        <v>303</v>
      </c>
      <c r="C294" s="5" t="s">
        <v>334</v>
      </c>
      <c r="D294" s="5" t="n">
        <v>22</v>
      </c>
      <c r="E294" s="13" t="n">
        <v>3.23</v>
      </c>
      <c r="F294" s="14" t="n">
        <f aca="false">E294*Assumptions!$D$4</f>
        <v>418.797167459025</v>
      </c>
      <c r="G294" s="14" t="n">
        <v>330</v>
      </c>
      <c r="H294" s="14" t="n">
        <v>435</v>
      </c>
      <c r="I294" s="14" t="n">
        <f aca="false">F294-(G294+H294)/2</f>
        <v>36.2971674590245</v>
      </c>
      <c r="J294" s="5" t="str">
        <f aca="false">IF(D294&lt;8,"LOW SAMPLE",IF(F294&gt;H294*(1+Assumptions!$B$10),"UNDERPAID",IF(F294&lt;G294*(1-Assumptions!$B$10),"OVERPAID","FAIR")))</f>
        <v>FAIR</v>
      </c>
      <c r="K294" s="5" t="n">
        <v>35</v>
      </c>
    </row>
    <row r="295" customFormat="false" ht="15" hidden="false" customHeight="false" outlineLevel="0" collapsed="false">
      <c r="A295" s="5" t="n">
        <v>2021</v>
      </c>
      <c r="B295" s="5" t="s">
        <v>303</v>
      </c>
      <c r="C295" s="5" t="s">
        <v>335</v>
      </c>
      <c r="D295" s="5" t="n">
        <v>25</v>
      </c>
      <c r="E295" s="13" t="n">
        <v>6.86</v>
      </c>
      <c r="F295" s="14" t="n">
        <f aca="false">E295*Assumptions!$D$4</f>
        <v>889.457761228764</v>
      </c>
      <c r="G295" s="14" t="n">
        <v>820</v>
      </c>
      <c r="H295" s="14" t="n">
        <v>1125</v>
      </c>
      <c r="I295" s="14" t="n">
        <f aca="false">F295-(G295+H295)/2</f>
        <v>-83.0422387712358</v>
      </c>
      <c r="J295" s="5" t="str">
        <f aca="false">IF(D295&lt;8,"LOW SAMPLE",IF(F295&gt;H295*(1+Assumptions!$B$10),"UNDERPAID",IF(F295&lt;G295*(1-Assumptions!$B$10),"OVERPAID","FAIR")))</f>
        <v>FAIR</v>
      </c>
      <c r="K295" s="5" t="n">
        <v>130</v>
      </c>
    </row>
    <row r="296" customFormat="false" ht="15" hidden="false" customHeight="false" outlineLevel="0" collapsed="false">
      <c r="A296" s="5" t="n">
        <v>2021</v>
      </c>
      <c r="B296" s="5" t="s">
        <v>303</v>
      </c>
      <c r="C296" s="5" t="s">
        <v>336</v>
      </c>
      <c r="D296" s="5" t="n">
        <v>20</v>
      </c>
      <c r="E296" s="13" t="n">
        <v>4.84</v>
      </c>
      <c r="F296" s="14" t="n">
        <f aca="false">E296*Assumptions!$D$4</f>
        <v>627.547458359653</v>
      </c>
      <c r="G296" s="14" t="n">
        <v>590</v>
      </c>
      <c r="H296" s="14" t="n">
        <v>820</v>
      </c>
      <c r="I296" s="14" t="n">
        <f aca="false">F296-(G296+H296)/2</f>
        <v>-77.4525416403471</v>
      </c>
      <c r="J296" s="5" t="str">
        <f aca="false">IF(D296&lt;8,"LOW SAMPLE",IF(F296&gt;H296*(1+Assumptions!$B$10),"UNDERPAID",IF(F296&lt;G296*(1-Assumptions!$B$10),"OVERPAID","FAIR")))</f>
        <v>FAIR</v>
      </c>
      <c r="K296" s="5" t="n">
        <v>86</v>
      </c>
    </row>
    <row r="297" customFormat="false" ht="15" hidden="false" customHeight="false" outlineLevel="0" collapsed="false">
      <c r="A297" s="5" t="n">
        <v>2021</v>
      </c>
      <c r="B297" s="5" t="s">
        <v>303</v>
      </c>
      <c r="C297" s="5" t="s">
        <v>337</v>
      </c>
      <c r="D297" s="5" t="n">
        <v>13</v>
      </c>
      <c r="E297" s="13" t="n">
        <v>1.42</v>
      </c>
      <c r="F297" s="14" t="n">
        <f aca="false">E297*Assumptions!$D$4</f>
        <v>184.115163403039</v>
      </c>
      <c r="G297" s="14" t="n">
        <v>120</v>
      </c>
      <c r="H297" s="14" t="n">
        <v>215</v>
      </c>
      <c r="I297" s="14" t="n">
        <f aca="false">F297-(G297+H297)/2</f>
        <v>16.6151634030387</v>
      </c>
      <c r="J297" s="5" t="str">
        <f aca="false">IF(D297&lt;8,"LOW SAMPLE",IF(F297&gt;H297*(1+Assumptions!$B$10),"UNDERPAID",IF(F297&lt;G297*(1-Assumptions!$B$10),"OVERPAID","FAIR")))</f>
        <v>FAIR</v>
      </c>
      <c r="K297" s="5" t="n">
        <v>20</v>
      </c>
    </row>
    <row r="298" customFormat="false" ht="15" hidden="false" customHeight="false" outlineLevel="0" collapsed="false">
      <c r="A298" s="5" t="n">
        <v>2021</v>
      </c>
      <c r="B298" s="5" t="s">
        <v>303</v>
      </c>
      <c r="C298" s="5" t="s">
        <v>338</v>
      </c>
      <c r="D298" s="5" t="n">
        <v>21</v>
      </c>
      <c r="E298" s="13" t="n">
        <v>4.38</v>
      </c>
      <c r="F298" s="14" t="n">
        <f aca="false">E298*Assumptions!$D$4</f>
        <v>567.904518102331</v>
      </c>
      <c r="G298" s="14" t="n">
        <v>435</v>
      </c>
      <c r="H298" s="14" t="n">
        <v>590</v>
      </c>
      <c r="I298" s="14" t="n">
        <f aca="false">F298-(G298+H298)/2</f>
        <v>55.4045181023305</v>
      </c>
      <c r="J298" s="5" t="str">
        <f aca="false">IF(D298&lt;8,"LOW SAMPLE",IF(F298&gt;H298*(1+Assumptions!$B$10),"UNDERPAID",IF(F298&lt;G298*(1-Assumptions!$B$10),"OVERPAID","FAIR")))</f>
        <v>FAIR</v>
      </c>
      <c r="K298" s="5" t="n">
        <v>129</v>
      </c>
    </row>
    <row r="299" customFormat="false" ht="15" hidden="false" customHeight="false" outlineLevel="0" collapsed="false">
      <c r="A299" s="5" t="n">
        <v>2021</v>
      </c>
      <c r="B299" s="5" t="s">
        <v>339</v>
      </c>
      <c r="C299" s="5" t="s">
        <v>340</v>
      </c>
      <c r="D299" s="5" t="n">
        <v>1</v>
      </c>
      <c r="E299" s="13" t="n">
        <v>0.21</v>
      </c>
      <c r="F299" s="14" t="n">
        <f aca="false">E299*Assumptions!$D$4</f>
        <v>27.2282988131254</v>
      </c>
      <c r="G299" s="14" t="n">
        <v>215</v>
      </c>
      <c r="H299" s="14" t="n">
        <v>330</v>
      </c>
      <c r="I299" s="14" t="n">
        <f aca="false">F299-(G299+H299)/2</f>
        <v>-245.271701186875</v>
      </c>
      <c r="J299" s="5" t="str">
        <f aca="false">IF(D299&lt;8,"LOW SAMPLE",IF(F299&gt;H299*(1+Assumptions!$B$10),"UNDERPAID",IF(F299&lt;G299*(1-Assumptions!$B$10),"OVERPAID","FAIR")))</f>
        <v>LOW SAMPLE</v>
      </c>
      <c r="K299" s="5" t="n">
        <v>0</v>
      </c>
    </row>
    <row r="300" customFormat="false" ht="15" hidden="false" customHeight="false" outlineLevel="0" collapsed="false">
      <c r="A300" s="5" t="n">
        <v>2021</v>
      </c>
      <c r="B300" s="5" t="s">
        <v>339</v>
      </c>
      <c r="C300" s="5" t="s">
        <v>341</v>
      </c>
      <c r="D300" s="5" t="n">
        <v>21</v>
      </c>
      <c r="E300" s="13" t="n">
        <v>2.75</v>
      </c>
      <c r="F300" s="14" t="n">
        <f aca="false">E300*Assumptions!$D$4</f>
        <v>356.561055886166</v>
      </c>
      <c r="G300" s="14" t="n">
        <v>435</v>
      </c>
      <c r="H300" s="14" t="n">
        <v>590</v>
      </c>
      <c r="I300" s="14" t="n">
        <f aca="false">F300-(G300+H300)/2</f>
        <v>-155.938944113834</v>
      </c>
      <c r="J300" s="5" t="str">
        <f aca="false">IF(D300&lt;8,"LOW SAMPLE",IF(F300&gt;H300*(1+Assumptions!$B$10),"UNDERPAID",IF(F300&lt;G300*(1-Assumptions!$B$10),"OVERPAID","FAIR")))</f>
        <v>OVERPAID</v>
      </c>
      <c r="K300" s="5" t="n">
        <v>109</v>
      </c>
    </row>
    <row r="301" customFormat="false" ht="15" hidden="false" customHeight="false" outlineLevel="0" collapsed="false">
      <c r="A301" s="5" t="n">
        <v>2021</v>
      </c>
      <c r="B301" s="5" t="s">
        <v>339</v>
      </c>
      <c r="C301" s="5" t="s">
        <v>342</v>
      </c>
      <c r="D301" s="5" t="n">
        <v>17</v>
      </c>
      <c r="E301" s="13" t="n">
        <v>2.89</v>
      </c>
      <c r="F301" s="14" t="n">
        <f aca="false">E301*Assumptions!$D$4</f>
        <v>374.713255094917</v>
      </c>
      <c r="G301" s="14" t="n">
        <v>330</v>
      </c>
      <c r="H301" s="14" t="n">
        <v>435</v>
      </c>
      <c r="I301" s="14" t="n">
        <f aca="false">F301-(G301+H301)/2</f>
        <v>-7.78674490508331</v>
      </c>
      <c r="J301" s="5" t="str">
        <f aca="false">IF(D301&lt;8,"LOW SAMPLE",IF(F301&gt;H301*(1+Assumptions!$B$10),"UNDERPAID",IF(F301&lt;G301*(1-Assumptions!$B$10),"OVERPAID","FAIR")))</f>
        <v>FAIR</v>
      </c>
      <c r="K301" s="5" t="n">
        <v>57</v>
      </c>
    </row>
    <row r="302" customFormat="false" ht="15" hidden="false" customHeight="false" outlineLevel="0" collapsed="false">
      <c r="A302" s="5" t="n">
        <v>2021</v>
      </c>
      <c r="B302" s="5" t="s">
        <v>339</v>
      </c>
      <c r="C302" s="5" t="s">
        <v>343</v>
      </c>
      <c r="D302" s="5" t="n">
        <v>22</v>
      </c>
      <c r="E302" s="13" t="n">
        <v>4.46</v>
      </c>
      <c r="F302" s="14" t="n">
        <f aca="false">E302*Assumptions!$D$4</f>
        <v>578.277203364474</v>
      </c>
      <c r="G302" s="14" t="n">
        <v>330</v>
      </c>
      <c r="H302" s="14" t="n">
        <v>435</v>
      </c>
      <c r="I302" s="14" t="n">
        <f aca="false">F302-(G302+H302)/2</f>
        <v>195.777203364474</v>
      </c>
      <c r="J302" s="5" t="str">
        <f aca="false">IF(D302&lt;8,"LOW SAMPLE",IF(F302&gt;H302*(1+Assumptions!$B$10),"UNDERPAID",IF(F302&lt;G302*(1-Assumptions!$B$10),"OVERPAID","FAIR")))</f>
        <v>UNDERPAID</v>
      </c>
      <c r="K302" s="5" t="n">
        <v>31</v>
      </c>
    </row>
    <row r="303" customFormat="false" ht="15" hidden="false" customHeight="false" outlineLevel="0" collapsed="false">
      <c r="A303" s="5" t="n">
        <v>2021</v>
      </c>
      <c r="B303" s="5" t="s">
        <v>339</v>
      </c>
      <c r="C303" s="5" t="s">
        <v>344</v>
      </c>
      <c r="D303" s="5" t="n">
        <v>18</v>
      </c>
      <c r="E303" s="13" t="n">
        <v>3.38</v>
      </c>
      <c r="F303" s="14" t="n">
        <f aca="false">E303*Assumptions!$D$4</f>
        <v>438.245952325543</v>
      </c>
      <c r="G303" s="14" t="n">
        <v>435</v>
      </c>
      <c r="H303" s="14" t="n">
        <v>590</v>
      </c>
      <c r="I303" s="14" t="n">
        <f aca="false">F303-(G303+H303)/2</f>
        <v>-74.2540476744573</v>
      </c>
      <c r="J303" s="5" t="str">
        <f aca="false">IF(D303&lt;8,"LOW SAMPLE",IF(F303&gt;H303*(1+Assumptions!$B$10),"UNDERPAID",IF(F303&lt;G303*(1-Assumptions!$B$10),"OVERPAID","FAIR")))</f>
        <v>FAIR</v>
      </c>
      <c r="K303" s="5" t="n">
        <v>127</v>
      </c>
    </row>
    <row r="304" customFormat="false" ht="15" hidden="false" customHeight="false" outlineLevel="0" collapsed="false">
      <c r="A304" s="5" t="n">
        <v>2021</v>
      </c>
      <c r="B304" s="5" t="s">
        <v>339</v>
      </c>
      <c r="C304" s="5" t="s">
        <v>345</v>
      </c>
      <c r="D304" s="5" t="n">
        <v>10</v>
      </c>
      <c r="E304" s="13" t="n">
        <v>2.33</v>
      </c>
      <c r="F304" s="14" t="n">
        <f aca="false">E304*Assumptions!$D$4</f>
        <v>302.104458259916</v>
      </c>
      <c r="G304" s="14" t="n">
        <v>330</v>
      </c>
      <c r="H304" s="14" t="n">
        <v>435</v>
      </c>
      <c r="I304" s="14" t="n">
        <f aca="false">F304-(G304+H304)/2</f>
        <v>-80.3955417400845</v>
      </c>
      <c r="J304" s="5" t="str">
        <f aca="false">IF(D304&lt;8,"LOW SAMPLE",IF(F304&gt;H304*(1+Assumptions!$B$10),"UNDERPAID",IF(F304&lt;G304*(1-Assumptions!$B$10),"OVERPAID","FAIR")))</f>
        <v>FAIR</v>
      </c>
      <c r="K304" s="5" t="n">
        <v>52</v>
      </c>
    </row>
    <row r="305" customFormat="false" ht="15" hidden="false" customHeight="false" outlineLevel="0" collapsed="false">
      <c r="A305" s="5" t="n">
        <v>2021</v>
      </c>
      <c r="B305" s="5" t="s">
        <v>339</v>
      </c>
      <c r="C305" s="5" t="s">
        <v>346</v>
      </c>
      <c r="D305" s="5" t="n">
        <v>12</v>
      </c>
      <c r="E305" s="13" t="n">
        <v>1.37</v>
      </c>
      <c r="F305" s="14" t="n">
        <f aca="false">E305*Assumptions!$D$4</f>
        <v>177.632235114199</v>
      </c>
      <c r="G305" s="14" t="n">
        <v>120</v>
      </c>
      <c r="H305" s="14" t="n">
        <v>215</v>
      </c>
      <c r="I305" s="14" t="n">
        <f aca="false">F305-(G305+H305)/2</f>
        <v>10.1322351141993</v>
      </c>
      <c r="J305" s="5" t="str">
        <f aca="false">IF(D305&lt;8,"LOW SAMPLE",IF(F305&gt;H305*(1+Assumptions!$B$10),"UNDERPAID",IF(F305&lt;G305*(1-Assumptions!$B$10),"OVERPAID","FAIR")))</f>
        <v>FAIR</v>
      </c>
      <c r="K305" s="5" t="n">
        <v>10</v>
      </c>
    </row>
    <row r="306" customFormat="false" ht="15" hidden="false" customHeight="false" outlineLevel="0" collapsed="false">
      <c r="A306" s="5" t="n">
        <v>2021</v>
      </c>
      <c r="B306" s="5" t="s">
        <v>339</v>
      </c>
      <c r="C306" s="5" t="s">
        <v>347</v>
      </c>
      <c r="D306" s="5" t="n">
        <v>21</v>
      </c>
      <c r="E306" s="13" t="n">
        <v>3.13</v>
      </c>
      <c r="F306" s="14" t="n">
        <f aca="false">E306*Assumptions!$D$4</f>
        <v>405.831310881346</v>
      </c>
      <c r="G306" s="14" t="n">
        <v>330</v>
      </c>
      <c r="H306" s="14" t="n">
        <v>435</v>
      </c>
      <c r="I306" s="14" t="n">
        <f aca="false">F306-(G306+H306)/2</f>
        <v>23.3313108813458</v>
      </c>
      <c r="J306" s="5" t="str">
        <f aca="false">IF(D306&lt;8,"LOW SAMPLE",IF(F306&gt;H306*(1+Assumptions!$B$10),"UNDERPAID",IF(F306&lt;G306*(1-Assumptions!$B$10),"OVERPAID","FAIR")))</f>
        <v>FAIR</v>
      </c>
      <c r="K306" s="5" t="n">
        <v>48</v>
      </c>
    </row>
    <row r="307" customFormat="false" ht="15" hidden="false" customHeight="false" outlineLevel="0" collapsed="false">
      <c r="A307" s="5" t="n">
        <v>2021</v>
      </c>
      <c r="B307" s="5" t="s">
        <v>339</v>
      </c>
      <c r="C307" s="5" t="s">
        <v>348</v>
      </c>
      <c r="D307" s="5" t="n">
        <v>19</v>
      </c>
      <c r="E307" s="13" t="n">
        <v>3.49</v>
      </c>
      <c r="F307" s="14" t="n">
        <f aca="false">E307*Assumptions!$D$4</f>
        <v>452.508394560989</v>
      </c>
      <c r="G307" s="14" t="n">
        <v>215</v>
      </c>
      <c r="H307" s="14" t="n">
        <v>330</v>
      </c>
      <c r="I307" s="14" t="n">
        <f aca="false">F307-(G307+H307)/2</f>
        <v>180.008394560989</v>
      </c>
      <c r="J307" s="5" t="str">
        <f aca="false">IF(D307&lt;8,"LOW SAMPLE",IF(F307&gt;H307*(1+Assumptions!$B$10),"UNDERPAID",IF(F307&lt;G307*(1-Assumptions!$B$10),"OVERPAID","FAIR")))</f>
        <v>UNDERPAID</v>
      </c>
      <c r="K307" s="5" t="n">
        <v>14</v>
      </c>
    </row>
    <row r="308" customFormat="false" ht="15" hidden="false" customHeight="false" outlineLevel="0" collapsed="false">
      <c r="A308" s="5" t="n">
        <v>2021</v>
      </c>
      <c r="B308" s="5" t="s">
        <v>339</v>
      </c>
      <c r="C308" s="5" t="s">
        <v>349</v>
      </c>
      <c r="D308" s="5" t="n">
        <v>2</v>
      </c>
      <c r="E308" s="13" t="n">
        <v>0.25</v>
      </c>
      <c r="F308" s="14" t="n">
        <f aca="false">E308*Assumptions!$D$4</f>
        <v>32.4146414441969</v>
      </c>
      <c r="G308" s="14" t="n">
        <v>330</v>
      </c>
      <c r="H308" s="14" t="n">
        <v>435</v>
      </c>
      <c r="I308" s="14" t="n">
        <f aca="false">F308-(G308+H308)/2</f>
        <v>-350.085358555803</v>
      </c>
      <c r="J308" s="5" t="str">
        <f aca="false">IF(D308&lt;8,"LOW SAMPLE",IF(F308&gt;H308*(1+Assumptions!$B$10),"UNDERPAID",IF(F308&lt;G308*(1-Assumptions!$B$10),"OVERPAID","FAIR")))</f>
        <v>LOW SAMPLE</v>
      </c>
      <c r="K308" s="5" t="n">
        <v>15</v>
      </c>
    </row>
    <row r="309" customFormat="false" ht="15" hidden="false" customHeight="false" outlineLevel="0" collapsed="false">
      <c r="A309" s="5" t="n">
        <v>2021</v>
      </c>
      <c r="B309" s="5" t="s">
        <v>339</v>
      </c>
      <c r="C309" s="5" t="s">
        <v>350</v>
      </c>
      <c r="D309" s="5" t="n">
        <v>11</v>
      </c>
      <c r="E309" s="13" t="n">
        <v>1.47</v>
      </c>
      <c r="F309" s="14" t="n">
        <f aca="false">E309*Assumptions!$D$4</f>
        <v>190.598091691878</v>
      </c>
      <c r="G309" s="14" t="n">
        <v>330</v>
      </c>
      <c r="H309" s="14" t="n">
        <v>435</v>
      </c>
      <c r="I309" s="14" t="n">
        <f aca="false">F309-(G309+H309)/2</f>
        <v>-191.901908308122</v>
      </c>
      <c r="J309" s="5" t="str">
        <f aca="false">IF(D309&lt;8,"LOW SAMPLE",IF(F309&gt;H309*(1+Assumptions!$B$10),"UNDERPAID",IF(F309&lt;G309*(1-Assumptions!$B$10),"OVERPAID","FAIR")))</f>
        <v>OVERPAID</v>
      </c>
      <c r="K309" s="5" t="n">
        <v>51</v>
      </c>
    </row>
    <row r="310" customFormat="false" ht="15" hidden="false" customHeight="false" outlineLevel="0" collapsed="false">
      <c r="A310" s="5" t="n">
        <v>2021</v>
      </c>
      <c r="B310" s="5" t="s">
        <v>339</v>
      </c>
      <c r="C310" s="5" t="s">
        <v>351</v>
      </c>
      <c r="D310" s="5" t="n">
        <v>21</v>
      </c>
      <c r="E310" s="13" t="n">
        <v>4.46</v>
      </c>
      <c r="F310" s="14" t="n">
        <f aca="false">E310*Assumptions!$D$4</f>
        <v>578.277203364474</v>
      </c>
      <c r="G310" s="14" t="n">
        <v>590</v>
      </c>
      <c r="H310" s="14" t="n">
        <v>820</v>
      </c>
      <c r="I310" s="14" t="n">
        <f aca="false">F310-(G310+H310)/2</f>
        <v>-126.722796635526</v>
      </c>
      <c r="J310" s="5" t="str">
        <f aca="false">IF(D310&lt;8,"LOW SAMPLE",IF(F310&gt;H310*(1+Assumptions!$B$10),"UNDERPAID",IF(F310&lt;G310*(1-Assumptions!$B$10),"OVERPAID","FAIR")))</f>
        <v>FAIR</v>
      </c>
      <c r="K310" s="5" t="n">
        <v>81</v>
      </c>
    </row>
    <row r="311" customFormat="false" ht="15" hidden="false" customHeight="false" outlineLevel="0" collapsed="false">
      <c r="A311" s="5" t="n">
        <v>2021</v>
      </c>
      <c r="B311" s="5" t="s">
        <v>339</v>
      </c>
      <c r="C311" s="5" t="s">
        <v>352</v>
      </c>
      <c r="D311" s="5" t="n">
        <v>15</v>
      </c>
      <c r="E311" s="13" t="n">
        <v>4.35</v>
      </c>
      <c r="F311" s="14" t="n">
        <f aca="false">E311*Assumptions!$D$4</f>
        <v>564.014761129027</v>
      </c>
      <c r="G311" s="14" t="n">
        <v>590</v>
      </c>
      <c r="H311" s="14" t="n">
        <v>820</v>
      </c>
      <c r="I311" s="14" t="n">
        <f aca="false">F311-(G311+H311)/2</f>
        <v>-140.985238870973</v>
      </c>
      <c r="J311" s="5" t="str">
        <f aca="false">IF(D311&lt;8,"LOW SAMPLE",IF(F311&gt;H311*(1+Assumptions!$B$10),"UNDERPAID",IF(F311&lt;G311*(1-Assumptions!$B$10),"OVERPAID","FAIR")))</f>
        <v>FAIR</v>
      </c>
      <c r="K311" s="5" t="n">
        <v>68</v>
      </c>
    </row>
    <row r="312" customFormat="false" ht="15" hidden="false" customHeight="false" outlineLevel="0" collapsed="false">
      <c r="A312" s="5" t="n">
        <v>2021</v>
      </c>
      <c r="B312" s="5" t="s">
        <v>339</v>
      </c>
      <c r="C312" s="5" t="s">
        <v>353</v>
      </c>
      <c r="D312" s="5" t="n">
        <v>18</v>
      </c>
      <c r="E312" s="13" t="n">
        <v>3.15</v>
      </c>
      <c r="F312" s="14" t="n">
        <f aca="false">E312*Assumptions!$D$4</f>
        <v>408.424482196882</v>
      </c>
      <c r="G312" s="14" t="n">
        <v>330</v>
      </c>
      <c r="H312" s="14" t="n">
        <v>435</v>
      </c>
      <c r="I312" s="14" t="n">
        <f aca="false">F312-(G312+H312)/2</f>
        <v>25.9244821968815</v>
      </c>
      <c r="J312" s="5" t="str">
        <f aca="false">IF(D312&lt;8,"LOW SAMPLE",IF(F312&gt;H312*(1+Assumptions!$B$10),"UNDERPAID",IF(F312&lt;G312*(1-Assumptions!$B$10),"OVERPAID","FAIR")))</f>
        <v>FAIR</v>
      </c>
      <c r="K312" s="5" t="n">
        <v>12</v>
      </c>
    </row>
    <row r="313" customFormat="false" ht="15" hidden="false" customHeight="false" outlineLevel="0" collapsed="false">
      <c r="A313" s="5" t="n">
        <v>2021</v>
      </c>
      <c r="B313" s="5" t="s">
        <v>339</v>
      </c>
      <c r="C313" s="5" t="s">
        <v>354</v>
      </c>
      <c r="D313" s="5" t="n">
        <v>19</v>
      </c>
      <c r="E313" s="13" t="n">
        <v>3.7</v>
      </c>
      <c r="F313" s="14" t="n">
        <f aca="false">E313*Assumptions!$D$4</f>
        <v>479.736693374115</v>
      </c>
      <c r="G313" s="14" t="n">
        <v>330</v>
      </c>
      <c r="H313" s="14" t="n">
        <v>435</v>
      </c>
      <c r="I313" s="14" t="n">
        <f aca="false">F313-(G313+H313)/2</f>
        <v>97.2366933741148</v>
      </c>
      <c r="J313" s="5" t="str">
        <f aca="false">IF(D313&lt;8,"LOW SAMPLE",IF(F313&gt;H313*(1+Assumptions!$B$10),"UNDERPAID",IF(F313&lt;G313*(1-Assumptions!$B$10),"OVERPAID","FAIR")))</f>
        <v>FAIR</v>
      </c>
      <c r="K313" s="5" t="n">
        <v>59</v>
      </c>
    </row>
    <row r="314" customFormat="false" ht="15" hidden="false" customHeight="false" outlineLevel="0" collapsed="false">
      <c r="A314" s="5" t="n">
        <v>2021</v>
      </c>
      <c r="B314" s="5" t="s">
        <v>339</v>
      </c>
      <c r="C314" s="5" t="s">
        <v>355</v>
      </c>
      <c r="D314" s="5" t="n">
        <v>22</v>
      </c>
      <c r="E314" s="13" t="n">
        <v>5.09</v>
      </c>
      <c r="F314" s="14" t="n">
        <f aca="false">E314*Assumptions!$D$4</f>
        <v>659.96209980385</v>
      </c>
      <c r="G314" s="14" t="n">
        <v>435</v>
      </c>
      <c r="H314" s="14" t="n">
        <v>590</v>
      </c>
      <c r="I314" s="14" t="n">
        <f aca="false">F314-(G314+H314)/2</f>
        <v>147.46209980385</v>
      </c>
      <c r="J314" s="5" t="str">
        <f aca="false">IF(D314&lt;8,"LOW SAMPLE",IF(F314&gt;H314*(1+Assumptions!$B$10),"UNDERPAID",IF(F314&lt;G314*(1-Assumptions!$B$10),"OVERPAID","FAIR")))</f>
        <v>FAIR</v>
      </c>
      <c r="K314" s="5" t="n">
        <v>38</v>
      </c>
    </row>
    <row r="315" customFormat="false" ht="15" hidden="false" customHeight="false" outlineLevel="0" collapsed="false">
      <c r="A315" s="5" t="n">
        <v>2021</v>
      </c>
      <c r="B315" s="5" t="s">
        <v>339</v>
      </c>
      <c r="C315" s="5" t="s">
        <v>356</v>
      </c>
      <c r="D315" s="5" t="n">
        <v>2</v>
      </c>
      <c r="E315" s="13" t="n">
        <v>0.43</v>
      </c>
      <c r="F315" s="14" t="n">
        <f aca="false">E315*Assumptions!$D$4</f>
        <v>55.7531832840187</v>
      </c>
      <c r="G315" s="14" t="n">
        <v>215</v>
      </c>
      <c r="H315" s="14" t="n">
        <v>330</v>
      </c>
      <c r="I315" s="14" t="n">
        <f aca="false">F315-(G315+H315)/2</f>
        <v>-216.746816715981</v>
      </c>
      <c r="J315" s="5" t="str">
        <f aca="false">IF(D315&lt;8,"LOW SAMPLE",IF(F315&gt;H315*(1+Assumptions!$B$10),"UNDERPAID",IF(F315&lt;G315*(1-Assumptions!$B$10),"OVERPAID","FAIR")))</f>
        <v>LOW SAMPLE</v>
      </c>
      <c r="K315" s="5" t="n">
        <v>33</v>
      </c>
    </row>
    <row r="316" customFormat="false" ht="15" hidden="false" customHeight="false" outlineLevel="0" collapsed="false">
      <c r="A316" s="5" t="n">
        <v>2021</v>
      </c>
      <c r="B316" s="5" t="s">
        <v>339</v>
      </c>
      <c r="C316" s="5" t="s">
        <v>357</v>
      </c>
      <c r="D316" s="5" t="n">
        <v>4</v>
      </c>
      <c r="E316" s="13" t="n">
        <v>0.37</v>
      </c>
      <c r="F316" s="14" t="n">
        <f aca="false">E316*Assumptions!$D$4</f>
        <v>47.9736693374115</v>
      </c>
      <c r="G316" s="14" t="n">
        <v>330</v>
      </c>
      <c r="H316" s="14" t="n">
        <v>435</v>
      </c>
      <c r="I316" s="14" t="n">
        <f aca="false">F316-(G316+H316)/2</f>
        <v>-334.526330662589</v>
      </c>
      <c r="J316" s="5" t="str">
        <f aca="false">IF(D316&lt;8,"LOW SAMPLE",IF(F316&gt;H316*(1+Assumptions!$B$10),"UNDERPAID",IF(F316&lt;G316*(1-Assumptions!$B$10),"OVERPAID","FAIR")))</f>
        <v>LOW SAMPLE</v>
      </c>
      <c r="K316" s="5" t="n">
        <v>110</v>
      </c>
    </row>
    <row r="317" customFormat="false" ht="15" hidden="false" customHeight="false" outlineLevel="0" collapsed="false">
      <c r="A317" s="5" t="n">
        <v>2021</v>
      </c>
      <c r="B317" s="5" t="s">
        <v>339</v>
      </c>
      <c r="C317" s="5" t="s">
        <v>358</v>
      </c>
      <c r="D317" s="5" t="n">
        <v>3</v>
      </c>
      <c r="E317" s="13" t="n">
        <v>0.65</v>
      </c>
      <c r="F317" s="14" t="n">
        <f aca="false">E317*Assumptions!$D$4</f>
        <v>84.2780677549121</v>
      </c>
      <c r="G317" s="14" t="n">
        <v>590</v>
      </c>
      <c r="H317" s="14" t="n">
        <v>820</v>
      </c>
      <c r="I317" s="14" t="n">
        <f aca="false">F317-(G317+H317)/2</f>
        <v>-620.721932245088</v>
      </c>
      <c r="J317" s="5" t="str">
        <f aca="false">IF(D317&lt;8,"LOW SAMPLE",IF(F317&gt;H317*(1+Assumptions!$B$10),"UNDERPAID",IF(F317&lt;G317*(1-Assumptions!$B$10),"OVERPAID","FAIR")))</f>
        <v>LOW SAMPLE</v>
      </c>
      <c r="K317" s="5" t="n">
        <v>92</v>
      </c>
    </row>
    <row r="318" customFormat="false" ht="15" hidden="false" customHeight="false" outlineLevel="0" collapsed="false">
      <c r="A318" s="5" t="n">
        <v>2021</v>
      </c>
      <c r="B318" s="5" t="s">
        <v>339</v>
      </c>
      <c r="C318" s="5" t="s">
        <v>359</v>
      </c>
      <c r="D318" s="5" t="n">
        <v>9</v>
      </c>
      <c r="E318" s="13" t="n">
        <v>1.28</v>
      </c>
      <c r="F318" s="14" t="n">
        <f aca="false">E318*Assumptions!$D$4</f>
        <v>165.962964194288</v>
      </c>
      <c r="G318" s="14" t="n">
        <v>120</v>
      </c>
      <c r="H318" s="14" t="n">
        <v>215</v>
      </c>
      <c r="I318" s="14" t="n">
        <f aca="false">F318-(G318+H318)/2</f>
        <v>-1.53703580571164</v>
      </c>
      <c r="J318" s="5" t="str">
        <f aca="false">IF(D318&lt;8,"LOW SAMPLE",IF(F318&gt;H318*(1+Assumptions!$B$10),"UNDERPAID",IF(F318&lt;G318*(1-Assumptions!$B$10),"OVERPAID","FAIR")))</f>
        <v>FAIR</v>
      </c>
      <c r="K318" s="5" t="n">
        <v>2</v>
      </c>
    </row>
    <row r="319" customFormat="false" ht="15" hidden="false" customHeight="false" outlineLevel="0" collapsed="false">
      <c r="A319" s="5" t="n">
        <v>2021</v>
      </c>
      <c r="B319" s="5" t="s">
        <v>339</v>
      </c>
      <c r="C319" s="5" t="s">
        <v>360</v>
      </c>
      <c r="D319" s="5" t="n">
        <v>4</v>
      </c>
      <c r="E319" s="13" t="n">
        <v>0.39</v>
      </c>
      <c r="F319" s="14" t="n">
        <f aca="false">E319*Assumptions!$D$4</f>
        <v>50.5668406529472</v>
      </c>
      <c r="G319" s="14" t="n">
        <v>215</v>
      </c>
      <c r="H319" s="14" t="n">
        <v>330</v>
      </c>
      <c r="I319" s="14" t="n">
        <f aca="false">F319-(G319+H319)/2</f>
        <v>-221.933159347053</v>
      </c>
      <c r="J319" s="5" t="str">
        <f aca="false">IF(D319&lt;8,"LOW SAMPLE",IF(F319&gt;H319*(1+Assumptions!$B$10),"UNDERPAID",IF(F319&lt;G319*(1-Assumptions!$B$10),"OVERPAID","FAIR")))</f>
        <v>LOW SAMPLE</v>
      </c>
      <c r="K319" s="5" t="n">
        <v>0</v>
      </c>
    </row>
    <row r="320" customFormat="false" ht="15" hidden="false" customHeight="false" outlineLevel="0" collapsed="false">
      <c r="A320" s="5" t="n">
        <v>2021</v>
      </c>
      <c r="B320" s="5" t="s">
        <v>339</v>
      </c>
      <c r="C320" s="5" t="s">
        <v>361</v>
      </c>
      <c r="D320" s="5" t="n">
        <v>16</v>
      </c>
      <c r="E320" s="13" t="n">
        <v>2.73</v>
      </c>
      <c r="F320" s="14" t="n">
        <f aca="false">E320*Assumptions!$D$4</f>
        <v>353.967884570631</v>
      </c>
      <c r="G320" s="14" t="n">
        <v>120</v>
      </c>
      <c r="H320" s="14" t="n">
        <v>215</v>
      </c>
      <c r="I320" s="14" t="n">
        <f aca="false">F320-(G320+H320)/2</f>
        <v>186.467884570631</v>
      </c>
      <c r="J320" s="5" t="str">
        <f aca="false">IF(D320&lt;8,"LOW SAMPLE",IF(F320&gt;H320*(1+Assumptions!$B$10),"UNDERPAID",IF(F320&lt;G320*(1-Assumptions!$B$10),"OVERPAID","FAIR")))</f>
        <v>UNDERPAID</v>
      </c>
      <c r="K320" s="5" t="n">
        <v>16</v>
      </c>
    </row>
    <row r="321" customFormat="false" ht="15" hidden="false" customHeight="false" outlineLevel="0" collapsed="false">
      <c r="A321" s="5" t="n">
        <v>2021</v>
      </c>
      <c r="B321" s="5" t="s">
        <v>339</v>
      </c>
      <c r="C321" s="5" t="s">
        <v>362</v>
      </c>
      <c r="D321" s="5" t="n">
        <v>10</v>
      </c>
      <c r="E321" s="13" t="n">
        <v>1.1</v>
      </c>
      <c r="F321" s="14" t="n">
        <f aca="false">E321*Assumptions!$D$4</f>
        <v>142.624422354467</v>
      </c>
      <c r="G321" s="14" t="n">
        <v>120</v>
      </c>
      <c r="H321" s="14" t="n">
        <v>215</v>
      </c>
      <c r="I321" s="14" t="n">
        <f aca="false">F321-(G321+H321)/2</f>
        <v>-24.8755776455334</v>
      </c>
      <c r="J321" s="5" t="str">
        <f aca="false">IF(D321&lt;8,"LOW SAMPLE",IF(F321&gt;H321*(1+Assumptions!$B$10),"UNDERPAID",IF(F321&lt;G321*(1-Assumptions!$B$10),"OVERPAID","FAIR")))</f>
        <v>FAIR</v>
      </c>
      <c r="K321" s="5" t="n">
        <v>1</v>
      </c>
    </row>
    <row r="322" customFormat="false" ht="15" hidden="false" customHeight="false" outlineLevel="0" collapsed="false">
      <c r="A322" s="5" t="n">
        <v>2021</v>
      </c>
      <c r="B322" s="5" t="s">
        <v>339</v>
      </c>
      <c r="C322" s="5" t="s">
        <v>363</v>
      </c>
      <c r="D322" s="5" t="n">
        <v>13</v>
      </c>
      <c r="E322" s="13" t="n">
        <v>2.49</v>
      </c>
      <c r="F322" s="14" t="n">
        <f aca="false">E322*Assumptions!$D$4</f>
        <v>322.849828784202</v>
      </c>
      <c r="G322" s="14" t="n">
        <v>435</v>
      </c>
      <c r="H322" s="14" t="n">
        <v>590</v>
      </c>
      <c r="I322" s="14" t="n">
        <f aca="false">F322-(G322+H322)/2</f>
        <v>-189.650171215798</v>
      </c>
      <c r="J322" s="5" t="str">
        <f aca="false">IF(D322&lt;8,"LOW SAMPLE",IF(F322&gt;H322*(1+Assumptions!$B$10),"UNDERPAID",IF(F322&lt;G322*(1-Assumptions!$B$10),"OVERPAID","FAIR")))</f>
        <v>OVERPAID</v>
      </c>
      <c r="K322" s="5" t="n">
        <v>103</v>
      </c>
    </row>
    <row r="323" customFormat="false" ht="15" hidden="false" customHeight="false" outlineLevel="0" collapsed="false">
      <c r="A323" s="5" t="n">
        <v>2021</v>
      </c>
      <c r="B323" s="5" t="s">
        <v>339</v>
      </c>
      <c r="C323" s="5" t="s">
        <v>364</v>
      </c>
      <c r="D323" s="5" t="n">
        <v>4</v>
      </c>
      <c r="E323" s="13" t="n">
        <v>0.24</v>
      </c>
      <c r="F323" s="14" t="n">
        <f aca="false">E323*Assumptions!$D$4</f>
        <v>31.1180557864291</v>
      </c>
      <c r="G323" s="14" t="n">
        <v>215</v>
      </c>
      <c r="H323" s="14" t="n">
        <v>330</v>
      </c>
      <c r="I323" s="14" t="n">
        <f aca="false">F323-(G323+H323)/2</f>
        <v>-241.381944213571</v>
      </c>
      <c r="J323" s="5" t="str">
        <f aca="false">IF(D323&lt;8,"LOW SAMPLE",IF(F323&gt;H323*(1+Assumptions!$B$10),"UNDERPAID",IF(F323&lt;G323*(1-Assumptions!$B$10),"OVERPAID","FAIR")))</f>
        <v>LOW SAMPLE</v>
      </c>
      <c r="K323" s="5" t="n">
        <v>0</v>
      </c>
    </row>
    <row r="324" customFormat="false" ht="15" hidden="false" customHeight="false" outlineLevel="0" collapsed="false">
      <c r="A324" s="5" t="n">
        <v>2021</v>
      </c>
      <c r="B324" s="5" t="s">
        <v>339</v>
      </c>
      <c r="C324" s="5" t="s">
        <v>365</v>
      </c>
      <c r="D324" s="5" t="n">
        <v>12</v>
      </c>
      <c r="E324" s="13" t="n">
        <v>1.86</v>
      </c>
      <c r="F324" s="14" t="n">
        <f aca="false">E324*Assumptions!$D$4</f>
        <v>241.164932344825</v>
      </c>
      <c r="G324" s="14" t="n">
        <v>215</v>
      </c>
      <c r="H324" s="14" t="n">
        <v>330</v>
      </c>
      <c r="I324" s="14" t="n">
        <f aca="false">F324-(G324+H324)/2</f>
        <v>-31.3350676551747</v>
      </c>
      <c r="J324" s="5" t="str">
        <f aca="false">IF(D324&lt;8,"LOW SAMPLE",IF(F324&gt;H324*(1+Assumptions!$B$10),"UNDERPAID",IF(F324&lt;G324*(1-Assumptions!$B$10),"OVERPAID","FAIR")))</f>
        <v>FAIR</v>
      </c>
      <c r="K324" s="5" t="n">
        <v>5</v>
      </c>
    </row>
    <row r="325" customFormat="false" ht="15" hidden="false" customHeight="false" outlineLevel="0" collapsed="false">
      <c r="A325" s="5" t="n">
        <v>2021</v>
      </c>
      <c r="B325" s="5" t="s">
        <v>339</v>
      </c>
      <c r="C325" s="5" t="s">
        <v>366</v>
      </c>
      <c r="D325" s="5" t="n">
        <v>16</v>
      </c>
      <c r="E325" s="13" t="n">
        <v>2.76</v>
      </c>
      <c r="F325" s="14" t="n">
        <f aca="false">E325*Assumptions!$D$4</f>
        <v>357.857641543934</v>
      </c>
      <c r="G325" s="14" t="n">
        <v>330</v>
      </c>
      <c r="H325" s="14" t="n">
        <v>435</v>
      </c>
      <c r="I325" s="14" t="n">
        <f aca="false">F325-(G325+H325)/2</f>
        <v>-24.6423584560657</v>
      </c>
      <c r="J325" s="5" t="str">
        <f aca="false">IF(D325&lt;8,"LOW SAMPLE",IF(F325&gt;H325*(1+Assumptions!$B$10),"UNDERPAID",IF(F325&lt;G325*(1-Assumptions!$B$10),"OVERPAID","FAIR")))</f>
        <v>FAIR</v>
      </c>
      <c r="K325" s="5" t="n">
        <v>54</v>
      </c>
    </row>
    <row r="326" customFormat="false" ht="15" hidden="false" customHeight="false" outlineLevel="0" collapsed="false">
      <c r="A326" s="5" t="n">
        <v>2021</v>
      </c>
      <c r="B326" s="5" t="s">
        <v>339</v>
      </c>
      <c r="C326" s="5" t="s">
        <v>367</v>
      </c>
      <c r="D326" s="5" t="n">
        <v>20</v>
      </c>
      <c r="E326" s="13" t="n">
        <v>3.94</v>
      </c>
      <c r="F326" s="14" t="n">
        <f aca="false">E326*Assumptions!$D$4</f>
        <v>510.854749160544</v>
      </c>
      <c r="G326" s="14" t="n">
        <v>435</v>
      </c>
      <c r="H326" s="14" t="n">
        <v>590</v>
      </c>
      <c r="I326" s="14" t="n">
        <f aca="false">F326-(G326+H326)/2</f>
        <v>-1.64525083945614</v>
      </c>
      <c r="J326" s="5" t="str">
        <f aca="false">IF(D326&lt;8,"LOW SAMPLE",IF(F326&gt;H326*(1+Assumptions!$B$10),"UNDERPAID",IF(F326&lt;G326*(1-Assumptions!$B$10),"OVERPAID","FAIR")))</f>
        <v>FAIR</v>
      </c>
      <c r="K326" s="5" t="n">
        <v>17</v>
      </c>
    </row>
    <row r="327" customFormat="false" ht="15" hidden="false" customHeight="false" outlineLevel="0" collapsed="false">
      <c r="A327" s="5" t="n">
        <v>2021</v>
      </c>
      <c r="B327" s="5" t="s">
        <v>339</v>
      </c>
      <c r="C327" s="5" t="s">
        <v>368</v>
      </c>
      <c r="D327" s="5" t="n">
        <v>17</v>
      </c>
      <c r="E327" s="13" t="n">
        <v>2.58</v>
      </c>
      <c r="F327" s="14" t="n">
        <f aca="false">E327*Assumptions!$D$4</f>
        <v>334.519099704113</v>
      </c>
      <c r="G327" s="14" t="n">
        <v>120</v>
      </c>
      <c r="H327" s="14" t="n">
        <v>215</v>
      </c>
      <c r="I327" s="14" t="n">
        <f aca="false">F327-(G327+H327)/2</f>
        <v>167.019099704112</v>
      </c>
      <c r="J327" s="5" t="str">
        <f aca="false">IF(D327&lt;8,"LOW SAMPLE",IF(F327&gt;H327*(1+Assumptions!$B$10),"UNDERPAID",IF(F327&lt;G327*(1-Assumptions!$B$10),"OVERPAID","FAIR")))</f>
        <v>UNDERPAID</v>
      </c>
      <c r="K327" s="5" t="n">
        <v>23</v>
      </c>
    </row>
    <row r="328" customFormat="false" ht="15" hidden="false" customHeight="false" outlineLevel="0" collapsed="false">
      <c r="A328" s="5" t="n">
        <v>2021</v>
      </c>
      <c r="B328" s="5" t="s">
        <v>339</v>
      </c>
      <c r="C328" s="5" t="s">
        <v>369</v>
      </c>
      <c r="D328" s="5" t="n">
        <v>8</v>
      </c>
      <c r="E328" s="13" t="n">
        <v>0.85</v>
      </c>
      <c r="F328" s="14" t="n">
        <f aca="false">E328*Assumptions!$D$4</f>
        <v>110.20978091027</v>
      </c>
      <c r="G328" s="14" t="n">
        <v>330</v>
      </c>
      <c r="H328" s="14" t="n">
        <v>435</v>
      </c>
      <c r="I328" s="14" t="n">
        <f aca="false">F328-(G328+H328)/2</f>
        <v>-272.29021908973</v>
      </c>
      <c r="J328" s="5" t="str">
        <f aca="false">IF(D328&lt;8,"LOW SAMPLE",IF(F328&gt;H328*(1+Assumptions!$B$10),"UNDERPAID",IF(F328&lt;G328*(1-Assumptions!$B$10),"OVERPAID","FAIR")))</f>
        <v>OVERPAID</v>
      </c>
      <c r="K328" s="5" t="n">
        <v>101</v>
      </c>
    </row>
    <row r="329" customFormat="false" ht="15" hidden="false" customHeight="false" outlineLevel="0" collapsed="false">
      <c r="A329" s="5" t="n">
        <v>2021</v>
      </c>
      <c r="B329" s="5" t="s">
        <v>339</v>
      </c>
      <c r="C329" s="5" t="s">
        <v>370</v>
      </c>
      <c r="D329" s="5" t="n">
        <v>19</v>
      </c>
      <c r="E329" s="13" t="n">
        <v>3.79</v>
      </c>
      <c r="F329" s="14" t="n">
        <f aca="false">E329*Assumptions!$D$4</f>
        <v>491.405964294026</v>
      </c>
      <c r="G329" s="14" t="n">
        <v>330</v>
      </c>
      <c r="H329" s="14" t="n">
        <v>435</v>
      </c>
      <c r="I329" s="14" t="n">
        <f aca="false">F329-(G329+H329)/2</f>
        <v>108.905964294026</v>
      </c>
      <c r="J329" s="5" t="str">
        <f aca="false">IF(D329&lt;8,"LOW SAMPLE",IF(F329&gt;H329*(1+Assumptions!$B$10),"UNDERPAID",IF(F329&lt;G329*(1-Assumptions!$B$10),"OVERPAID","FAIR")))</f>
        <v>FAIR</v>
      </c>
      <c r="K329" s="5" t="n">
        <v>40</v>
      </c>
    </row>
    <row r="330" customFormat="false" ht="15" hidden="false" customHeight="false" outlineLevel="0" collapsed="false">
      <c r="A330" s="5" t="n">
        <v>2021</v>
      </c>
      <c r="B330" s="5" t="s">
        <v>339</v>
      </c>
      <c r="C330" s="5" t="s">
        <v>371</v>
      </c>
      <c r="D330" s="5" t="n">
        <v>6</v>
      </c>
      <c r="E330" s="13" t="n">
        <v>0.92</v>
      </c>
      <c r="F330" s="14" t="n">
        <f aca="false">E330*Assumptions!$D$4</f>
        <v>119.285880514645</v>
      </c>
      <c r="G330" s="14" t="n">
        <v>330</v>
      </c>
      <c r="H330" s="14" t="n">
        <v>435</v>
      </c>
      <c r="I330" s="14" t="n">
        <f aca="false">F330-(G330+H330)/2</f>
        <v>-263.214119485355</v>
      </c>
      <c r="J330" s="5" t="str">
        <f aca="false">IF(D330&lt;8,"LOW SAMPLE",IF(F330&gt;H330*(1+Assumptions!$B$10),"UNDERPAID",IF(F330&lt;G330*(1-Assumptions!$B$10),"OVERPAID","FAIR")))</f>
        <v>LOW SAMPLE</v>
      </c>
      <c r="K330" s="5" t="n">
        <v>73</v>
      </c>
    </row>
    <row r="331" customFormat="false" ht="15" hidden="false" customHeight="false" outlineLevel="0" collapsed="false">
      <c r="A331" s="5" t="n">
        <v>2021</v>
      </c>
      <c r="B331" s="5" t="s">
        <v>339</v>
      </c>
      <c r="C331" s="5" t="s">
        <v>372</v>
      </c>
      <c r="D331" s="5" t="n">
        <v>16</v>
      </c>
      <c r="E331" s="13" t="n">
        <v>2.03</v>
      </c>
      <c r="F331" s="14" t="n">
        <f aca="false">E331*Assumptions!$D$4</f>
        <v>263.206888526879</v>
      </c>
      <c r="G331" s="14" t="n">
        <v>120</v>
      </c>
      <c r="H331" s="14" t="n">
        <v>215</v>
      </c>
      <c r="I331" s="14" t="n">
        <f aca="false">F331-(G331+H331)/2</f>
        <v>95.7068885268792</v>
      </c>
      <c r="J331" s="5" t="str">
        <f aca="false">IF(D331&lt;8,"LOW SAMPLE",IF(F331&gt;H331*(1+Assumptions!$B$10),"UNDERPAID",IF(F331&lt;G331*(1-Assumptions!$B$10),"OVERPAID","FAIR")))</f>
        <v>UNDERPAID</v>
      </c>
      <c r="K331" s="5" t="n">
        <v>5</v>
      </c>
    </row>
    <row r="332" customFormat="false" ht="15" hidden="false" customHeight="false" outlineLevel="0" collapsed="false">
      <c r="A332" s="5" t="n">
        <v>2021</v>
      </c>
      <c r="B332" s="5" t="s">
        <v>339</v>
      </c>
      <c r="C332" s="5" t="s">
        <v>373</v>
      </c>
      <c r="D332" s="5" t="n">
        <v>21</v>
      </c>
      <c r="E332" s="13" t="n">
        <v>2.72</v>
      </c>
      <c r="F332" s="14" t="n">
        <f aca="false">E332*Assumptions!$D$4</f>
        <v>352.671298912863</v>
      </c>
      <c r="G332" s="14" t="n">
        <v>215</v>
      </c>
      <c r="H332" s="14" t="n">
        <v>330</v>
      </c>
      <c r="I332" s="14" t="n">
        <f aca="false">F332-(G332+H332)/2</f>
        <v>80.1712989128628</v>
      </c>
      <c r="J332" s="5" t="str">
        <f aca="false">IF(D332&lt;8,"LOW SAMPLE",IF(F332&gt;H332*(1+Assumptions!$B$10),"UNDERPAID",IF(F332&lt;G332*(1-Assumptions!$B$10),"OVERPAID","FAIR")))</f>
        <v>FAIR</v>
      </c>
      <c r="K332" s="5" t="n">
        <v>75</v>
      </c>
    </row>
    <row r="333" customFormat="false" ht="15" hidden="false" customHeight="false" outlineLevel="0" collapsed="false">
      <c r="A333" s="5" t="n">
        <v>2021</v>
      </c>
      <c r="B333" s="5" t="s">
        <v>339</v>
      </c>
      <c r="C333" s="5" t="s">
        <v>374</v>
      </c>
      <c r="D333" s="5" t="n">
        <v>21</v>
      </c>
      <c r="E333" s="13" t="n">
        <v>6.39</v>
      </c>
      <c r="F333" s="14" t="n">
        <f aca="false">E333*Assumptions!$D$4</f>
        <v>828.518235313674</v>
      </c>
      <c r="G333" s="14" t="n">
        <v>590</v>
      </c>
      <c r="H333" s="14" t="n">
        <v>820</v>
      </c>
      <c r="I333" s="14" t="n">
        <f aca="false">F333-(G333+H333)/2</f>
        <v>123.518235313674</v>
      </c>
      <c r="J333" s="5" t="str">
        <f aca="false">IF(D333&lt;8,"LOW SAMPLE",IF(F333&gt;H333*(1+Assumptions!$B$10),"UNDERPAID",IF(F333&lt;G333*(1-Assumptions!$B$10),"OVERPAID","FAIR")))</f>
        <v>FAIR</v>
      </c>
      <c r="K333" s="5" t="n">
        <v>117</v>
      </c>
    </row>
    <row r="334" customFormat="false" ht="15" hidden="false" customHeight="false" outlineLevel="0" collapsed="false">
      <c r="A334" s="5" t="n">
        <v>2021</v>
      </c>
      <c r="B334" s="5" t="s">
        <v>339</v>
      </c>
      <c r="C334" s="5" t="s">
        <v>375</v>
      </c>
      <c r="D334" s="5" t="n">
        <v>22</v>
      </c>
      <c r="E334" s="13" t="n">
        <v>4.21</v>
      </c>
      <c r="F334" s="14" t="n">
        <f aca="false">E334*Assumptions!$D$4</f>
        <v>545.862561920277</v>
      </c>
      <c r="G334" s="14" t="n">
        <v>330</v>
      </c>
      <c r="H334" s="14" t="n">
        <v>435</v>
      </c>
      <c r="I334" s="14" t="n">
        <f aca="false">F334-(G334+H334)/2</f>
        <v>163.362561920277</v>
      </c>
      <c r="J334" s="5" t="str">
        <f aca="false">IF(D334&lt;8,"LOW SAMPLE",IF(F334&gt;H334*(1+Assumptions!$B$10),"UNDERPAID",IF(F334&lt;G334*(1-Assumptions!$B$10),"OVERPAID","FAIR")))</f>
        <v>UNDERPAID</v>
      </c>
      <c r="K334" s="5" t="n">
        <v>35</v>
      </c>
    </row>
    <row r="335" customFormat="false" ht="15" hidden="false" customHeight="false" outlineLevel="0" collapsed="false">
      <c r="A335" s="5" t="n">
        <v>2021</v>
      </c>
      <c r="B335" s="5" t="s">
        <v>339</v>
      </c>
      <c r="C335" s="5" t="s">
        <v>376</v>
      </c>
      <c r="D335" s="5" t="n">
        <v>5</v>
      </c>
      <c r="E335" s="13" t="n">
        <v>0.47</v>
      </c>
      <c r="F335" s="14" t="n">
        <f aca="false">E335*Assumptions!$D$4</f>
        <v>60.9395259150903</v>
      </c>
      <c r="G335" s="14" t="n">
        <v>120</v>
      </c>
      <c r="H335" s="14" t="n">
        <v>215</v>
      </c>
      <c r="I335" s="14" t="n">
        <f aca="false">F335-(G335+H335)/2</f>
        <v>-106.56047408491</v>
      </c>
      <c r="J335" s="5" t="str">
        <f aca="false">IF(D335&lt;8,"LOW SAMPLE",IF(F335&gt;H335*(1+Assumptions!$B$10),"UNDERPAID",IF(F335&lt;G335*(1-Assumptions!$B$10),"OVERPAID","FAIR")))</f>
        <v>LOW SAMPLE</v>
      </c>
      <c r="K335" s="5" t="n">
        <v>20</v>
      </c>
    </row>
    <row r="336" customFormat="false" ht="15" hidden="false" customHeight="false" outlineLevel="0" collapsed="false">
      <c r="A336" s="5" t="n">
        <v>2021</v>
      </c>
      <c r="B336" s="5" t="s">
        <v>339</v>
      </c>
      <c r="C336" s="5" t="s">
        <v>377</v>
      </c>
      <c r="D336" s="5" t="n">
        <v>9</v>
      </c>
      <c r="E336" s="13" t="n">
        <v>1.68</v>
      </c>
      <c r="F336" s="14" t="n">
        <f aca="false">E336*Assumptions!$D$4</f>
        <v>217.826390505003</v>
      </c>
      <c r="G336" s="14" t="n">
        <v>215</v>
      </c>
      <c r="H336" s="14" t="n">
        <v>330</v>
      </c>
      <c r="I336" s="14" t="n">
        <f aca="false">F336-(G336+H336)/2</f>
        <v>-54.6736094949965</v>
      </c>
      <c r="J336" s="5" t="str">
        <f aca="false">IF(D336&lt;8,"LOW SAMPLE",IF(F336&gt;H336*(1+Assumptions!$B$10),"UNDERPAID",IF(F336&lt;G336*(1-Assumptions!$B$10),"OVERPAID","FAIR")))</f>
        <v>FAIR</v>
      </c>
      <c r="K336" s="5" t="n">
        <v>61</v>
      </c>
    </row>
    <row r="337" customFormat="false" ht="15" hidden="false" customHeight="false" outlineLevel="0" collapsed="false">
      <c r="A337" s="5" t="n">
        <v>2021</v>
      </c>
      <c r="B337" s="5" t="s">
        <v>378</v>
      </c>
      <c r="C337" s="5" t="s">
        <v>379</v>
      </c>
      <c r="D337" s="5" t="n">
        <v>22</v>
      </c>
      <c r="E337" s="13" t="n">
        <v>5.21</v>
      </c>
      <c r="F337" s="14" t="n">
        <f aca="false">E337*Assumptions!$D$4</f>
        <v>675.521127697064</v>
      </c>
      <c r="G337" s="14" t="n">
        <v>435</v>
      </c>
      <c r="H337" s="14" t="n">
        <v>590</v>
      </c>
      <c r="I337" s="14" t="n">
        <f aca="false">F337-(G337+H337)/2</f>
        <v>163.021127697064</v>
      </c>
      <c r="J337" s="5" t="str">
        <f aca="false">IF(D337&lt;8,"LOW SAMPLE",IF(F337&gt;H337*(1+Assumptions!$B$10),"UNDERPAID",IF(F337&lt;G337*(1-Assumptions!$B$10),"OVERPAID","FAIR")))</f>
        <v>FAIR</v>
      </c>
      <c r="K337" s="5" t="n">
        <v>118</v>
      </c>
    </row>
    <row r="338" customFormat="false" ht="15" hidden="false" customHeight="false" outlineLevel="0" collapsed="false">
      <c r="A338" s="5" t="n">
        <v>2021</v>
      </c>
      <c r="B338" s="5" t="s">
        <v>378</v>
      </c>
      <c r="C338" s="5" t="s">
        <v>380</v>
      </c>
      <c r="D338" s="5" t="n">
        <v>20</v>
      </c>
      <c r="E338" s="13" t="n">
        <v>4.11</v>
      </c>
      <c r="F338" s="14" t="n">
        <f aca="false">E338*Assumptions!$D$4</f>
        <v>532.896705342598</v>
      </c>
      <c r="G338" s="14" t="n">
        <v>435</v>
      </c>
      <c r="H338" s="14" t="n">
        <v>590</v>
      </c>
      <c r="I338" s="14" t="n">
        <f aca="false">F338-(G338+H338)/2</f>
        <v>20.3967053425978</v>
      </c>
      <c r="J338" s="5" t="str">
        <f aca="false">IF(D338&lt;8,"LOW SAMPLE",IF(F338&gt;H338*(1+Assumptions!$B$10),"UNDERPAID",IF(F338&lt;G338*(1-Assumptions!$B$10),"OVERPAID","FAIR")))</f>
        <v>FAIR</v>
      </c>
      <c r="K338" s="5" t="n">
        <v>82</v>
      </c>
    </row>
    <row r="339" customFormat="false" ht="15" hidden="false" customHeight="false" outlineLevel="0" collapsed="false">
      <c r="A339" s="5" t="n">
        <v>2021</v>
      </c>
      <c r="B339" s="5" t="s">
        <v>378</v>
      </c>
      <c r="C339" s="5" t="s">
        <v>381</v>
      </c>
      <c r="D339" s="5" t="n">
        <v>16</v>
      </c>
      <c r="E339" s="13" t="n">
        <v>4.21</v>
      </c>
      <c r="F339" s="14" t="n">
        <f aca="false">E339*Assumptions!$D$4</f>
        <v>545.862561920277</v>
      </c>
      <c r="G339" s="14" t="n">
        <v>590</v>
      </c>
      <c r="H339" s="14" t="n">
        <v>820</v>
      </c>
      <c r="I339" s="14" t="n">
        <f aca="false">F339-(G339+H339)/2</f>
        <v>-159.137438079723</v>
      </c>
      <c r="J339" s="5" t="str">
        <f aca="false">IF(D339&lt;8,"LOW SAMPLE",IF(F339&gt;H339*(1+Assumptions!$B$10),"UNDERPAID",IF(F339&lt;G339*(1-Assumptions!$B$10),"OVERPAID","FAIR")))</f>
        <v>FAIR</v>
      </c>
      <c r="K339" s="5" t="n">
        <v>111</v>
      </c>
    </row>
    <row r="340" customFormat="false" ht="15" hidden="false" customHeight="false" outlineLevel="0" collapsed="false">
      <c r="A340" s="5" t="n">
        <v>2021</v>
      </c>
      <c r="B340" s="5" t="s">
        <v>378</v>
      </c>
      <c r="C340" s="5" t="s">
        <v>382</v>
      </c>
      <c r="D340" s="5" t="n">
        <v>16</v>
      </c>
      <c r="E340" s="13" t="n">
        <v>2.97</v>
      </c>
      <c r="F340" s="14" t="n">
        <f aca="false">E340*Assumptions!$D$4</f>
        <v>385.08594035706</v>
      </c>
      <c r="G340" s="14" t="n">
        <v>120</v>
      </c>
      <c r="H340" s="14" t="n">
        <v>215</v>
      </c>
      <c r="I340" s="14" t="n">
        <f aca="false">F340-(G340+H340)/2</f>
        <v>217.58594035706</v>
      </c>
      <c r="J340" s="5" t="str">
        <f aca="false">IF(D340&lt;8,"LOW SAMPLE",IF(F340&gt;H340*(1+Assumptions!$B$10),"UNDERPAID",IF(F340&lt;G340*(1-Assumptions!$B$10),"OVERPAID","FAIR")))</f>
        <v>UNDERPAID</v>
      </c>
      <c r="K340" s="5" t="n">
        <v>7</v>
      </c>
    </row>
    <row r="341" customFormat="false" ht="15" hidden="false" customHeight="false" outlineLevel="0" collapsed="false">
      <c r="A341" s="5" t="n">
        <v>2021</v>
      </c>
      <c r="B341" s="5" t="s">
        <v>378</v>
      </c>
      <c r="C341" s="5" t="s">
        <v>383</v>
      </c>
      <c r="D341" s="5" t="n">
        <v>2</v>
      </c>
      <c r="E341" s="13" t="n">
        <v>0.06</v>
      </c>
      <c r="F341" s="14" t="n">
        <f aca="false">E341*Assumptions!$D$4</f>
        <v>7.77951394660727</v>
      </c>
      <c r="G341" s="14" t="n">
        <v>215</v>
      </c>
      <c r="H341" s="14" t="n">
        <v>330</v>
      </c>
      <c r="I341" s="14" t="n">
        <f aca="false">F341-(G341+H341)/2</f>
        <v>-264.720486053393</v>
      </c>
      <c r="J341" s="5" t="str">
        <f aca="false">IF(D341&lt;8,"LOW SAMPLE",IF(F341&gt;H341*(1+Assumptions!$B$10),"UNDERPAID",IF(F341&lt;G341*(1-Assumptions!$B$10),"OVERPAID","FAIR")))</f>
        <v>LOW SAMPLE</v>
      </c>
      <c r="K341" s="5" t="n">
        <v>0</v>
      </c>
    </row>
    <row r="342" customFormat="false" ht="15" hidden="false" customHeight="false" outlineLevel="0" collapsed="false">
      <c r="A342" s="5" t="n">
        <v>2021</v>
      </c>
      <c r="B342" s="5" t="s">
        <v>378</v>
      </c>
      <c r="C342" s="5" t="s">
        <v>384</v>
      </c>
      <c r="D342" s="5" t="n">
        <v>8</v>
      </c>
      <c r="E342" s="13" t="n">
        <v>1.17</v>
      </c>
      <c r="F342" s="14" t="n">
        <f aca="false">E342*Assumptions!$D$4</f>
        <v>151.700521958842</v>
      </c>
      <c r="G342" s="14" t="n">
        <v>120</v>
      </c>
      <c r="H342" s="14" t="n">
        <v>215</v>
      </c>
      <c r="I342" s="14" t="n">
        <f aca="false">F342-(G342+H342)/2</f>
        <v>-15.7994780411583</v>
      </c>
      <c r="J342" s="5" t="str">
        <f aca="false">IF(D342&lt;8,"LOW SAMPLE",IF(F342&gt;H342*(1+Assumptions!$B$10),"UNDERPAID",IF(F342&lt;G342*(1-Assumptions!$B$10),"OVERPAID","FAIR")))</f>
        <v>FAIR</v>
      </c>
      <c r="K342" s="5" t="n">
        <v>21</v>
      </c>
    </row>
    <row r="343" customFormat="false" ht="15" hidden="false" customHeight="false" outlineLevel="0" collapsed="false">
      <c r="A343" s="5" t="n">
        <v>2021</v>
      </c>
      <c r="B343" s="5" t="s">
        <v>378</v>
      </c>
      <c r="C343" s="5" t="s">
        <v>385</v>
      </c>
      <c r="D343" s="5" t="n">
        <v>7</v>
      </c>
      <c r="E343" s="13" t="n">
        <v>0.69</v>
      </c>
      <c r="F343" s="14" t="n">
        <f aca="false">E343*Assumptions!$D$4</f>
        <v>89.4644103859836</v>
      </c>
      <c r="G343" s="14" t="n">
        <v>120</v>
      </c>
      <c r="H343" s="14" t="n">
        <v>215</v>
      </c>
      <c r="I343" s="14" t="n">
        <f aca="false">F343-(G343+H343)/2</f>
        <v>-78.0355896140164</v>
      </c>
      <c r="J343" s="5" t="str">
        <f aca="false">IF(D343&lt;8,"LOW SAMPLE",IF(F343&gt;H343*(1+Assumptions!$B$10),"UNDERPAID",IF(F343&lt;G343*(1-Assumptions!$B$10),"OVERPAID","FAIR")))</f>
        <v>LOW SAMPLE</v>
      </c>
      <c r="K343" s="5" t="n">
        <v>3</v>
      </c>
    </row>
    <row r="344" customFormat="false" ht="15" hidden="false" customHeight="false" outlineLevel="0" collapsed="false">
      <c r="A344" s="5" t="n">
        <v>2021</v>
      </c>
      <c r="B344" s="5" t="s">
        <v>378</v>
      </c>
      <c r="C344" s="5" t="s">
        <v>386</v>
      </c>
      <c r="D344" s="5" t="n">
        <v>20</v>
      </c>
      <c r="E344" s="13" t="n">
        <v>3.23</v>
      </c>
      <c r="F344" s="14" t="n">
        <f aca="false">E344*Assumptions!$D$4</f>
        <v>418.797167459025</v>
      </c>
      <c r="G344" s="14" t="n">
        <v>215</v>
      </c>
      <c r="H344" s="14" t="n">
        <v>330</v>
      </c>
      <c r="I344" s="14" t="n">
        <f aca="false">F344-(G344+H344)/2</f>
        <v>146.297167459025</v>
      </c>
      <c r="J344" s="5" t="str">
        <f aca="false">IF(D344&lt;8,"LOW SAMPLE",IF(F344&gt;H344*(1+Assumptions!$B$10),"UNDERPAID",IF(F344&lt;G344*(1-Assumptions!$B$10),"OVERPAID","FAIR")))</f>
        <v>UNDERPAID</v>
      </c>
      <c r="K344" s="5" t="n">
        <v>67</v>
      </c>
    </row>
    <row r="345" customFormat="false" ht="15" hidden="false" customHeight="false" outlineLevel="0" collapsed="false">
      <c r="A345" s="5" t="n">
        <v>2021</v>
      </c>
      <c r="B345" s="5" t="s">
        <v>378</v>
      </c>
      <c r="C345" s="5" t="s">
        <v>387</v>
      </c>
      <c r="D345" s="5" t="n">
        <v>5</v>
      </c>
      <c r="E345" s="13" t="n">
        <v>0.58</v>
      </c>
      <c r="F345" s="14" t="n">
        <f aca="false">E345*Assumptions!$D$4</f>
        <v>75.2019681505369</v>
      </c>
      <c r="G345" s="14" t="n">
        <v>215</v>
      </c>
      <c r="H345" s="14" t="n">
        <v>330</v>
      </c>
      <c r="I345" s="14" t="n">
        <f aca="false">F345-(G345+H345)/2</f>
        <v>-197.298031849463</v>
      </c>
      <c r="J345" s="5" t="str">
        <f aca="false">IF(D345&lt;8,"LOW SAMPLE",IF(F345&gt;H345*(1+Assumptions!$B$10),"UNDERPAID",IF(F345&lt;G345*(1-Assumptions!$B$10),"OVERPAID","FAIR")))</f>
        <v>LOW SAMPLE</v>
      </c>
      <c r="K345" s="5" t="n">
        <v>0</v>
      </c>
    </row>
    <row r="346" customFormat="false" ht="15" hidden="false" customHeight="false" outlineLevel="0" collapsed="false">
      <c r="A346" s="5" t="n">
        <v>2021</v>
      </c>
      <c r="B346" s="5" t="s">
        <v>378</v>
      </c>
      <c r="C346" s="5" t="s">
        <v>388</v>
      </c>
      <c r="D346" s="5" t="n">
        <v>20</v>
      </c>
      <c r="E346" s="13" t="n">
        <v>3.79</v>
      </c>
      <c r="F346" s="14" t="n">
        <f aca="false">E346*Assumptions!$D$4</f>
        <v>491.405964294026</v>
      </c>
      <c r="G346" s="14" t="n">
        <v>120</v>
      </c>
      <c r="H346" s="14" t="n">
        <v>215</v>
      </c>
      <c r="I346" s="14" t="n">
        <f aca="false">F346-(G346+H346)/2</f>
        <v>323.905964294026</v>
      </c>
      <c r="J346" s="5" t="str">
        <f aca="false">IF(D346&lt;8,"LOW SAMPLE",IF(F346&gt;H346*(1+Assumptions!$B$10),"UNDERPAID",IF(F346&lt;G346*(1-Assumptions!$B$10),"OVERPAID","FAIR")))</f>
        <v>UNDERPAID</v>
      </c>
      <c r="K346" s="5" t="n">
        <v>10</v>
      </c>
    </row>
    <row r="347" customFormat="false" ht="15" hidden="false" customHeight="false" outlineLevel="0" collapsed="false">
      <c r="A347" s="5" t="n">
        <v>2021</v>
      </c>
      <c r="B347" s="5" t="s">
        <v>378</v>
      </c>
      <c r="C347" s="5" t="s">
        <v>389</v>
      </c>
      <c r="D347" s="5" t="n">
        <v>4</v>
      </c>
      <c r="E347" s="13" t="n">
        <v>0.39</v>
      </c>
      <c r="F347" s="14" t="n">
        <f aca="false">E347*Assumptions!$D$4</f>
        <v>50.5668406529472</v>
      </c>
      <c r="G347" s="14" t="n">
        <v>215</v>
      </c>
      <c r="H347" s="14" t="n">
        <v>330</v>
      </c>
      <c r="I347" s="14" t="n">
        <f aca="false">F347-(G347+H347)/2</f>
        <v>-221.933159347053</v>
      </c>
      <c r="J347" s="5" t="str">
        <f aca="false">IF(D347&lt;8,"LOW SAMPLE",IF(F347&gt;H347*(1+Assumptions!$B$10),"UNDERPAID",IF(F347&lt;G347*(1-Assumptions!$B$10),"OVERPAID","FAIR")))</f>
        <v>LOW SAMPLE</v>
      </c>
      <c r="K347" s="5" t="n">
        <v>0</v>
      </c>
    </row>
    <row r="348" customFormat="false" ht="15" hidden="false" customHeight="false" outlineLevel="0" collapsed="false">
      <c r="A348" s="5" t="n">
        <v>2021</v>
      </c>
      <c r="B348" s="5" t="s">
        <v>378</v>
      </c>
      <c r="C348" s="5" t="s">
        <v>390</v>
      </c>
      <c r="D348" s="5" t="n">
        <v>2</v>
      </c>
      <c r="E348" s="13" t="n">
        <v>0.26</v>
      </c>
      <c r="F348" s="14" t="n">
        <f aca="false">E348*Assumptions!$D$4</f>
        <v>33.7112271019648</v>
      </c>
      <c r="G348" s="14" t="n">
        <v>120</v>
      </c>
      <c r="H348" s="14" t="n">
        <v>215</v>
      </c>
      <c r="I348" s="14" t="n">
        <f aca="false">F348-(G348+H348)/2</f>
        <v>-133.788772898035</v>
      </c>
      <c r="J348" s="5" t="str">
        <f aca="false">IF(D348&lt;8,"LOW SAMPLE",IF(F348&gt;H348*(1+Assumptions!$B$10),"UNDERPAID",IF(F348&lt;G348*(1-Assumptions!$B$10),"OVERPAID","FAIR")))</f>
        <v>LOW SAMPLE</v>
      </c>
      <c r="K348" s="5" t="n">
        <v>1</v>
      </c>
    </row>
    <row r="349" customFormat="false" ht="15" hidden="false" customHeight="false" outlineLevel="0" collapsed="false">
      <c r="A349" s="5" t="n">
        <v>2021</v>
      </c>
      <c r="B349" s="5" t="s">
        <v>378</v>
      </c>
      <c r="C349" s="5" t="s">
        <v>391</v>
      </c>
      <c r="D349" s="5" t="n">
        <v>15</v>
      </c>
      <c r="E349" s="13" t="n">
        <v>2.08</v>
      </c>
      <c r="F349" s="14" t="n">
        <f aca="false">E349*Assumptions!$D$4</f>
        <v>269.689816815719</v>
      </c>
      <c r="G349" s="14" t="n">
        <v>215</v>
      </c>
      <c r="H349" s="14" t="n">
        <v>330</v>
      </c>
      <c r="I349" s="14" t="n">
        <f aca="false">F349-(G349+H349)/2</f>
        <v>-2.81018318428141</v>
      </c>
      <c r="J349" s="5" t="str">
        <f aca="false">IF(D349&lt;8,"LOW SAMPLE",IF(F349&gt;H349*(1+Assumptions!$B$10),"UNDERPAID",IF(F349&lt;G349*(1-Assumptions!$B$10),"OVERPAID","FAIR")))</f>
        <v>FAIR</v>
      </c>
      <c r="K349" s="5" t="n">
        <v>42</v>
      </c>
    </row>
    <row r="350" customFormat="false" ht="15" hidden="false" customHeight="false" outlineLevel="0" collapsed="false">
      <c r="A350" s="5" t="n">
        <v>2021</v>
      </c>
      <c r="B350" s="5" t="s">
        <v>378</v>
      </c>
      <c r="C350" s="5" t="s">
        <v>392</v>
      </c>
      <c r="D350" s="5" t="n">
        <v>1</v>
      </c>
      <c r="E350" s="13" t="n">
        <v>0.08</v>
      </c>
      <c r="F350" s="14" t="n">
        <f aca="false">E350*Assumptions!$D$4</f>
        <v>10.372685262143</v>
      </c>
      <c r="G350" s="14" t="n">
        <v>590</v>
      </c>
      <c r="H350" s="14" t="n">
        <v>820</v>
      </c>
      <c r="I350" s="14" t="n">
        <f aca="false">F350-(G350+H350)/2</f>
        <v>-694.627314737857</v>
      </c>
      <c r="J350" s="5" t="str">
        <f aca="false">IF(D350&lt;8,"LOW SAMPLE",IF(F350&gt;H350*(1+Assumptions!$B$10),"UNDERPAID",IF(F350&lt;G350*(1-Assumptions!$B$10),"OVERPAID","FAIR")))</f>
        <v>LOW SAMPLE</v>
      </c>
      <c r="K350" s="5" t="n">
        <v>129</v>
      </c>
    </row>
    <row r="351" customFormat="false" ht="15" hidden="false" customHeight="false" outlineLevel="0" collapsed="false">
      <c r="A351" s="5" t="n">
        <v>2021</v>
      </c>
      <c r="B351" s="5" t="s">
        <v>378</v>
      </c>
      <c r="C351" s="5" t="s">
        <v>393</v>
      </c>
      <c r="D351" s="5" t="n">
        <v>20</v>
      </c>
      <c r="E351" s="13" t="n">
        <v>3.51</v>
      </c>
      <c r="F351" s="14" t="n">
        <f aca="false">E351*Assumptions!$D$4</f>
        <v>455.101565876525</v>
      </c>
      <c r="G351" s="14" t="n">
        <v>330</v>
      </c>
      <c r="H351" s="14" t="n">
        <v>435</v>
      </c>
      <c r="I351" s="14" t="n">
        <f aca="false">F351-(G351+H351)/2</f>
        <v>72.6015658765251</v>
      </c>
      <c r="J351" s="5" t="str">
        <f aca="false">IF(D351&lt;8,"LOW SAMPLE",IF(F351&gt;H351*(1+Assumptions!$B$10),"UNDERPAID",IF(F351&lt;G351*(1-Assumptions!$B$10),"OVERPAID","FAIR")))</f>
        <v>FAIR</v>
      </c>
      <c r="K351" s="5" t="n">
        <v>27</v>
      </c>
    </row>
    <row r="352" customFormat="false" ht="15" hidden="false" customHeight="false" outlineLevel="0" collapsed="false">
      <c r="A352" s="5" t="n">
        <v>2021</v>
      </c>
      <c r="B352" s="5" t="s">
        <v>378</v>
      </c>
      <c r="C352" s="5" t="s">
        <v>394</v>
      </c>
      <c r="D352" s="5" t="n">
        <v>20</v>
      </c>
      <c r="E352" s="13" t="n">
        <v>3.75</v>
      </c>
      <c r="F352" s="14" t="n">
        <f aca="false">E352*Assumptions!$D$4</f>
        <v>486.219621662954</v>
      </c>
      <c r="G352" s="14" t="n">
        <v>215</v>
      </c>
      <c r="H352" s="14" t="n">
        <v>330</v>
      </c>
      <c r="I352" s="14" t="n">
        <f aca="false">F352-(G352+H352)/2</f>
        <v>213.719621662954</v>
      </c>
      <c r="J352" s="5" t="str">
        <f aca="false">IF(D352&lt;8,"LOW SAMPLE",IF(F352&gt;H352*(1+Assumptions!$B$10),"UNDERPAID",IF(F352&lt;G352*(1-Assumptions!$B$10),"OVERPAID","FAIR")))</f>
        <v>UNDERPAID</v>
      </c>
      <c r="K352" s="5" t="n">
        <v>0</v>
      </c>
    </row>
    <row r="353" customFormat="false" ht="15" hidden="false" customHeight="false" outlineLevel="0" collapsed="false">
      <c r="A353" s="5" t="n">
        <v>2021</v>
      </c>
      <c r="B353" s="5" t="s">
        <v>378</v>
      </c>
      <c r="C353" s="5" t="s">
        <v>395</v>
      </c>
      <c r="D353" s="5" t="n">
        <v>18</v>
      </c>
      <c r="E353" s="13" t="n">
        <v>5.07</v>
      </c>
      <c r="F353" s="14" t="n">
        <f aca="false">E353*Assumptions!$D$4</f>
        <v>657.368928488314</v>
      </c>
      <c r="G353" s="14" t="n">
        <v>590</v>
      </c>
      <c r="H353" s="14" t="n">
        <v>820</v>
      </c>
      <c r="I353" s="14" t="n">
        <f aca="false">F353-(G353+H353)/2</f>
        <v>-47.6310715116859</v>
      </c>
      <c r="J353" s="5" t="str">
        <f aca="false">IF(D353&lt;8,"LOW SAMPLE",IF(F353&gt;H353*(1+Assumptions!$B$10),"UNDERPAID",IF(F353&lt;G353*(1-Assumptions!$B$10),"OVERPAID","FAIR")))</f>
        <v>FAIR</v>
      </c>
      <c r="K353" s="5" t="n">
        <v>60</v>
      </c>
    </row>
    <row r="354" customFormat="false" ht="15" hidden="false" customHeight="false" outlineLevel="0" collapsed="false">
      <c r="A354" s="5" t="n">
        <v>2021</v>
      </c>
      <c r="B354" s="5" t="s">
        <v>378</v>
      </c>
      <c r="C354" s="5" t="s">
        <v>396</v>
      </c>
      <c r="D354" s="5" t="n">
        <v>7</v>
      </c>
      <c r="E354" s="13" t="n">
        <v>0.78</v>
      </c>
      <c r="F354" s="14" t="n">
        <f aca="false">E354*Assumptions!$D$4</f>
        <v>101.133681305894</v>
      </c>
      <c r="G354" s="14" t="n">
        <v>215</v>
      </c>
      <c r="H354" s="14" t="n">
        <v>330</v>
      </c>
      <c r="I354" s="14" t="n">
        <f aca="false">F354-(G354+H354)/2</f>
        <v>-171.366318694106</v>
      </c>
      <c r="J354" s="5" t="str">
        <f aca="false">IF(D354&lt;8,"LOW SAMPLE",IF(F354&gt;H354*(1+Assumptions!$B$10),"UNDERPAID",IF(F354&lt;G354*(1-Assumptions!$B$10),"OVERPAID","FAIR")))</f>
        <v>LOW SAMPLE</v>
      </c>
      <c r="K354" s="5" t="n">
        <v>0</v>
      </c>
    </row>
    <row r="355" customFormat="false" ht="15" hidden="false" customHeight="false" outlineLevel="0" collapsed="false">
      <c r="A355" s="5" t="n">
        <v>2021</v>
      </c>
      <c r="B355" s="5" t="s">
        <v>378</v>
      </c>
      <c r="C355" s="5" t="s">
        <v>397</v>
      </c>
      <c r="D355" s="5" t="n">
        <v>10</v>
      </c>
      <c r="E355" s="13" t="n">
        <v>1.87</v>
      </c>
      <c r="F355" s="14" t="n">
        <f aca="false">E355*Assumptions!$D$4</f>
        <v>242.461518002593</v>
      </c>
      <c r="G355" s="14" t="n">
        <v>215</v>
      </c>
      <c r="H355" s="14" t="n">
        <v>330</v>
      </c>
      <c r="I355" s="14" t="n">
        <f aca="false">F355-(G355+H355)/2</f>
        <v>-30.0384819974068</v>
      </c>
      <c r="J355" s="5" t="str">
        <f aca="false">IF(D355&lt;8,"LOW SAMPLE",IF(F355&gt;H355*(1+Assumptions!$B$10),"UNDERPAID",IF(F355&lt;G355*(1-Assumptions!$B$10),"OVERPAID","FAIR")))</f>
        <v>FAIR</v>
      </c>
      <c r="K355" s="5" t="n">
        <v>25</v>
      </c>
    </row>
    <row r="356" customFormat="false" ht="15" hidden="false" customHeight="false" outlineLevel="0" collapsed="false">
      <c r="A356" s="5" t="n">
        <v>2021</v>
      </c>
      <c r="B356" s="5" t="s">
        <v>378</v>
      </c>
      <c r="C356" s="5" t="s">
        <v>398</v>
      </c>
      <c r="D356" s="5" t="n">
        <v>20</v>
      </c>
      <c r="E356" s="13" t="n">
        <v>4.41</v>
      </c>
      <c r="F356" s="14" t="n">
        <f aca="false">E356*Assumptions!$D$4</f>
        <v>571.794275075634</v>
      </c>
      <c r="G356" s="14" t="n">
        <v>435</v>
      </c>
      <c r="H356" s="14" t="n">
        <v>590</v>
      </c>
      <c r="I356" s="14" t="n">
        <f aca="false">F356-(G356+H356)/2</f>
        <v>59.2942750756341</v>
      </c>
      <c r="J356" s="5" t="str">
        <f aca="false">IF(D356&lt;8,"LOW SAMPLE",IF(F356&gt;H356*(1+Assumptions!$B$10),"UNDERPAID",IF(F356&lt;G356*(1-Assumptions!$B$10),"OVERPAID","FAIR")))</f>
        <v>FAIR</v>
      </c>
      <c r="K356" s="5" t="n">
        <v>48</v>
      </c>
    </row>
    <row r="357" customFormat="false" ht="15" hidden="false" customHeight="false" outlineLevel="0" collapsed="false">
      <c r="A357" s="5" t="n">
        <v>2021</v>
      </c>
      <c r="B357" s="5" t="s">
        <v>378</v>
      </c>
      <c r="C357" s="5" t="s">
        <v>399</v>
      </c>
      <c r="D357" s="5" t="n">
        <v>13</v>
      </c>
      <c r="E357" s="13" t="n">
        <v>2.39</v>
      </c>
      <c r="F357" s="14" t="n">
        <f aca="false">E357*Assumptions!$D$4</f>
        <v>309.883972206523</v>
      </c>
      <c r="G357" s="14" t="n">
        <v>330</v>
      </c>
      <c r="H357" s="14" t="n">
        <v>435</v>
      </c>
      <c r="I357" s="14" t="n">
        <f aca="false">F357-(G357+H357)/2</f>
        <v>-72.6160277934772</v>
      </c>
      <c r="J357" s="5" t="str">
        <f aca="false">IF(D357&lt;8,"LOW SAMPLE",IF(F357&gt;H357*(1+Assumptions!$B$10),"UNDERPAID",IF(F357&lt;G357*(1-Assumptions!$B$10),"OVERPAID","FAIR")))</f>
        <v>FAIR</v>
      </c>
      <c r="K357" s="5" t="n">
        <v>103</v>
      </c>
    </row>
    <row r="358" customFormat="false" ht="15" hidden="false" customHeight="false" outlineLevel="0" collapsed="false">
      <c r="A358" s="5" t="n">
        <v>2021</v>
      </c>
      <c r="B358" s="5" t="s">
        <v>378</v>
      </c>
      <c r="C358" s="5" t="s">
        <v>400</v>
      </c>
      <c r="D358" s="5" t="n">
        <v>12</v>
      </c>
      <c r="E358" s="13" t="n">
        <v>2.91</v>
      </c>
      <c r="F358" s="14" t="n">
        <f aca="false">E358*Assumptions!$D$4</f>
        <v>377.306426410452</v>
      </c>
      <c r="G358" s="14" t="n">
        <v>330</v>
      </c>
      <c r="H358" s="14" t="n">
        <v>435</v>
      </c>
      <c r="I358" s="14" t="n">
        <f aca="false">F358-(G358+H358)/2</f>
        <v>-5.19357358954755</v>
      </c>
      <c r="J358" s="5" t="str">
        <f aca="false">IF(D358&lt;8,"LOW SAMPLE",IF(F358&gt;H358*(1+Assumptions!$B$10),"UNDERPAID",IF(F358&lt;G358*(1-Assumptions!$B$10),"OVERPAID","FAIR")))</f>
        <v>FAIR</v>
      </c>
      <c r="K358" s="5" t="n">
        <v>72</v>
      </c>
    </row>
    <row r="359" customFormat="false" ht="15" hidden="false" customHeight="false" outlineLevel="0" collapsed="false">
      <c r="A359" s="5" t="n">
        <v>2021</v>
      </c>
      <c r="B359" s="5" t="s">
        <v>378</v>
      </c>
      <c r="C359" s="5" t="s">
        <v>401</v>
      </c>
      <c r="D359" s="5" t="n">
        <v>5</v>
      </c>
      <c r="E359" s="13" t="n">
        <v>0.08</v>
      </c>
      <c r="F359" s="14" t="n">
        <f aca="false">E359*Assumptions!$D$4</f>
        <v>10.372685262143</v>
      </c>
      <c r="G359" s="14" t="n">
        <v>120</v>
      </c>
      <c r="H359" s="14" t="n">
        <v>215</v>
      </c>
      <c r="I359" s="14" t="n">
        <f aca="false">F359-(G359+H359)/2</f>
        <v>-157.127314737857</v>
      </c>
      <c r="J359" s="5" t="str">
        <f aca="false">IF(D359&lt;8,"LOW SAMPLE",IF(F359&gt;H359*(1+Assumptions!$B$10),"UNDERPAID",IF(F359&lt;G359*(1-Assumptions!$B$10),"OVERPAID","FAIR")))</f>
        <v>LOW SAMPLE</v>
      </c>
      <c r="K359" s="5" t="n">
        <v>4</v>
      </c>
    </row>
    <row r="360" customFormat="false" ht="15" hidden="false" customHeight="false" outlineLevel="0" collapsed="false">
      <c r="A360" s="5" t="n">
        <v>2021</v>
      </c>
      <c r="B360" s="5" t="s">
        <v>378</v>
      </c>
      <c r="C360" s="5" t="s">
        <v>402</v>
      </c>
      <c r="D360" s="5" t="n">
        <v>19</v>
      </c>
      <c r="E360" s="13" t="n">
        <v>2.73</v>
      </c>
      <c r="F360" s="14" t="n">
        <f aca="false">E360*Assumptions!$D$4</f>
        <v>353.967884570631</v>
      </c>
      <c r="G360" s="14" t="n">
        <v>330</v>
      </c>
      <c r="H360" s="14" t="n">
        <v>435</v>
      </c>
      <c r="I360" s="14" t="n">
        <f aca="false">F360-(G360+H360)/2</f>
        <v>-28.5321154293694</v>
      </c>
      <c r="J360" s="5" t="str">
        <f aca="false">IF(D360&lt;8,"LOW SAMPLE",IF(F360&gt;H360*(1+Assumptions!$B$10),"UNDERPAID",IF(F360&lt;G360*(1-Assumptions!$B$10),"OVERPAID","FAIR")))</f>
        <v>FAIR</v>
      </c>
      <c r="K360" s="5" t="n">
        <v>103</v>
      </c>
    </row>
    <row r="361" customFormat="false" ht="15" hidden="false" customHeight="false" outlineLevel="0" collapsed="false">
      <c r="A361" s="5" t="n">
        <v>2021</v>
      </c>
      <c r="B361" s="5" t="s">
        <v>378</v>
      </c>
      <c r="C361" s="5" t="s">
        <v>403</v>
      </c>
      <c r="D361" s="5" t="n">
        <v>10</v>
      </c>
      <c r="E361" s="13" t="n">
        <v>1.86</v>
      </c>
      <c r="F361" s="14" t="n">
        <f aca="false">E361*Assumptions!$D$4</f>
        <v>241.164932344825</v>
      </c>
      <c r="G361" s="14" t="n">
        <v>215</v>
      </c>
      <c r="H361" s="14" t="n">
        <v>330</v>
      </c>
      <c r="I361" s="14" t="n">
        <f aca="false">F361-(G361+H361)/2</f>
        <v>-31.3350676551747</v>
      </c>
      <c r="J361" s="5" t="str">
        <f aca="false">IF(D361&lt;8,"LOW SAMPLE",IF(F361&gt;H361*(1+Assumptions!$B$10),"UNDERPAID",IF(F361&lt;G361*(1-Assumptions!$B$10),"OVERPAID","FAIR")))</f>
        <v>FAIR</v>
      </c>
      <c r="K361" s="5" t="n">
        <v>0</v>
      </c>
    </row>
    <row r="362" customFormat="false" ht="15" hidden="false" customHeight="false" outlineLevel="0" collapsed="false">
      <c r="A362" s="5" t="n">
        <v>2021</v>
      </c>
      <c r="B362" s="5" t="s">
        <v>378</v>
      </c>
      <c r="C362" s="5" t="s">
        <v>404</v>
      </c>
      <c r="D362" s="5" t="n">
        <v>21</v>
      </c>
      <c r="E362" s="13" t="n">
        <v>4</v>
      </c>
      <c r="F362" s="14" t="n">
        <f aca="false">E362*Assumptions!$D$4</f>
        <v>518.634263107151</v>
      </c>
      <c r="G362" s="14" t="n">
        <v>435</v>
      </c>
      <c r="H362" s="14" t="n">
        <v>590</v>
      </c>
      <c r="I362" s="14" t="n">
        <f aca="false">F362-(G362+H362)/2</f>
        <v>6.13426310715113</v>
      </c>
      <c r="J362" s="5" t="str">
        <f aca="false">IF(D362&lt;8,"LOW SAMPLE",IF(F362&gt;H362*(1+Assumptions!$B$10),"UNDERPAID",IF(F362&lt;G362*(1-Assumptions!$B$10),"OVERPAID","FAIR")))</f>
        <v>FAIR</v>
      </c>
      <c r="K362" s="5" t="n">
        <v>119</v>
      </c>
    </row>
    <row r="363" customFormat="false" ht="15" hidden="false" customHeight="false" outlineLevel="0" collapsed="false">
      <c r="A363" s="5" t="n">
        <v>2021</v>
      </c>
      <c r="B363" s="5" t="s">
        <v>378</v>
      </c>
      <c r="C363" s="5" t="s">
        <v>405</v>
      </c>
      <c r="D363" s="5" t="n">
        <v>19</v>
      </c>
      <c r="E363" s="13" t="n">
        <v>4.07</v>
      </c>
      <c r="F363" s="14" t="n">
        <f aca="false">E363*Assumptions!$D$4</f>
        <v>527.710362711526</v>
      </c>
      <c r="G363" s="14" t="n">
        <v>590</v>
      </c>
      <c r="H363" s="14" t="n">
        <v>820</v>
      </c>
      <c r="I363" s="14" t="n">
        <f aca="false">F363-(G363+H363)/2</f>
        <v>-177.289637288474</v>
      </c>
      <c r="J363" s="5" t="str">
        <f aca="false">IF(D363&lt;8,"LOW SAMPLE",IF(F363&gt;H363*(1+Assumptions!$B$10),"UNDERPAID",IF(F363&lt;G363*(1-Assumptions!$B$10),"OVERPAID","FAIR")))</f>
        <v>FAIR</v>
      </c>
      <c r="K363" s="5" t="n">
        <v>129</v>
      </c>
    </row>
    <row r="364" customFormat="false" ht="15" hidden="false" customHeight="false" outlineLevel="0" collapsed="false">
      <c r="A364" s="5" t="n">
        <v>2021</v>
      </c>
      <c r="B364" s="5" t="s">
        <v>378</v>
      </c>
      <c r="C364" s="5" t="s">
        <v>406</v>
      </c>
      <c r="D364" s="5" t="n">
        <v>3</v>
      </c>
      <c r="E364" s="13" t="n">
        <v>0.57</v>
      </c>
      <c r="F364" s="14" t="n">
        <f aca="false">E364*Assumptions!$D$4</f>
        <v>73.905382492769</v>
      </c>
      <c r="G364" s="14" t="n">
        <v>215</v>
      </c>
      <c r="H364" s="14" t="n">
        <v>330</v>
      </c>
      <c r="I364" s="14" t="n">
        <f aca="false">F364-(G364+H364)/2</f>
        <v>-198.594617507231</v>
      </c>
      <c r="J364" s="5" t="str">
        <f aca="false">IF(D364&lt;8,"LOW SAMPLE",IF(F364&gt;H364*(1+Assumptions!$B$10),"UNDERPAID",IF(F364&lt;G364*(1-Assumptions!$B$10),"OVERPAID","FAIR")))</f>
        <v>LOW SAMPLE</v>
      </c>
      <c r="K364" s="5" t="n">
        <v>46</v>
      </c>
    </row>
    <row r="365" customFormat="false" ht="15" hidden="false" customHeight="false" outlineLevel="0" collapsed="false">
      <c r="A365" s="5" t="n">
        <v>2021</v>
      </c>
      <c r="B365" s="5" t="s">
        <v>378</v>
      </c>
      <c r="C365" s="5" t="s">
        <v>407</v>
      </c>
      <c r="D365" s="5" t="n">
        <v>14</v>
      </c>
      <c r="E365" s="13" t="n">
        <v>2.98</v>
      </c>
      <c r="F365" s="14" t="n">
        <f aca="false">E365*Assumptions!$D$4</f>
        <v>386.382526014828</v>
      </c>
      <c r="G365" s="14" t="n">
        <v>215</v>
      </c>
      <c r="H365" s="14" t="n">
        <v>330</v>
      </c>
      <c r="I365" s="14" t="n">
        <f aca="false">F365-(G365+H365)/2</f>
        <v>113.882526014828</v>
      </c>
      <c r="J365" s="5" t="str">
        <f aca="false">IF(D365&lt;8,"LOW SAMPLE",IF(F365&gt;H365*(1+Assumptions!$B$10),"UNDERPAID",IF(F365&lt;G365*(1-Assumptions!$B$10),"OVERPAID","FAIR")))</f>
        <v>UNDERPAID</v>
      </c>
      <c r="K365" s="5" t="n">
        <v>22</v>
      </c>
    </row>
    <row r="366" customFormat="false" ht="15" hidden="false" customHeight="false" outlineLevel="0" collapsed="false">
      <c r="A366" s="5" t="n">
        <v>2021</v>
      </c>
      <c r="B366" s="5" t="s">
        <v>378</v>
      </c>
      <c r="C366" s="5" t="s">
        <v>408</v>
      </c>
      <c r="D366" s="5" t="n">
        <v>5</v>
      </c>
      <c r="E366" s="13" t="n">
        <v>1.13</v>
      </c>
      <c r="F366" s="14" t="n">
        <f aca="false">E366*Assumptions!$D$4</f>
        <v>146.51417932777</v>
      </c>
      <c r="G366" s="14" t="n">
        <v>215</v>
      </c>
      <c r="H366" s="14" t="n">
        <v>330</v>
      </c>
      <c r="I366" s="14" t="n">
        <f aca="false">F366-(G366+H366)/2</f>
        <v>-125.98582067223</v>
      </c>
      <c r="J366" s="5" t="str">
        <f aca="false">IF(D366&lt;8,"LOW SAMPLE",IF(F366&gt;H366*(1+Assumptions!$B$10),"UNDERPAID",IF(F366&lt;G366*(1-Assumptions!$B$10),"OVERPAID","FAIR")))</f>
        <v>LOW SAMPLE</v>
      </c>
      <c r="K366" s="5" t="n">
        <v>0</v>
      </c>
    </row>
    <row r="367" customFormat="false" ht="15" hidden="false" customHeight="false" outlineLevel="0" collapsed="false">
      <c r="A367" s="5" t="n">
        <v>2021</v>
      </c>
      <c r="B367" s="5" t="s">
        <v>378</v>
      </c>
      <c r="C367" s="5" t="s">
        <v>409</v>
      </c>
      <c r="D367" s="5" t="n">
        <v>13</v>
      </c>
      <c r="E367" s="13" t="n">
        <v>1.26</v>
      </c>
      <c r="F367" s="14" t="n">
        <f aca="false">E367*Assumptions!$D$4</f>
        <v>163.369792878753</v>
      </c>
      <c r="G367" s="14" t="n">
        <v>120</v>
      </c>
      <c r="H367" s="14" t="n">
        <v>215</v>
      </c>
      <c r="I367" s="14" t="n">
        <f aca="false">F367-(G367+H367)/2</f>
        <v>-4.1302071212474</v>
      </c>
      <c r="J367" s="5" t="str">
        <f aca="false">IF(D367&lt;8,"LOW SAMPLE",IF(F367&gt;H367*(1+Assumptions!$B$10),"UNDERPAID",IF(F367&lt;G367*(1-Assumptions!$B$10),"OVERPAID","FAIR")))</f>
        <v>FAIR</v>
      </c>
      <c r="K367" s="5" t="n">
        <v>16</v>
      </c>
    </row>
    <row r="368" customFormat="false" ht="15" hidden="false" customHeight="false" outlineLevel="0" collapsed="false">
      <c r="A368" s="5" t="n">
        <v>2021</v>
      </c>
      <c r="B368" s="5" t="s">
        <v>378</v>
      </c>
      <c r="C368" s="5" t="s">
        <v>410</v>
      </c>
      <c r="D368" s="5" t="n">
        <v>22</v>
      </c>
      <c r="E368" s="13" t="n">
        <v>3.87</v>
      </c>
      <c r="F368" s="14" t="n">
        <f aca="false">E368*Assumptions!$D$4</f>
        <v>501.778649556169</v>
      </c>
      <c r="G368" s="14" t="n">
        <v>330</v>
      </c>
      <c r="H368" s="14" t="n">
        <v>435</v>
      </c>
      <c r="I368" s="14" t="n">
        <f aca="false">F368-(G368+H368)/2</f>
        <v>119.278649556169</v>
      </c>
      <c r="J368" s="5" t="str">
        <f aca="false">IF(D368&lt;8,"LOW SAMPLE",IF(F368&gt;H368*(1+Assumptions!$B$10),"UNDERPAID",IF(F368&lt;G368*(1-Assumptions!$B$10),"OVERPAID","FAIR")))</f>
        <v>UNDERPAID</v>
      </c>
      <c r="K368" s="5" t="n">
        <v>86</v>
      </c>
    </row>
    <row r="369" customFormat="false" ht="15" hidden="false" customHeight="false" outlineLevel="0" collapsed="false">
      <c r="A369" s="5" t="n">
        <v>2021</v>
      </c>
      <c r="B369" s="5" t="s">
        <v>378</v>
      </c>
      <c r="C369" s="5" t="s">
        <v>411</v>
      </c>
      <c r="D369" s="5" t="n">
        <v>18</v>
      </c>
      <c r="E369" s="13" t="n">
        <v>2.31</v>
      </c>
      <c r="F369" s="14" t="n">
        <f aca="false">E369*Assumptions!$D$4</f>
        <v>299.51128694438</v>
      </c>
      <c r="G369" s="14" t="n">
        <v>435</v>
      </c>
      <c r="H369" s="14" t="n">
        <v>590</v>
      </c>
      <c r="I369" s="14" t="n">
        <f aca="false">F369-(G369+H369)/2</f>
        <v>-212.98871305562</v>
      </c>
      <c r="J369" s="5" t="str">
        <f aca="false">IF(D369&lt;8,"LOW SAMPLE",IF(F369&gt;H369*(1+Assumptions!$B$10),"UNDERPAID",IF(F369&lt;G369*(1-Assumptions!$B$10),"OVERPAID","FAIR")))</f>
        <v>OVERPAID</v>
      </c>
      <c r="K369" s="5" t="n">
        <v>120</v>
      </c>
    </row>
    <row r="370" customFormat="false" ht="15" hidden="false" customHeight="false" outlineLevel="0" collapsed="false">
      <c r="A370" s="5" t="n">
        <v>2021</v>
      </c>
      <c r="B370" s="5" t="s">
        <v>378</v>
      </c>
      <c r="C370" s="5" t="s">
        <v>412</v>
      </c>
      <c r="D370" s="5" t="n">
        <v>19</v>
      </c>
      <c r="E370" s="13" t="n">
        <v>3.44</v>
      </c>
      <c r="F370" s="14" t="n">
        <f aca="false">E370*Assumptions!$D$4</f>
        <v>446.02546627215</v>
      </c>
      <c r="G370" s="14" t="n">
        <v>330</v>
      </c>
      <c r="H370" s="14" t="n">
        <v>435</v>
      </c>
      <c r="I370" s="14" t="n">
        <f aca="false">F370-(G370+H370)/2</f>
        <v>63.52546627215</v>
      </c>
      <c r="J370" s="5" t="str">
        <f aca="false">IF(D370&lt;8,"LOW SAMPLE",IF(F370&gt;H370*(1+Assumptions!$B$10),"UNDERPAID",IF(F370&lt;G370*(1-Assumptions!$B$10),"OVERPAID","FAIR")))</f>
        <v>FAIR</v>
      </c>
      <c r="K370" s="5" t="n">
        <v>74</v>
      </c>
    </row>
    <row r="371" customFormat="false" ht="15" hidden="false" customHeight="false" outlineLevel="0" collapsed="false">
      <c r="A371" s="5" t="n">
        <v>2021</v>
      </c>
      <c r="B371" s="5" t="s">
        <v>378</v>
      </c>
      <c r="C371" s="5" t="s">
        <v>413</v>
      </c>
      <c r="D371" s="5" t="n">
        <v>22</v>
      </c>
      <c r="E371" s="13" t="n">
        <v>5.86</v>
      </c>
      <c r="F371" s="14" t="n">
        <f aca="false">E371*Assumptions!$D$4</f>
        <v>759.799195451976</v>
      </c>
      <c r="G371" s="14" t="n">
        <v>820</v>
      </c>
      <c r="H371" s="14" t="n">
        <v>1125</v>
      </c>
      <c r="I371" s="14" t="n">
        <f aca="false">F371-(G371+H371)/2</f>
        <v>-212.700804548024</v>
      </c>
      <c r="J371" s="5" t="str">
        <f aca="false">IF(D371&lt;8,"LOW SAMPLE",IF(F371&gt;H371*(1+Assumptions!$B$10),"UNDERPAID",IF(F371&lt;G371*(1-Assumptions!$B$10),"OVERPAID","FAIR")))</f>
        <v>FAIR</v>
      </c>
      <c r="K371" s="5" t="n">
        <v>108</v>
      </c>
    </row>
    <row r="372" customFormat="false" ht="15" hidden="false" customHeight="false" outlineLevel="0" collapsed="false">
      <c r="A372" s="5" t="n">
        <v>2021</v>
      </c>
      <c r="B372" s="5" t="s">
        <v>378</v>
      </c>
      <c r="C372" s="5" t="s">
        <v>414</v>
      </c>
      <c r="D372" s="5" t="n">
        <v>22</v>
      </c>
      <c r="E372" s="13" t="n">
        <v>3.34</v>
      </c>
      <c r="F372" s="14" t="n">
        <f aca="false">E372*Assumptions!$D$4</f>
        <v>433.059609694471</v>
      </c>
      <c r="G372" s="14" t="n">
        <v>435</v>
      </c>
      <c r="H372" s="14" t="n">
        <v>590</v>
      </c>
      <c r="I372" s="14" t="n">
        <f aca="false">F372-(G372+H372)/2</f>
        <v>-79.4403903055288</v>
      </c>
      <c r="J372" s="5" t="str">
        <f aca="false">IF(D372&lt;8,"LOW SAMPLE",IF(F372&gt;H372*(1+Assumptions!$B$10),"UNDERPAID",IF(F372&lt;G372*(1-Assumptions!$B$10),"OVERPAID","FAIR")))</f>
        <v>FAIR</v>
      </c>
      <c r="K372" s="5" t="n">
        <v>89</v>
      </c>
    </row>
    <row r="373" customFormat="false" ht="15" hidden="false" customHeight="false" outlineLevel="0" collapsed="false">
      <c r="A373" s="5" t="n">
        <v>2021</v>
      </c>
      <c r="B373" s="5" t="s">
        <v>378</v>
      </c>
      <c r="C373" s="5" t="s">
        <v>415</v>
      </c>
      <c r="D373" s="5" t="n">
        <v>11</v>
      </c>
      <c r="E373" s="13" t="n">
        <v>1.54</v>
      </c>
      <c r="F373" s="14" t="n">
        <f aca="false">E373*Assumptions!$D$4</f>
        <v>199.674191296253</v>
      </c>
      <c r="G373" s="14" t="n">
        <v>215</v>
      </c>
      <c r="H373" s="14" t="n">
        <v>330</v>
      </c>
      <c r="I373" s="14" t="n">
        <f aca="false">F373-(G373+H373)/2</f>
        <v>-72.8258087037468</v>
      </c>
      <c r="J373" s="5" t="str">
        <f aca="false">IF(D373&lt;8,"LOW SAMPLE",IF(F373&gt;H373*(1+Assumptions!$B$10),"UNDERPAID",IF(F373&lt;G373*(1-Assumptions!$B$10),"OVERPAID","FAIR")))</f>
        <v>FAIR</v>
      </c>
      <c r="K373" s="5" t="n">
        <v>0</v>
      </c>
    </row>
    <row r="374" customFormat="false" ht="15" hidden="false" customHeight="false" outlineLevel="0" collapsed="false">
      <c r="A374" s="5" t="n">
        <v>2021</v>
      </c>
      <c r="B374" s="5" t="s">
        <v>378</v>
      </c>
      <c r="C374" s="5" t="s">
        <v>416</v>
      </c>
      <c r="D374" s="5" t="n">
        <v>5</v>
      </c>
      <c r="E374" s="13" t="n">
        <v>0.81</v>
      </c>
      <c r="F374" s="14" t="n">
        <f aca="false">E374*Assumptions!$D$4</f>
        <v>105.023438279198</v>
      </c>
      <c r="G374" s="14" t="n">
        <v>330</v>
      </c>
      <c r="H374" s="14" t="n">
        <v>435</v>
      </c>
      <c r="I374" s="14" t="n">
        <f aca="false">F374-(G374+H374)/2</f>
        <v>-277.476561720802</v>
      </c>
      <c r="J374" s="5" t="str">
        <f aca="false">IF(D374&lt;8,"LOW SAMPLE",IF(F374&gt;H374*(1+Assumptions!$B$10),"UNDERPAID",IF(F374&lt;G374*(1-Assumptions!$B$10),"OVERPAID","FAIR")))</f>
        <v>LOW SAMPLE</v>
      </c>
      <c r="K374" s="5" t="n">
        <v>11</v>
      </c>
    </row>
    <row r="375" customFormat="false" ht="15" hidden="false" customHeight="false" outlineLevel="0" collapsed="false">
      <c r="A375" s="5" t="n">
        <v>2021</v>
      </c>
      <c r="B375" s="5" t="s">
        <v>417</v>
      </c>
      <c r="C375" s="5" t="s">
        <v>418</v>
      </c>
      <c r="D375" s="5" t="n">
        <v>4</v>
      </c>
      <c r="E375" s="13" t="n">
        <v>0.29</v>
      </c>
      <c r="F375" s="14" t="n">
        <f aca="false">E375*Assumptions!$D$4</f>
        <v>37.6009840752685</v>
      </c>
      <c r="G375" s="14" t="n">
        <v>330</v>
      </c>
      <c r="H375" s="14" t="n">
        <v>435</v>
      </c>
      <c r="I375" s="14" t="n">
        <f aca="false">F375-(G375+H375)/2</f>
        <v>-344.899015924732</v>
      </c>
      <c r="J375" s="5" t="str">
        <f aca="false">IF(D375&lt;8,"LOW SAMPLE",IF(F375&gt;H375*(1+Assumptions!$B$10),"UNDERPAID",IF(F375&lt;G375*(1-Assumptions!$B$10),"OVERPAID","FAIR")))</f>
        <v>LOW SAMPLE</v>
      </c>
      <c r="K375" s="5" t="n">
        <v>47</v>
      </c>
    </row>
    <row r="376" customFormat="false" ht="15" hidden="false" customHeight="false" outlineLevel="0" collapsed="false">
      <c r="A376" s="5" t="n">
        <v>2021</v>
      </c>
      <c r="B376" s="5" t="s">
        <v>417</v>
      </c>
      <c r="C376" s="5" t="s">
        <v>419</v>
      </c>
      <c r="D376" s="5" t="n">
        <v>7</v>
      </c>
      <c r="E376" s="13" t="n">
        <v>1.04</v>
      </c>
      <c r="F376" s="14" t="n">
        <f aca="false">E376*Assumptions!$D$4</f>
        <v>134.844908407859</v>
      </c>
      <c r="G376" s="14" t="n">
        <v>330</v>
      </c>
      <c r="H376" s="14" t="n">
        <v>435</v>
      </c>
      <c r="I376" s="14" t="n">
        <f aca="false">F376-(G376+H376)/2</f>
        <v>-247.655091592141</v>
      </c>
      <c r="J376" s="5" t="str">
        <f aca="false">IF(D376&lt;8,"LOW SAMPLE",IF(F376&gt;H376*(1+Assumptions!$B$10),"UNDERPAID",IF(F376&lt;G376*(1-Assumptions!$B$10),"OVERPAID","FAIR")))</f>
        <v>LOW SAMPLE</v>
      </c>
      <c r="K376" s="5" t="n">
        <v>108</v>
      </c>
    </row>
    <row r="377" customFormat="false" ht="15" hidden="false" customHeight="false" outlineLevel="0" collapsed="false">
      <c r="A377" s="5" t="n">
        <v>2021</v>
      </c>
      <c r="B377" s="5" t="s">
        <v>417</v>
      </c>
      <c r="C377" s="5" t="s">
        <v>420</v>
      </c>
      <c r="D377" s="5" t="n">
        <v>25</v>
      </c>
      <c r="E377" s="13" t="n">
        <v>5.2</v>
      </c>
      <c r="F377" s="14" t="n">
        <f aca="false">E377*Assumptions!$D$4</f>
        <v>674.224542039297</v>
      </c>
      <c r="G377" s="14" t="n">
        <v>330</v>
      </c>
      <c r="H377" s="14" t="n">
        <v>435</v>
      </c>
      <c r="I377" s="14" t="n">
        <f aca="false">F377-(G377+H377)/2</f>
        <v>291.724542039296</v>
      </c>
      <c r="J377" s="5" t="str">
        <f aca="false">IF(D377&lt;8,"LOW SAMPLE",IF(F377&gt;H377*(1+Assumptions!$B$10),"UNDERPAID",IF(F377&lt;G377*(1-Assumptions!$B$10),"OVERPAID","FAIR")))</f>
        <v>UNDERPAID</v>
      </c>
      <c r="K377" s="5" t="n">
        <v>80</v>
      </c>
    </row>
    <row r="378" customFormat="false" ht="15" hidden="false" customHeight="false" outlineLevel="0" collapsed="false">
      <c r="A378" s="5" t="n">
        <v>2021</v>
      </c>
      <c r="B378" s="5" t="s">
        <v>417</v>
      </c>
      <c r="C378" s="5" t="s">
        <v>421</v>
      </c>
      <c r="D378" s="5" t="n">
        <v>25</v>
      </c>
      <c r="E378" s="13" t="n">
        <v>4.25</v>
      </c>
      <c r="F378" s="14" t="n">
        <f aca="false">E378*Assumptions!$D$4</f>
        <v>551.048904551348</v>
      </c>
      <c r="G378" s="14" t="n">
        <v>435</v>
      </c>
      <c r="H378" s="14" t="n">
        <v>590</v>
      </c>
      <c r="I378" s="14" t="n">
        <f aca="false">F378-(G378+H378)/2</f>
        <v>38.5489045513481</v>
      </c>
      <c r="J378" s="5" t="str">
        <f aca="false">IF(D378&lt;8,"LOW SAMPLE",IF(F378&gt;H378*(1+Assumptions!$B$10),"UNDERPAID",IF(F378&lt;G378*(1-Assumptions!$B$10),"OVERPAID","FAIR")))</f>
        <v>FAIR</v>
      </c>
      <c r="K378" s="5" t="n">
        <v>94</v>
      </c>
    </row>
    <row r="379" customFormat="false" ht="15" hidden="false" customHeight="false" outlineLevel="0" collapsed="false">
      <c r="A379" s="5" t="n">
        <v>2021</v>
      </c>
      <c r="B379" s="5" t="s">
        <v>417</v>
      </c>
      <c r="C379" s="5" t="s">
        <v>422</v>
      </c>
      <c r="D379" s="5" t="n">
        <v>24</v>
      </c>
      <c r="E379" s="13" t="n">
        <v>5.17</v>
      </c>
      <c r="F379" s="14" t="n">
        <f aca="false">E379*Assumptions!$D$4</f>
        <v>670.334785065993</v>
      </c>
      <c r="G379" s="14" t="n">
        <v>590</v>
      </c>
      <c r="H379" s="14" t="n">
        <v>820</v>
      </c>
      <c r="I379" s="14" t="n">
        <f aca="false">F379-(G379+H379)/2</f>
        <v>-34.6652149340072</v>
      </c>
      <c r="J379" s="5" t="str">
        <f aca="false">IF(D379&lt;8,"LOW SAMPLE",IF(F379&gt;H379*(1+Assumptions!$B$10),"UNDERPAID",IF(F379&lt;G379*(1-Assumptions!$B$10),"OVERPAID","FAIR")))</f>
        <v>FAIR</v>
      </c>
      <c r="K379" s="5" t="n">
        <v>61</v>
      </c>
    </row>
    <row r="380" customFormat="false" ht="15" hidden="false" customHeight="false" outlineLevel="0" collapsed="false">
      <c r="A380" s="5" t="n">
        <v>2021</v>
      </c>
      <c r="B380" s="5" t="s">
        <v>417</v>
      </c>
      <c r="C380" s="5" t="s">
        <v>423</v>
      </c>
      <c r="D380" s="5" t="n">
        <v>13</v>
      </c>
      <c r="E380" s="13" t="n">
        <v>3.01</v>
      </c>
      <c r="F380" s="14" t="n">
        <f aca="false">E380*Assumptions!$D$4</f>
        <v>390.272282988131</v>
      </c>
      <c r="G380" s="14" t="n">
        <v>435</v>
      </c>
      <c r="H380" s="14" t="n">
        <v>590</v>
      </c>
      <c r="I380" s="14" t="n">
        <f aca="false">F380-(G380+H380)/2</f>
        <v>-122.227717011869</v>
      </c>
      <c r="J380" s="5" t="str">
        <f aca="false">IF(D380&lt;8,"LOW SAMPLE",IF(F380&gt;H380*(1+Assumptions!$B$10),"UNDERPAID",IF(F380&lt;G380*(1-Assumptions!$B$10),"OVERPAID","FAIR")))</f>
        <v>FAIR</v>
      </c>
      <c r="K380" s="5" t="n">
        <v>119</v>
      </c>
    </row>
    <row r="381" customFormat="false" ht="15" hidden="false" customHeight="false" outlineLevel="0" collapsed="false">
      <c r="A381" s="5" t="n">
        <v>2021</v>
      </c>
      <c r="B381" s="5" t="s">
        <v>417</v>
      </c>
      <c r="C381" s="5" t="s">
        <v>424</v>
      </c>
      <c r="D381" s="5" t="n">
        <v>25</v>
      </c>
      <c r="E381" s="13" t="n">
        <v>3.5</v>
      </c>
      <c r="F381" s="14" t="n">
        <f aca="false">E381*Assumptions!$D$4</f>
        <v>453.804980218757</v>
      </c>
      <c r="G381" s="14" t="n">
        <v>215</v>
      </c>
      <c r="H381" s="14" t="n">
        <v>330</v>
      </c>
      <c r="I381" s="14" t="n">
        <f aca="false">F381-(G381+H381)/2</f>
        <v>181.304980218757</v>
      </c>
      <c r="J381" s="5" t="str">
        <f aca="false">IF(D381&lt;8,"LOW SAMPLE",IF(F381&gt;H381*(1+Assumptions!$B$10),"UNDERPAID",IF(F381&lt;G381*(1-Assumptions!$B$10),"OVERPAID","FAIR")))</f>
        <v>UNDERPAID</v>
      </c>
      <c r="K381" s="5" t="n">
        <v>34</v>
      </c>
    </row>
    <row r="382" customFormat="false" ht="15" hidden="false" customHeight="false" outlineLevel="0" collapsed="false">
      <c r="A382" s="5" t="n">
        <v>2021</v>
      </c>
      <c r="B382" s="5" t="s">
        <v>417</v>
      </c>
      <c r="C382" s="5" t="s">
        <v>425</v>
      </c>
      <c r="D382" s="5" t="n">
        <v>25</v>
      </c>
      <c r="E382" s="13" t="n">
        <v>8.7</v>
      </c>
      <c r="F382" s="14" t="n">
        <f aca="false">E382*Assumptions!$D$4</f>
        <v>1128.02952225805</v>
      </c>
      <c r="G382" s="14" t="n">
        <v>820</v>
      </c>
      <c r="H382" s="14" t="n">
        <v>1125</v>
      </c>
      <c r="I382" s="14" t="n">
        <f aca="false">F382-(G382+H382)/2</f>
        <v>155.529522258054</v>
      </c>
      <c r="J382" s="5" t="str">
        <f aca="false">IF(D382&lt;8,"LOW SAMPLE",IF(F382&gt;H382*(1+Assumptions!$B$10),"UNDERPAID",IF(F382&lt;G382*(1-Assumptions!$B$10),"OVERPAID","FAIR")))</f>
        <v>FAIR</v>
      </c>
      <c r="K382" s="5" t="n">
        <v>102</v>
      </c>
    </row>
    <row r="383" customFormat="false" ht="15" hidden="false" customHeight="false" outlineLevel="0" collapsed="false">
      <c r="A383" s="5" t="n">
        <v>2021</v>
      </c>
      <c r="B383" s="5" t="s">
        <v>417</v>
      </c>
      <c r="C383" s="5" t="s">
        <v>426</v>
      </c>
      <c r="D383" s="5" t="n">
        <v>24</v>
      </c>
      <c r="E383" s="13" t="n">
        <v>5.61</v>
      </c>
      <c r="F383" s="14" t="n">
        <f aca="false">E383*Assumptions!$D$4</f>
        <v>727.38455400778</v>
      </c>
      <c r="G383" s="14" t="n">
        <v>435</v>
      </c>
      <c r="H383" s="14" t="n">
        <v>590</v>
      </c>
      <c r="I383" s="14" t="n">
        <f aca="false">F383-(G383+H383)/2</f>
        <v>214.884554007779</v>
      </c>
      <c r="J383" s="5" t="str">
        <f aca="false">IF(D383&lt;8,"LOW SAMPLE",IF(F383&gt;H383*(1+Assumptions!$B$10),"UNDERPAID",IF(F383&lt;G383*(1-Assumptions!$B$10),"OVERPAID","FAIR")))</f>
        <v>UNDERPAID</v>
      </c>
      <c r="K383" s="5" t="n">
        <v>94</v>
      </c>
    </row>
    <row r="384" customFormat="false" ht="15" hidden="false" customHeight="false" outlineLevel="0" collapsed="false">
      <c r="A384" s="5" t="n">
        <v>2021</v>
      </c>
      <c r="B384" s="5" t="s">
        <v>417</v>
      </c>
      <c r="C384" s="5" t="s">
        <v>427</v>
      </c>
      <c r="D384" s="5" t="n">
        <v>25</v>
      </c>
      <c r="E384" s="13" t="n">
        <v>8.46</v>
      </c>
      <c r="F384" s="14" t="n">
        <f aca="false">E384*Assumptions!$D$4</f>
        <v>1096.91146647162</v>
      </c>
      <c r="G384" s="14" t="n">
        <v>820</v>
      </c>
      <c r="H384" s="14" t="n">
        <v>1125</v>
      </c>
      <c r="I384" s="14" t="n">
        <f aca="false">F384-(G384+H384)/2</f>
        <v>124.411466471625</v>
      </c>
      <c r="J384" s="5" t="str">
        <f aca="false">IF(D384&lt;8,"LOW SAMPLE",IF(F384&gt;H384*(1+Assumptions!$B$10),"UNDERPAID",IF(F384&lt;G384*(1-Assumptions!$B$10),"OVERPAID","FAIR")))</f>
        <v>FAIR</v>
      </c>
      <c r="K384" s="5" t="n">
        <v>99</v>
      </c>
    </row>
    <row r="385" customFormat="false" ht="15" hidden="false" customHeight="false" outlineLevel="0" collapsed="false">
      <c r="A385" s="5" t="n">
        <v>2021</v>
      </c>
      <c r="B385" s="5" t="s">
        <v>417</v>
      </c>
      <c r="C385" s="5" t="s">
        <v>428</v>
      </c>
      <c r="D385" s="5" t="n">
        <v>24</v>
      </c>
      <c r="E385" s="13" t="n">
        <v>4.28</v>
      </c>
      <c r="F385" s="14" t="n">
        <f aca="false">E385*Assumptions!$D$4</f>
        <v>554.938661524652</v>
      </c>
      <c r="G385" s="14" t="n">
        <v>435</v>
      </c>
      <c r="H385" s="14" t="n">
        <v>590</v>
      </c>
      <c r="I385" s="14" t="n">
        <f aca="false">F385-(G385+H385)/2</f>
        <v>42.4386615246517</v>
      </c>
      <c r="J385" s="5" t="str">
        <f aca="false">IF(D385&lt;8,"LOW SAMPLE",IF(F385&gt;H385*(1+Assumptions!$B$10),"UNDERPAID",IF(F385&lt;G385*(1-Assumptions!$B$10),"OVERPAID","FAIR")))</f>
        <v>FAIR</v>
      </c>
      <c r="K385" s="5" t="n">
        <v>85</v>
      </c>
    </row>
    <row r="386" customFormat="false" ht="15" hidden="false" customHeight="false" outlineLevel="0" collapsed="false">
      <c r="A386" s="5" t="n">
        <v>2021</v>
      </c>
      <c r="B386" s="5" t="s">
        <v>417</v>
      </c>
      <c r="C386" s="5" t="s">
        <v>429</v>
      </c>
      <c r="D386" s="5" t="n">
        <v>19</v>
      </c>
      <c r="E386" s="13" t="n">
        <v>2.88</v>
      </c>
      <c r="F386" s="14" t="n">
        <f aca="false">E386*Assumptions!$D$4</f>
        <v>373.416669437149</v>
      </c>
      <c r="G386" s="14" t="n">
        <v>120</v>
      </c>
      <c r="H386" s="14" t="n">
        <v>215</v>
      </c>
      <c r="I386" s="14" t="n">
        <f aca="false">F386-(G386+H386)/2</f>
        <v>205.916669437149</v>
      </c>
      <c r="J386" s="5" t="str">
        <f aca="false">IF(D386&lt;8,"LOW SAMPLE",IF(F386&gt;H386*(1+Assumptions!$B$10),"UNDERPAID",IF(F386&lt;G386*(1-Assumptions!$B$10),"OVERPAID","FAIR")))</f>
        <v>UNDERPAID</v>
      </c>
      <c r="K386" s="5" t="n">
        <v>11</v>
      </c>
    </row>
    <row r="387" customFormat="false" ht="15" hidden="false" customHeight="false" outlineLevel="0" collapsed="false">
      <c r="A387" s="5" t="n">
        <v>2021</v>
      </c>
      <c r="B387" s="5" t="s">
        <v>417</v>
      </c>
      <c r="C387" s="5" t="s">
        <v>430</v>
      </c>
      <c r="D387" s="5" t="n">
        <v>15</v>
      </c>
      <c r="E387" s="13" t="n">
        <v>3.79</v>
      </c>
      <c r="F387" s="14" t="n">
        <f aca="false">E387*Assumptions!$D$4</f>
        <v>491.405964294026</v>
      </c>
      <c r="G387" s="14" t="n">
        <v>590</v>
      </c>
      <c r="H387" s="14" t="n">
        <v>820</v>
      </c>
      <c r="I387" s="14" t="n">
        <f aca="false">F387-(G387+H387)/2</f>
        <v>-213.594035705974</v>
      </c>
      <c r="J387" s="5" t="str">
        <f aca="false">IF(D387&lt;8,"LOW SAMPLE",IF(F387&gt;H387*(1+Assumptions!$B$10),"UNDERPAID",IF(F387&lt;G387*(1-Assumptions!$B$10),"OVERPAID","FAIR")))</f>
        <v>OVERPAID</v>
      </c>
      <c r="K387" s="5" t="n">
        <v>102</v>
      </c>
    </row>
    <row r="388" customFormat="false" ht="15" hidden="false" customHeight="false" outlineLevel="0" collapsed="false">
      <c r="A388" s="5" t="n">
        <v>2021</v>
      </c>
      <c r="B388" s="5" t="s">
        <v>417</v>
      </c>
      <c r="C388" s="5" t="s">
        <v>431</v>
      </c>
      <c r="D388" s="5" t="n">
        <v>7</v>
      </c>
      <c r="E388" s="13" t="n">
        <v>0.92</v>
      </c>
      <c r="F388" s="14" t="n">
        <f aca="false">E388*Assumptions!$D$4</f>
        <v>119.285880514645</v>
      </c>
      <c r="G388" s="14" t="n">
        <v>215</v>
      </c>
      <c r="H388" s="14" t="n">
        <v>330</v>
      </c>
      <c r="I388" s="14" t="n">
        <f aca="false">F388-(G388+H388)/2</f>
        <v>-153.214119485355</v>
      </c>
      <c r="J388" s="5" t="str">
        <f aca="false">IF(D388&lt;8,"LOW SAMPLE",IF(F388&gt;H388*(1+Assumptions!$B$10),"UNDERPAID",IF(F388&lt;G388*(1-Assumptions!$B$10),"OVERPAID","FAIR")))</f>
        <v>LOW SAMPLE</v>
      </c>
      <c r="K388" s="5" t="n">
        <v>0</v>
      </c>
    </row>
    <row r="389" customFormat="false" ht="15" hidden="false" customHeight="false" outlineLevel="0" collapsed="false">
      <c r="A389" s="5" t="n">
        <v>2021</v>
      </c>
      <c r="B389" s="5" t="s">
        <v>417</v>
      </c>
      <c r="C389" s="5" t="s">
        <v>432</v>
      </c>
      <c r="D389" s="5" t="n">
        <v>25</v>
      </c>
      <c r="E389" s="13" t="n">
        <v>6.17</v>
      </c>
      <c r="F389" s="14" t="n">
        <f aca="false">E389*Assumptions!$D$4</f>
        <v>799.993350842781</v>
      </c>
      <c r="G389" s="14" t="n">
        <v>330</v>
      </c>
      <c r="H389" s="14" t="n">
        <v>435</v>
      </c>
      <c r="I389" s="14" t="n">
        <f aca="false">F389-(G389+H389)/2</f>
        <v>417.493350842781</v>
      </c>
      <c r="J389" s="5" t="str">
        <f aca="false">IF(D389&lt;8,"LOW SAMPLE",IF(F389&gt;H389*(1+Assumptions!$B$10),"UNDERPAID",IF(F389&lt;G389*(1-Assumptions!$B$10),"OVERPAID","FAIR")))</f>
        <v>UNDERPAID</v>
      </c>
      <c r="K389" s="5" t="n">
        <v>92</v>
      </c>
    </row>
    <row r="390" customFormat="false" ht="15" hidden="false" customHeight="false" outlineLevel="0" collapsed="false">
      <c r="A390" s="5" t="n">
        <v>2021</v>
      </c>
      <c r="B390" s="5" t="s">
        <v>417</v>
      </c>
      <c r="C390" s="5" t="s">
        <v>433</v>
      </c>
      <c r="D390" s="5" t="n">
        <v>12</v>
      </c>
      <c r="E390" s="13" t="n">
        <v>1.5</v>
      </c>
      <c r="F390" s="14" t="n">
        <f aca="false">E390*Assumptions!$D$4</f>
        <v>194.487848665182</v>
      </c>
      <c r="G390" s="14" t="n">
        <v>435</v>
      </c>
      <c r="H390" s="14" t="n">
        <v>590</v>
      </c>
      <c r="I390" s="14" t="n">
        <f aca="false">F390-(G390+H390)/2</f>
        <v>-318.012151334818</v>
      </c>
      <c r="J390" s="5" t="str">
        <f aca="false">IF(D390&lt;8,"LOW SAMPLE",IF(F390&gt;H390*(1+Assumptions!$B$10),"UNDERPAID",IF(F390&lt;G390*(1-Assumptions!$B$10),"OVERPAID","FAIR")))</f>
        <v>OVERPAID</v>
      </c>
      <c r="K390" s="5" t="n">
        <v>89</v>
      </c>
    </row>
    <row r="391" customFormat="false" ht="15" hidden="false" customHeight="false" outlineLevel="0" collapsed="false">
      <c r="A391" s="5" t="n">
        <v>2021</v>
      </c>
      <c r="B391" s="5" t="s">
        <v>417</v>
      </c>
      <c r="C391" s="5" t="s">
        <v>434</v>
      </c>
      <c r="D391" s="5" t="n">
        <v>18</v>
      </c>
      <c r="E391" s="13" t="n">
        <v>3.95</v>
      </c>
      <c r="F391" s="14" t="n">
        <f aca="false">E391*Assumptions!$D$4</f>
        <v>512.151334818312</v>
      </c>
      <c r="G391" s="14" t="n">
        <v>435</v>
      </c>
      <c r="H391" s="14" t="n">
        <v>590</v>
      </c>
      <c r="I391" s="14" t="n">
        <f aca="false">F391-(G391+H391)/2</f>
        <v>-0.348665181688261</v>
      </c>
      <c r="J391" s="5" t="str">
        <f aca="false">IF(D391&lt;8,"LOW SAMPLE",IF(F391&gt;H391*(1+Assumptions!$B$10),"UNDERPAID",IF(F391&lt;G391*(1-Assumptions!$B$10),"OVERPAID","FAIR")))</f>
        <v>FAIR</v>
      </c>
      <c r="K391" s="5" t="n">
        <v>104</v>
      </c>
    </row>
    <row r="392" customFormat="false" ht="15" hidden="false" customHeight="false" outlineLevel="0" collapsed="false">
      <c r="A392" s="5" t="n">
        <v>2021</v>
      </c>
      <c r="B392" s="5" t="s">
        <v>417</v>
      </c>
      <c r="C392" s="5" t="s">
        <v>435</v>
      </c>
      <c r="D392" s="5" t="n">
        <v>25</v>
      </c>
      <c r="E392" s="13" t="n">
        <v>3.24</v>
      </c>
      <c r="F392" s="14" t="n">
        <f aca="false">E392*Assumptions!$D$4</f>
        <v>420.093753116792</v>
      </c>
      <c r="G392" s="14" t="n">
        <v>215</v>
      </c>
      <c r="H392" s="14" t="n">
        <v>330</v>
      </c>
      <c r="I392" s="14" t="n">
        <f aca="false">F392-(G392+H392)/2</f>
        <v>147.593753116792</v>
      </c>
      <c r="J392" s="5" t="str">
        <f aca="false">IF(D392&lt;8,"LOW SAMPLE",IF(F392&gt;H392*(1+Assumptions!$B$10),"UNDERPAID",IF(F392&lt;G392*(1-Assumptions!$B$10),"OVERPAID","FAIR")))</f>
        <v>UNDERPAID</v>
      </c>
      <c r="K392" s="5" t="n">
        <v>0</v>
      </c>
    </row>
    <row r="393" customFormat="false" ht="15" hidden="false" customHeight="false" outlineLevel="0" collapsed="false">
      <c r="A393" s="5" t="n">
        <v>2021</v>
      </c>
      <c r="B393" s="5" t="s">
        <v>417</v>
      </c>
      <c r="C393" s="5" t="s">
        <v>436</v>
      </c>
      <c r="D393" s="5" t="n">
        <v>20</v>
      </c>
      <c r="E393" s="13" t="n">
        <v>2.9</v>
      </c>
      <c r="F393" s="14" t="n">
        <f aca="false">E393*Assumptions!$D$4</f>
        <v>376.009840752685</v>
      </c>
      <c r="G393" s="14" t="n">
        <v>215</v>
      </c>
      <c r="H393" s="14" t="n">
        <v>330</v>
      </c>
      <c r="I393" s="14" t="n">
        <f aca="false">F393-(G393+H393)/2</f>
        <v>103.509840752685</v>
      </c>
      <c r="J393" s="5" t="str">
        <f aca="false">IF(D393&lt;8,"LOW SAMPLE",IF(F393&gt;H393*(1+Assumptions!$B$10),"UNDERPAID",IF(F393&lt;G393*(1-Assumptions!$B$10),"OVERPAID","FAIR")))</f>
        <v>FAIR</v>
      </c>
      <c r="K393" s="5" t="n">
        <v>74</v>
      </c>
    </row>
    <row r="394" customFormat="false" ht="15" hidden="false" customHeight="false" outlineLevel="0" collapsed="false">
      <c r="A394" s="5" t="n">
        <v>2021</v>
      </c>
      <c r="B394" s="5" t="s">
        <v>417</v>
      </c>
      <c r="C394" s="5" t="s">
        <v>437</v>
      </c>
      <c r="D394" s="5" t="n">
        <v>3</v>
      </c>
      <c r="E394" s="13" t="n">
        <v>0.39</v>
      </c>
      <c r="F394" s="14" t="n">
        <f aca="false">E394*Assumptions!$D$4</f>
        <v>50.5668406529472</v>
      </c>
      <c r="G394" s="14" t="n">
        <v>120</v>
      </c>
      <c r="H394" s="14" t="n">
        <v>215</v>
      </c>
      <c r="I394" s="14" t="n">
        <f aca="false">F394-(G394+H394)/2</f>
        <v>-116.933159347053</v>
      </c>
      <c r="J394" s="5" t="str">
        <f aca="false">IF(D394&lt;8,"LOW SAMPLE",IF(F394&gt;H394*(1+Assumptions!$B$10),"UNDERPAID",IF(F394&lt;G394*(1-Assumptions!$B$10),"OVERPAID","FAIR")))</f>
        <v>LOW SAMPLE</v>
      </c>
      <c r="K394" s="5" t="n">
        <v>18</v>
      </c>
    </row>
    <row r="395" customFormat="false" ht="15" hidden="false" customHeight="false" outlineLevel="0" collapsed="false">
      <c r="A395" s="5" t="n">
        <v>2021</v>
      </c>
      <c r="B395" s="5" t="s">
        <v>417</v>
      </c>
      <c r="C395" s="5" t="s">
        <v>438</v>
      </c>
      <c r="D395" s="5" t="n">
        <v>5</v>
      </c>
      <c r="E395" s="13" t="n">
        <v>0.05</v>
      </c>
      <c r="F395" s="14" t="n">
        <f aca="false">E395*Assumptions!$D$4</f>
        <v>6.48292828883939</v>
      </c>
      <c r="G395" s="14" t="n">
        <v>120</v>
      </c>
      <c r="H395" s="14" t="n">
        <v>215</v>
      </c>
      <c r="I395" s="14" t="n">
        <f aca="false">F395-(G395+H395)/2</f>
        <v>-161.017071711161</v>
      </c>
      <c r="J395" s="5" t="str">
        <f aca="false">IF(D395&lt;8,"LOW SAMPLE",IF(F395&gt;H395*(1+Assumptions!$B$10),"UNDERPAID",IF(F395&lt;G395*(1-Assumptions!$B$10),"OVERPAID","FAIR")))</f>
        <v>LOW SAMPLE</v>
      </c>
      <c r="K395" s="5" t="n">
        <v>1</v>
      </c>
    </row>
    <row r="396" customFormat="false" ht="15" hidden="false" customHeight="false" outlineLevel="0" collapsed="false">
      <c r="A396" s="5" t="n">
        <v>2021</v>
      </c>
      <c r="B396" s="5" t="s">
        <v>417</v>
      </c>
      <c r="C396" s="5" t="s">
        <v>439</v>
      </c>
      <c r="D396" s="5" t="n">
        <v>25</v>
      </c>
      <c r="E396" s="13" t="n">
        <v>4.92</v>
      </c>
      <c r="F396" s="14" t="n">
        <f aca="false">E396*Assumptions!$D$4</f>
        <v>637.920143621796</v>
      </c>
      <c r="G396" s="14" t="n">
        <v>330</v>
      </c>
      <c r="H396" s="14" t="n">
        <v>435</v>
      </c>
      <c r="I396" s="14" t="n">
        <f aca="false">F396-(G396+H396)/2</f>
        <v>255.420143621796</v>
      </c>
      <c r="J396" s="5" t="str">
        <f aca="false">IF(D396&lt;8,"LOW SAMPLE",IF(F396&gt;H396*(1+Assumptions!$B$10),"UNDERPAID",IF(F396&lt;G396*(1-Assumptions!$B$10),"OVERPAID","FAIR")))</f>
        <v>UNDERPAID</v>
      </c>
      <c r="K396" s="5" t="n">
        <v>14</v>
      </c>
    </row>
    <row r="397" customFormat="false" ht="15" hidden="false" customHeight="false" outlineLevel="0" collapsed="false">
      <c r="A397" s="5" t="n">
        <v>2021</v>
      </c>
      <c r="B397" s="5" t="s">
        <v>417</v>
      </c>
      <c r="C397" s="5" t="s">
        <v>440</v>
      </c>
      <c r="D397" s="5" t="n">
        <v>24</v>
      </c>
      <c r="E397" s="13" t="n">
        <v>4.16</v>
      </c>
      <c r="F397" s="14" t="n">
        <f aca="false">E397*Assumptions!$D$4</f>
        <v>539.379633631437</v>
      </c>
      <c r="G397" s="14" t="n">
        <v>120</v>
      </c>
      <c r="H397" s="14" t="n">
        <v>215</v>
      </c>
      <c r="I397" s="14" t="n">
        <f aca="false">F397-(G397+H397)/2</f>
        <v>371.879633631437</v>
      </c>
      <c r="J397" s="5" t="str">
        <f aca="false">IF(D397&lt;8,"LOW SAMPLE",IF(F397&gt;H397*(1+Assumptions!$B$10),"UNDERPAID",IF(F397&lt;G397*(1-Assumptions!$B$10),"OVERPAID","FAIR")))</f>
        <v>UNDERPAID</v>
      </c>
      <c r="K397" s="5" t="n">
        <v>6</v>
      </c>
    </row>
    <row r="398" customFormat="false" ht="15" hidden="false" customHeight="false" outlineLevel="0" collapsed="false">
      <c r="A398" s="5" t="n">
        <v>2021</v>
      </c>
      <c r="B398" s="5" t="s">
        <v>417</v>
      </c>
      <c r="C398" s="5" t="s">
        <v>441</v>
      </c>
      <c r="D398" s="5" t="n">
        <v>25</v>
      </c>
      <c r="E398" s="13" t="n">
        <v>8.62</v>
      </c>
      <c r="F398" s="14" t="n">
        <f aca="false">E398*Assumptions!$D$4</f>
        <v>1117.65683699591</v>
      </c>
      <c r="G398" s="14" t="n">
        <v>820</v>
      </c>
      <c r="H398" s="14" t="n">
        <v>1125</v>
      </c>
      <c r="I398" s="14" t="n">
        <f aca="false">F398-(G398+H398)/2</f>
        <v>145.156836995911</v>
      </c>
      <c r="J398" s="5" t="str">
        <f aca="false">IF(D398&lt;8,"LOW SAMPLE",IF(F398&gt;H398*(1+Assumptions!$B$10),"UNDERPAID",IF(F398&lt;G398*(1-Assumptions!$B$10),"OVERPAID","FAIR")))</f>
        <v>FAIR</v>
      </c>
      <c r="K398" s="5" t="n">
        <v>108</v>
      </c>
    </row>
    <row r="399" customFormat="false" ht="15" hidden="false" customHeight="false" outlineLevel="0" collapsed="false">
      <c r="A399" s="5" t="n">
        <v>2021</v>
      </c>
      <c r="B399" s="5" t="s">
        <v>417</v>
      </c>
      <c r="C399" s="5" t="s">
        <v>442</v>
      </c>
      <c r="D399" s="5" t="n">
        <v>17</v>
      </c>
      <c r="E399" s="13" t="n">
        <v>2.43</v>
      </c>
      <c r="F399" s="14" t="n">
        <f aca="false">E399*Assumptions!$D$4</f>
        <v>315.070314837594</v>
      </c>
      <c r="G399" s="14" t="n">
        <v>330</v>
      </c>
      <c r="H399" s="14" t="n">
        <v>435</v>
      </c>
      <c r="I399" s="14" t="n">
        <f aca="false">F399-(G399+H399)/2</f>
        <v>-67.4296851624057</v>
      </c>
      <c r="J399" s="5" t="str">
        <f aca="false">IF(D399&lt;8,"LOW SAMPLE",IF(F399&gt;H399*(1+Assumptions!$B$10),"UNDERPAID",IF(F399&lt;G399*(1-Assumptions!$B$10),"OVERPAID","FAIR")))</f>
        <v>FAIR</v>
      </c>
      <c r="K399" s="5" t="n">
        <v>93</v>
      </c>
    </row>
    <row r="400" customFormat="false" ht="15" hidden="false" customHeight="false" outlineLevel="0" collapsed="false">
      <c r="A400" s="5" t="n">
        <v>2021</v>
      </c>
      <c r="B400" s="5" t="s">
        <v>417</v>
      </c>
      <c r="C400" s="5" t="s">
        <v>443</v>
      </c>
      <c r="D400" s="5" t="n">
        <v>1</v>
      </c>
      <c r="E400" s="13" t="n">
        <v>0.19</v>
      </c>
      <c r="F400" s="14" t="n">
        <f aca="false">E400*Assumptions!$D$4</f>
        <v>24.6351274975897</v>
      </c>
      <c r="G400" s="14" t="n">
        <v>215</v>
      </c>
      <c r="H400" s="14" t="n">
        <v>330</v>
      </c>
      <c r="I400" s="14" t="n">
        <f aca="false">F400-(G400+H400)/2</f>
        <v>-247.86487250241</v>
      </c>
      <c r="J400" s="5" t="str">
        <f aca="false">IF(D400&lt;8,"LOW SAMPLE",IF(F400&gt;H400*(1+Assumptions!$B$10),"UNDERPAID",IF(F400&lt;G400*(1-Assumptions!$B$10),"OVERPAID","FAIR")))</f>
        <v>LOW SAMPLE</v>
      </c>
      <c r="K400" s="5" t="n">
        <v>65</v>
      </c>
    </row>
    <row r="401" customFormat="false" ht="15" hidden="false" customHeight="false" outlineLevel="0" collapsed="false">
      <c r="A401" s="5" t="n">
        <v>2021</v>
      </c>
      <c r="B401" s="5" t="s">
        <v>417</v>
      </c>
      <c r="C401" s="5" t="s">
        <v>444</v>
      </c>
      <c r="D401" s="5" t="n">
        <v>8</v>
      </c>
      <c r="E401" s="13" t="n">
        <v>0.87</v>
      </c>
      <c r="F401" s="14" t="n">
        <f aca="false">E401*Assumptions!$D$4</f>
        <v>112.802952225805</v>
      </c>
      <c r="G401" s="14" t="n">
        <v>330</v>
      </c>
      <c r="H401" s="14" t="n">
        <v>435</v>
      </c>
      <c r="I401" s="14" t="n">
        <f aca="false">F401-(G401+H401)/2</f>
        <v>-269.697047774195</v>
      </c>
      <c r="J401" s="5" t="str">
        <f aca="false">IF(D401&lt;8,"LOW SAMPLE",IF(F401&gt;H401*(1+Assumptions!$B$10),"UNDERPAID",IF(F401&lt;G401*(1-Assumptions!$B$10),"OVERPAID","FAIR")))</f>
        <v>OVERPAID</v>
      </c>
      <c r="K401" s="5" t="n">
        <v>115</v>
      </c>
    </row>
    <row r="402" customFormat="false" ht="15" hidden="false" customHeight="false" outlineLevel="0" collapsed="false">
      <c r="A402" s="5" t="n">
        <v>2021</v>
      </c>
      <c r="B402" s="5" t="s">
        <v>417</v>
      </c>
      <c r="C402" s="5" t="s">
        <v>445</v>
      </c>
      <c r="D402" s="5" t="n">
        <v>5</v>
      </c>
      <c r="E402" s="13" t="n">
        <v>0.54</v>
      </c>
      <c r="F402" s="14" t="n">
        <f aca="false">E402*Assumptions!$D$4</f>
        <v>70.0156255194654</v>
      </c>
      <c r="G402" s="14" t="n">
        <v>215</v>
      </c>
      <c r="H402" s="14" t="n">
        <v>330</v>
      </c>
      <c r="I402" s="14" t="n">
        <f aca="false">F402-(G402+H402)/2</f>
        <v>-202.484374480535</v>
      </c>
      <c r="J402" s="5" t="str">
        <f aca="false">IF(D402&lt;8,"LOW SAMPLE",IF(F402&gt;H402*(1+Assumptions!$B$10),"UNDERPAID",IF(F402&lt;G402*(1-Assumptions!$B$10),"OVERPAID","FAIR")))</f>
        <v>LOW SAMPLE</v>
      </c>
      <c r="K402" s="5" t="n">
        <v>97</v>
      </c>
    </row>
    <row r="403" customFormat="false" ht="15" hidden="false" customHeight="false" outlineLevel="0" collapsed="false">
      <c r="A403" s="5" t="n">
        <v>2021</v>
      </c>
      <c r="B403" s="5" t="s">
        <v>417</v>
      </c>
      <c r="C403" s="5" t="s">
        <v>446</v>
      </c>
      <c r="D403" s="5" t="n">
        <v>3</v>
      </c>
      <c r="E403" s="13" t="n">
        <v>0.17</v>
      </c>
      <c r="F403" s="14" t="n">
        <f aca="false">E403*Assumptions!$D$4</f>
        <v>22.0419561820539</v>
      </c>
      <c r="G403" s="14" t="n">
        <v>120</v>
      </c>
      <c r="H403" s="14" t="n">
        <v>215</v>
      </c>
      <c r="I403" s="14" t="n">
        <f aca="false">F403-(G403+H403)/2</f>
        <v>-145.458043817946</v>
      </c>
      <c r="J403" s="5" t="str">
        <f aca="false">IF(D403&lt;8,"LOW SAMPLE",IF(F403&gt;H403*(1+Assumptions!$B$10),"UNDERPAID",IF(F403&lt;G403*(1-Assumptions!$B$10),"OVERPAID","FAIR")))</f>
        <v>LOW SAMPLE</v>
      </c>
      <c r="K403" s="5" t="n">
        <v>12</v>
      </c>
    </row>
    <row r="404" customFormat="false" ht="15" hidden="false" customHeight="false" outlineLevel="0" collapsed="false">
      <c r="A404" s="5" t="n">
        <v>2021</v>
      </c>
      <c r="B404" s="5" t="s">
        <v>417</v>
      </c>
      <c r="C404" s="5" t="s">
        <v>447</v>
      </c>
      <c r="D404" s="5" t="n">
        <v>5</v>
      </c>
      <c r="E404" s="13" t="n">
        <v>0.66</v>
      </c>
      <c r="F404" s="14" t="n">
        <f aca="false">E404*Assumptions!$D$4</f>
        <v>85.5746534126799</v>
      </c>
      <c r="G404" s="14" t="n">
        <v>330</v>
      </c>
      <c r="H404" s="14" t="n">
        <v>435</v>
      </c>
      <c r="I404" s="14" t="n">
        <f aca="false">F404-(G404+H404)/2</f>
        <v>-296.92534658732</v>
      </c>
      <c r="J404" s="5" t="str">
        <f aca="false">IF(D404&lt;8,"LOW SAMPLE",IF(F404&gt;H404*(1+Assumptions!$B$10),"UNDERPAID",IF(F404&lt;G404*(1-Assumptions!$B$10),"OVERPAID","FAIR")))</f>
        <v>LOW SAMPLE</v>
      </c>
      <c r="K404" s="5" t="n">
        <v>44</v>
      </c>
    </row>
    <row r="405" customFormat="false" ht="15" hidden="false" customHeight="false" outlineLevel="0" collapsed="false">
      <c r="A405" s="5" t="n">
        <v>2021</v>
      </c>
      <c r="B405" s="5" t="s">
        <v>417</v>
      </c>
      <c r="C405" s="5" t="s">
        <v>448</v>
      </c>
      <c r="D405" s="5" t="n">
        <v>23</v>
      </c>
      <c r="E405" s="13" t="n">
        <v>5.94</v>
      </c>
      <c r="F405" s="14" t="n">
        <f aca="false">E405*Assumptions!$D$4</f>
        <v>770.171880714119</v>
      </c>
      <c r="G405" s="14" t="n">
        <v>435</v>
      </c>
      <c r="H405" s="14" t="n">
        <v>590</v>
      </c>
      <c r="I405" s="14" t="n">
        <f aca="false">F405-(G405+H405)/2</f>
        <v>257.671880714119</v>
      </c>
      <c r="J405" s="5" t="str">
        <f aca="false">IF(D405&lt;8,"LOW SAMPLE",IF(F405&gt;H405*(1+Assumptions!$B$10),"UNDERPAID",IF(F405&lt;G405*(1-Assumptions!$B$10),"OVERPAID","FAIR")))</f>
        <v>UNDERPAID</v>
      </c>
      <c r="K405" s="5" t="n">
        <v>95</v>
      </c>
    </row>
    <row r="406" customFormat="false" ht="15" hidden="false" customHeight="false" outlineLevel="0" collapsed="false">
      <c r="A406" s="5" t="n">
        <v>2021</v>
      </c>
      <c r="B406" s="5" t="s">
        <v>417</v>
      </c>
      <c r="C406" s="5" t="s">
        <v>449</v>
      </c>
      <c r="D406" s="5" t="n">
        <v>23</v>
      </c>
      <c r="E406" s="13" t="n">
        <v>5.48</v>
      </c>
      <c r="F406" s="14" t="n">
        <f aca="false">E406*Assumptions!$D$4</f>
        <v>710.528940456797</v>
      </c>
      <c r="G406" s="14" t="n">
        <v>330</v>
      </c>
      <c r="H406" s="14" t="n">
        <v>435</v>
      </c>
      <c r="I406" s="14" t="n">
        <f aca="false">F406-(G406+H406)/2</f>
        <v>328.028940456797</v>
      </c>
      <c r="J406" s="5" t="str">
        <f aca="false">IF(D406&lt;8,"LOW SAMPLE",IF(F406&gt;H406*(1+Assumptions!$B$10),"UNDERPAID",IF(F406&lt;G406*(1-Assumptions!$B$10),"OVERPAID","FAIR")))</f>
        <v>UNDERPAID</v>
      </c>
      <c r="K406" s="5" t="n">
        <v>110</v>
      </c>
    </row>
    <row r="407" customFormat="false" ht="15" hidden="false" customHeight="false" outlineLevel="0" collapsed="false">
      <c r="A407" s="5" t="n">
        <v>2021</v>
      </c>
      <c r="B407" s="5" t="s">
        <v>417</v>
      </c>
      <c r="C407" s="5" t="s">
        <v>450</v>
      </c>
      <c r="D407" s="5" t="n">
        <v>21</v>
      </c>
      <c r="E407" s="13" t="n">
        <v>2.37</v>
      </c>
      <c r="F407" s="14" t="n">
        <f aca="false">E407*Assumptions!$D$4</f>
        <v>307.290800890987</v>
      </c>
      <c r="G407" s="14" t="n">
        <v>120</v>
      </c>
      <c r="H407" s="14" t="n">
        <v>215</v>
      </c>
      <c r="I407" s="14" t="n">
        <f aca="false">F407-(G407+H407)/2</f>
        <v>139.790800890987</v>
      </c>
      <c r="J407" s="5" t="str">
        <f aca="false">IF(D407&lt;8,"LOW SAMPLE",IF(F407&gt;H407*(1+Assumptions!$B$10),"UNDERPAID",IF(F407&lt;G407*(1-Assumptions!$B$10),"OVERPAID","FAIR")))</f>
        <v>UNDERPAID</v>
      </c>
      <c r="K407" s="5" t="n">
        <v>7</v>
      </c>
    </row>
    <row r="408" customFormat="false" ht="15" hidden="false" customHeight="false" outlineLevel="0" collapsed="false">
      <c r="A408" s="5" t="n">
        <v>2021</v>
      </c>
      <c r="B408" s="5" t="s">
        <v>417</v>
      </c>
      <c r="C408" s="5" t="s">
        <v>451</v>
      </c>
      <c r="D408" s="5" t="n">
        <v>25</v>
      </c>
      <c r="E408" s="13" t="n">
        <v>3.89</v>
      </c>
      <c r="F408" s="14" t="n">
        <f aca="false">E408*Assumptions!$D$4</f>
        <v>504.371820871705</v>
      </c>
      <c r="G408" s="14" t="n">
        <v>215</v>
      </c>
      <c r="H408" s="14" t="n">
        <v>330</v>
      </c>
      <c r="I408" s="14" t="n">
        <f aca="false">F408-(G408+H408)/2</f>
        <v>231.871820871704</v>
      </c>
      <c r="J408" s="5" t="str">
        <f aca="false">IF(D408&lt;8,"LOW SAMPLE",IF(F408&gt;H408*(1+Assumptions!$B$10),"UNDERPAID",IF(F408&lt;G408*(1-Assumptions!$B$10),"OVERPAID","FAIR")))</f>
        <v>UNDERPAID</v>
      </c>
      <c r="K408" s="5" t="n">
        <v>9</v>
      </c>
    </row>
    <row r="409" customFormat="false" ht="15" hidden="false" customHeight="false" outlineLevel="0" collapsed="false">
      <c r="A409" s="5" t="n">
        <v>2021</v>
      </c>
      <c r="B409" s="5" t="s">
        <v>452</v>
      </c>
      <c r="C409" s="5" t="s">
        <v>453</v>
      </c>
      <c r="D409" s="5" t="n">
        <v>20</v>
      </c>
      <c r="E409" s="13" t="n">
        <v>4.77</v>
      </c>
      <c r="F409" s="14" t="n">
        <f aca="false">E409*Assumptions!$D$4</f>
        <v>618.471358755278</v>
      </c>
      <c r="G409" s="14" t="n">
        <v>330</v>
      </c>
      <c r="H409" s="14" t="n">
        <v>435</v>
      </c>
      <c r="I409" s="14" t="n">
        <f aca="false">F409-(G409+H409)/2</f>
        <v>235.971358755278</v>
      </c>
      <c r="J409" s="5" t="str">
        <f aca="false">IF(D409&lt;8,"LOW SAMPLE",IF(F409&gt;H409*(1+Assumptions!$B$10),"UNDERPAID",IF(F409&lt;G409*(1-Assumptions!$B$10),"OVERPAID","FAIR")))</f>
        <v>UNDERPAID</v>
      </c>
      <c r="K409" s="5" t="n">
        <v>78</v>
      </c>
    </row>
    <row r="410" customFormat="false" ht="15" hidden="false" customHeight="false" outlineLevel="0" collapsed="false">
      <c r="A410" s="5" t="n">
        <v>2021</v>
      </c>
      <c r="B410" s="5" t="s">
        <v>452</v>
      </c>
      <c r="C410" s="5" t="s">
        <v>454</v>
      </c>
      <c r="D410" s="5" t="n">
        <v>2</v>
      </c>
      <c r="E410" s="13" t="n">
        <v>0.38</v>
      </c>
      <c r="F410" s="14" t="n">
        <f aca="false">E410*Assumptions!$D$4</f>
        <v>49.2702549951794</v>
      </c>
      <c r="G410" s="14" t="n">
        <v>330</v>
      </c>
      <c r="H410" s="14" t="n">
        <v>435</v>
      </c>
      <c r="I410" s="14" t="n">
        <f aca="false">F410-(G410+H410)/2</f>
        <v>-333.229745004821</v>
      </c>
      <c r="J410" s="5" t="str">
        <f aca="false">IF(D410&lt;8,"LOW SAMPLE",IF(F410&gt;H410*(1+Assumptions!$B$10),"UNDERPAID",IF(F410&lt;G410*(1-Assumptions!$B$10),"OVERPAID","FAIR")))</f>
        <v>LOW SAMPLE</v>
      </c>
      <c r="K410" s="5" t="n">
        <v>84</v>
      </c>
    </row>
    <row r="411" customFormat="false" ht="15" hidden="false" customHeight="false" outlineLevel="0" collapsed="false">
      <c r="A411" s="5" t="n">
        <v>2021</v>
      </c>
      <c r="B411" s="5" t="s">
        <v>452</v>
      </c>
      <c r="C411" s="5" t="s">
        <v>455</v>
      </c>
      <c r="D411" s="5" t="n">
        <v>10</v>
      </c>
      <c r="E411" s="13" t="n">
        <v>1.25</v>
      </c>
      <c r="F411" s="14" t="n">
        <f aca="false">E411*Assumptions!$D$4</f>
        <v>162.073207220985</v>
      </c>
      <c r="G411" s="14" t="n">
        <v>120</v>
      </c>
      <c r="H411" s="14" t="n">
        <v>215</v>
      </c>
      <c r="I411" s="14" t="n">
        <f aca="false">F411-(G411+H411)/2</f>
        <v>-5.42679277901527</v>
      </c>
      <c r="J411" s="5" t="str">
        <f aca="false">IF(D411&lt;8,"LOW SAMPLE",IF(F411&gt;H411*(1+Assumptions!$B$10),"UNDERPAID",IF(F411&lt;G411*(1-Assumptions!$B$10),"OVERPAID","FAIR")))</f>
        <v>FAIR</v>
      </c>
      <c r="K411" s="5" t="n">
        <v>12</v>
      </c>
    </row>
    <row r="412" customFormat="false" ht="15" hidden="false" customHeight="false" outlineLevel="0" collapsed="false">
      <c r="A412" s="5" t="n">
        <v>2021</v>
      </c>
      <c r="B412" s="5" t="s">
        <v>452</v>
      </c>
      <c r="C412" s="5" t="s">
        <v>456</v>
      </c>
      <c r="D412" s="5" t="n">
        <v>8</v>
      </c>
      <c r="E412" s="13" t="n">
        <v>0.78</v>
      </c>
      <c r="F412" s="14" t="n">
        <f aca="false">E412*Assumptions!$D$4</f>
        <v>101.133681305894</v>
      </c>
      <c r="G412" s="14" t="n">
        <v>120</v>
      </c>
      <c r="H412" s="14" t="n">
        <v>215</v>
      </c>
      <c r="I412" s="14" t="n">
        <f aca="false">F412-(G412+H412)/2</f>
        <v>-66.3663186941055</v>
      </c>
      <c r="J412" s="5" t="str">
        <f aca="false">IF(D412&lt;8,"LOW SAMPLE",IF(F412&gt;H412*(1+Assumptions!$B$10),"UNDERPAID",IF(F412&lt;G412*(1-Assumptions!$B$10),"OVERPAID","FAIR")))</f>
        <v>OVERPAID</v>
      </c>
      <c r="K412" s="5" t="n">
        <v>3</v>
      </c>
    </row>
    <row r="413" customFormat="false" ht="15" hidden="false" customHeight="false" outlineLevel="0" collapsed="false">
      <c r="A413" s="5" t="n">
        <v>2021</v>
      </c>
      <c r="B413" s="5" t="s">
        <v>452</v>
      </c>
      <c r="C413" s="5" t="s">
        <v>457</v>
      </c>
      <c r="D413" s="5" t="n">
        <v>17</v>
      </c>
      <c r="E413" s="13" t="n">
        <v>2.12</v>
      </c>
      <c r="F413" s="14" t="n">
        <f aca="false">E413*Assumptions!$D$4</f>
        <v>274.87615944679</v>
      </c>
      <c r="G413" s="14" t="n">
        <v>215</v>
      </c>
      <c r="H413" s="14" t="n">
        <v>330</v>
      </c>
      <c r="I413" s="14" t="n">
        <f aca="false">F413-(G413+H413)/2</f>
        <v>2.3761594467901</v>
      </c>
      <c r="J413" s="5" t="str">
        <f aca="false">IF(D413&lt;8,"LOW SAMPLE",IF(F413&gt;H413*(1+Assumptions!$B$10),"UNDERPAID",IF(F413&lt;G413*(1-Assumptions!$B$10),"OVERPAID","FAIR")))</f>
        <v>FAIR</v>
      </c>
      <c r="K413" s="5" t="n">
        <v>17</v>
      </c>
    </row>
    <row r="414" customFormat="false" ht="15" hidden="false" customHeight="false" outlineLevel="0" collapsed="false">
      <c r="A414" s="5" t="n">
        <v>2021</v>
      </c>
      <c r="B414" s="5" t="s">
        <v>452</v>
      </c>
      <c r="C414" s="5" t="s">
        <v>458</v>
      </c>
      <c r="D414" s="5" t="n">
        <v>15</v>
      </c>
      <c r="E414" s="13" t="n">
        <v>4.67</v>
      </c>
      <c r="F414" s="14" t="n">
        <f aca="false">E414*Assumptions!$D$4</f>
        <v>605.505502177599</v>
      </c>
      <c r="G414" s="14" t="n">
        <v>330</v>
      </c>
      <c r="H414" s="14" t="n">
        <v>435</v>
      </c>
      <c r="I414" s="14" t="n">
        <f aca="false">F414-(G414+H414)/2</f>
        <v>223.005502177599</v>
      </c>
      <c r="J414" s="5" t="str">
        <f aca="false">IF(D414&lt;8,"LOW SAMPLE",IF(F414&gt;H414*(1+Assumptions!$B$10),"UNDERPAID",IF(F414&lt;G414*(1-Assumptions!$B$10),"OVERPAID","FAIR")))</f>
        <v>UNDERPAID</v>
      </c>
      <c r="K414" s="5" t="n">
        <v>113</v>
      </c>
    </row>
    <row r="415" customFormat="false" ht="15" hidden="false" customHeight="false" outlineLevel="0" collapsed="false">
      <c r="A415" s="5" t="n">
        <v>2021</v>
      </c>
      <c r="B415" s="5" t="s">
        <v>452</v>
      </c>
      <c r="C415" s="5" t="s">
        <v>459</v>
      </c>
      <c r="D415" s="5" t="n">
        <v>22</v>
      </c>
      <c r="E415" s="13" t="n">
        <v>3.08</v>
      </c>
      <c r="F415" s="14" t="n">
        <f aca="false">E415*Assumptions!$D$4</f>
        <v>399.348382592506</v>
      </c>
      <c r="G415" s="14" t="n">
        <v>120</v>
      </c>
      <c r="H415" s="14" t="n">
        <v>215</v>
      </c>
      <c r="I415" s="14" t="n">
        <f aca="false">F415-(G415+H415)/2</f>
        <v>231.848382592506</v>
      </c>
      <c r="J415" s="5" t="str">
        <f aca="false">IF(D415&lt;8,"LOW SAMPLE",IF(F415&gt;H415*(1+Assumptions!$B$10),"UNDERPAID",IF(F415&lt;G415*(1-Assumptions!$B$10),"OVERPAID","FAIR")))</f>
        <v>UNDERPAID</v>
      </c>
      <c r="K415" s="5" t="n">
        <v>15</v>
      </c>
    </row>
    <row r="416" customFormat="false" ht="15" hidden="false" customHeight="false" outlineLevel="0" collapsed="false">
      <c r="A416" s="5" t="n">
        <v>2021</v>
      </c>
      <c r="B416" s="5" t="s">
        <v>452</v>
      </c>
      <c r="C416" s="5" t="s">
        <v>460</v>
      </c>
      <c r="D416" s="5" t="n">
        <v>20</v>
      </c>
      <c r="E416" s="13" t="n">
        <v>4.06</v>
      </c>
      <c r="F416" s="14" t="n">
        <f aca="false">E416*Assumptions!$D$4</f>
        <v>526.413777053758</v>
      </c>
      <c r="G416" s="14" t="n">
        <v>330</v>
      </c>
      <c r="H416" s="14" t="n">
        <v>435</v>
      </c>
      <c r="I416" s="14" t="n">
        <f aca="false">F416-(G416+H416)/2</f>
        <v>143.913777053758</v>
      </c>
      <c r="J416" s="5" t="str">
        <f aca="false">IF(D416&lt;8,"LOW SAMPLE",IF(F416&gt;H416*(1+Assumptions!$B$10),"UNDERPAID",IF(F416&lt;G416*(1-Assumptions!$B$10),"OVERPAID","FAIR")))</f>
        <v>UNDERPAID</v>
      </c>
      <c r="K416" s="5" t="n">
        <v>44</v>
      </c>
    </row>
    <row r="417" customFormat="false" ht="15" hidden="false" customHeight="false" outlineLevel="0" collapsed="false">
      <c r="A417" s="5" t="n">
        <v>2021</v>
      </c>
      <c r="B417" s="5" t="s">
        <v>452</v>
      </c>
      <c r="C417" s="5" t="s">
        <v>461</v>
      </c>
      <c r="D417" s="5" t="n">
        <v>1</v>
      </c>
      <c r="E417" s="13" t="n">
        <v>0.11</v>
      </c>
      <c r="F417" s="14" t="n">
        <f aca="false">E417*Assumptions!$D$4</f>
        <v>14.2624422354467</v>
      </c>
      <c r="G417" s="14" t="n">
        <v>215</v>
      </c>
      <c r="H417" s="14" t="n">
        <v>330</v>
      </c>
      <c r="I417" s="14" t="n">
        <f aca="false">F417-(G417+H417)/2</f>
        <v>-258.237557764553</v>
      </c>
      <c r="J417" s="5" t="str">
        <f aca="false">IF(D417&lt;8,"LOW SAMPLE",IF(F417&gt;H417*(1+Assumptions!$B$10),"UNDERPAID",IF(F417&lt;G417*(1-Assumptions!$B$10),"OVERPAID","FAIR")))</f>
        <v>LOW SAMPLE</v>
      </c>
      <c r="K417" s="5" t="n">
        <v>0</v>
      </c>
    </row>
    <row r="418" customFormat="false" ht="15" hidden="false" customHeight="false" outlineLevel="0" collapsed="false">
      <c r="A418" s="5" t="n">
        <v>2021</v>
      </c>
      <c r="B418" s="5" t="s">
        <v>452</v>
      </c>
      <c r="C418" s="5" t="s">
        <v>462</v>
      </c>
      <c r="D418" s="5" t="n">
        <v>12</v>
      </c>
      <c r="E418" s="13" t="n">
        <v>1.07</v>
      </c>
      <c r="F418" s="14" t="n">
        <f aca="false">E418*Assumptions!$D$4</f>
        <v>138.734665381163</v>
      </c>
      <c r="G418" s="14" t="n">
        <v>215</v>
      </c>
      <c r="H418" s="14" t="n">
        <v>330</v>
      </c>
      <c r="I418" s="14" t="n">
        <f aca="false">F418-(G418+H418)/2</f>
        <v>-133.765334618837</v>
      </c>
      <c r="J418" s="5" t="str">
        <f aca="false">IF(D418&lt;8,"LOW SAMPLE",IF(F418&gt;H418*(1+Assumptions!$B$10),"UNDERPAID",IF(F418&lt;G418*(1-Assumptions!$B$10),"OVERPAID","FAIR")))</f>
        <v>OVERPAID</v>
      </c>
      <c r="K418" s="5" t="n">
        <v>0</v>
      </c>
    </row>
    <row r="419" customFormat="false" ht="15" hidden="false" customHeight="false" outlineLevel="0" collapsed="false">
      <c r="A419" s="5" t="n">
        <v>2021</v>
      </c>
      <c r="B419" s="5" t="s">
        <v>452</v>
      </c>
      <c r="C419" s="5" t="s">
        <v>463</v>
      </c>
      <c r="D419" s="5" t="n">
        <v>7</v>
      </c>
      <c r="E419" s="13" t="n">
        <v>0.72</v>
      </c>
      <c r="F419" s="14" t="n">
        <f aca="false">E419*Assumptions!$D$4</f>
        <v>93.3541673592872</v>
      </c>
      <c r="G419" s="14" t="n">
        <v>215</v>
      </c>
      <c r="H419" s="14" t="n">
        <v>330</v>
      </c>
      <c r="I419" s="14" t="n">
        <f aca="false">F419-(G419+H419)/2</f>
        <v>-179.145832640713</v>
      </c>
      <c r="J419" s="5" t="str">
        <f aca="false">IF(D419&lt;8,"LOW SAMPLE",IF(F419&gt;H419*(1+Assumptions!$B$10),"UNDERPAID",IF(F419&lt;G419*(1-Assumptions!$B$10),"OVERPAID","FAIR")))</f>
        <v>LOW SAMPLE</v>
      </c>
      <c r="K419" s="5" t="n">
        <v>39</v>
      </c>
    </row>
    <row r="420" customFormat="false" ht="15" hidden="false" customHeight="false" outlineLevel="0" collapsed="false">
      <c r="A420" s="5" t="n">
        <v>2021</v>
      </c>
      <c r="B420" s="5" t="s">
        <v>452</v>
      </c>
      <c r="C420" s="5" t="s">
        <v>464</v>
      </c>
      <c r="D420" s="5" t="n">
        <v>19</v>
      </c>
      <c r="E420" s="13" t="n">
        <v>2.42</v>
      </c>
      <c r="F420" s="14" t="n">
        <f aca="false">E420*Assumptions!$D$4</f>
        <v>313.773729179826</v>
      </c>
      <c r="G420" s="14" t="n">
        <v>120</v>
      </c>
      <c r="H420" s="14" t="n">
        <v>215</v>
      </c>
      <c r="I420" s="14" t="n">
        <f aca="false">F420-(G420+H420)/2</f>
        <v>146.273729179826</v>
      </c>
      <c r="J420" s="5" t="str">
        <f aca="false">IF(D420&lt;8,"LOW SAMPLE",IF(F420&gt;H420*(1+Assumptions!$B$10),"UNDERPAID",IF(F420&lt;G420*(1-Assumptions!$B$10),"OVERPAID","FAIR")))</f>
        <v>UNDERPAID</v>
      </c>
      <c r="K420" s="5" t="n">
        <v>11</v>
      </c>
    </row>
    <row r="421" customFormat="false" ht="15" hidden="false" customHeight="false" outlineLevel="0" collapsed="false">
      <c r="A421" s="5" t="n">
        <v>2021</v>
      </c>
      <c r="B421" s="5" t="s">
        <v>452</v>
      </c>
      <c r="C421" s="5" t="s">
        <v>465</v>
      </c>
      <c r="D421" s="5" t="n">
        <v>3</v>
      </c>
      <c r="E421" s="13" t="n">
        <v>0.2</v>
      </c>
      <c r="F421" s="14" t="n">
        <f aca="false">E421*Assumptions!$D$4</f>
        <v>25.9317131553576</v>
      </c>
      <c r="G421" s="14" t="n">
        <v>215</v>
      </c>
      <c r="H421" s="14" t="n">
        <v>330</v>
      </c>
      <c r="I421" s="14" t="n">
        <f aca="false">F421-(G421+H421)/2</f>
        <v>-246.568286844642</v>
      </c>
      <c r="J421" s="5" t="str">
        <f aca="false">IF(D421&lt;8,"LOW SAMPLE",IF(F421&gt;H421*(1+Assumptions!$B$10),"UNDERPAID",IF(F421&lt;G421*(1-Assumptions!$B$10),"OVERPAID","FAIR")))</f>
        <v>LOW SAMPLE</v>
      </c>
      <c r="K421" s="5" t="n">
        <v>75</v>
      </c>
    </row>
    <row r="422" customFormat="false" ht="15" hidden="false" customHeight="false" outlineLevel="0" collapsed="false">
      <c r="A422" s="5" t="n">
        <v>2021</v>
      </c>
      <c r="B422" s="5" t="s">
        <v>452</v>
      </c>
      <c r="C422" s="5" t="s">
        <v>466</v>
      </c>
      <c r="D422" s="5" t="n">
        <v>5</v>
      </c>
      <c r="E422" s="13" t="n">
        <v>0.55</v>
      </c>
      <c r="F422" s="14" t="n">
        <f aca="false">E422*Assumptions!$D$4</f>
        <v>71.3122111772333</v>
      </c>
      <c r="G422" s="14" t="n">
        <v>215</v>
      </c>
      <c r="H422" s="14" t="n">
        <v>330</v>
      </c>
      <c r="I422" s="14" t="n">
        <f aca="false">F422-(G422+H422)/2</f>
        <v>-201.187788822767</v>
      </c>
      <c r="J422" s="5" t="str">
        <f aca="false">IF(D422&lt;8,"LOW SAMPLE",IF(F422&gt;H422*(1+Assumptions!$B$10),"UNDERPAID",IF(F422&lt;G422*(1-Assumptions!$B$10),"OVERPAID","FAIR")))</f>
        <v>LOW SAMPLE</v>
      </c>
      <c r="K422" s="5" t="n">
        <v>0</v>
      </c>
    </row>
    <row r="423" customFormat="false" ht="15" hidden="false" customHeight="false" outlineLevel="0" collapsed="false">
      <c r="A423" s="5" t="n">
        <v>2021</v>
      </c>
      <c r="B423" s="5" t="s">
        <v>452</v>
      </c>
      <c r="C423" s="5" t="s">
        <v>467</v>
      </c>
      <c r="D423" s="5" t="n">
        <v>19</v>
      </c>
      <c r="E423" s="13" t="n">
        <v>2.64</v>
      </c>
      <c r="F423" s="14" t="n">
        <f aca="false">E423*Assumptions!$D$4</f>
        <v>342.29861365072</v>
      </c>
      <c r="G423" s="14" t="n">
        <v>120</v>
      </c>
      <c r="H423" s="14" t="n">
        <v>215</v>
      </c>
      <c r="I423" s="14" t="n">
        <f aca="false">F423-(G423+H423)/2</f>
        <v>174.79861365072</v>
      </c>
      <c r="J423" s="5" t="str">
        <f aca="false">IF(D423&lt;8,"LOW SAMPLE",IF(F423&gt;H423*(1+Assumptions!$B$10),"UNDERPAID",IF(F423&lt;G423*(1-Assumptions!$B$10),"OVERPAID","FAIR")))</f>
        <v>UNDERPAID</v>
      </c>
      <c r="K423" s="5" t="n">
        <v>10</v>
      </c>
    </row>
    <row r="424" customFormat="false" ht="15" hidden="false" customHeight="false" outlineLevel="0" collapsed="false">
      <c r="A424" s="5" t="n">
        <v>2021</v>
      </c>
      <c r="B424" s="5" t="s">
        <v>452</v>
      </c>
      <c r="C424" s="5" t="s">
        <v>468</v>
      </c>
      <c r="D424" s="5" t="n">
        <v>21</v>
      </c>
      <c r="E424" s="13" t="n">
        <v>4.72</v>
      </c>
      <c r="F424" s="14" t="n">
        <f aca="false">E424*Assumptions!$D$4</f>
        <v>611.988430466438</v>
      </c>
      <c r="G424" s="14" t="n">
        <v>435</v>
      </c>
      <c r="H424" s="14" t="n">
        <v>590</v>
      </c>
      <c r="I424" s="14" t="n">
        <f aca="false">F424-(G424+H424)/2</f>
        <v>99.4884304664383</v>
      </c>
      <c r="J424" s="5" t="str">
        <f aca="false">IF(D424&lt;8,"LOW SAMPLE",IF(F424&gt;H424*(1+Assumptions!$B$10),"UNDERPAID",IF(F424&lt;G424*(1-Assumptions!$B$10),"OVERPAID","FAIR")))</f>
        <v>FAIR</v>
      </c>
      <c r="K424" s="5" t="n">
        <v>118</v>
      </c>
    </row>
    <row r="425" customFormat="false" ht="15" hidden="false" customHeight="false" outlineLevel="0" collapsed="false">
      <c r="A425" s="5" t="n">
        <v>2021</v>
      </c>
      <c r="B425" s="5" t="s">
        <v>452</v>
      </c>
      <c r="C425" s="5" t="s">
        <v>469</v>
      </c>
      <c r="D425" s="5" t="n">
        <v>19</v>
      </c>
      <c r="E425" s="13" t="n">
        <v>3.89</v>
      </c>
      <c r="F425" s="14" t="n">
        <f aca="false">E425*Assumptions!$D$4</f>
        <v>504.371820871705</v>
      </c>
      <c r="G425" s="14" t="n">
        <v>330</v>
      </c>
      <c r="H425" s="14" t="n">
        <v>435</v>
      </c>
      <c r="I425" s="14" t="n">
        <f aca="false">F425-(G425+H425)/2</f>
        <v>121.871820871704</v>
      </c>
      <c r="J425" s="5" t="str">
        <f aca="false">IF(D425&lt;8,"LOW SAMPLE",IF(F425&gt;H425*(1+Assumptions!$B$10),"UNDERPAID",IF(F425&lt;G425*(1-Assumptions!$B$10),"OVERPAID","FAIR")))</f>
        <v>UNDERPAID</v>
      </c>
      <c r="K425" s="5" t="n">
        <v>54</v>
      </c>
    </row>
    <row r="426" customFormat="false" ht="15" hidden="false" customHeight="false" outlineLevel="0" collapsed="false">
      <c r="A426" s="5" t="n">
        <v>2021</v>
      </c>
      <c r="B426" s="5" t="s">
        <v>452</v>
      </c>
      <c r="C426" s="5" t="s">
        <v>470</v>
      </c>
      <c r="D426" s="5" t="n">
        <v>5</v>
      </c>
      <c r="E426" s="13" t="n">
        <v>0.5</v>
      </c>
      <c r="F426" s="14" t="n">
        <f aca="false">E426*Assumptions!$D$4</f>
        <v>64.8292828883939</v>
      </c>
      <c r="G426" s="14" t="n">
        <v>435</v>
      </c>
      <c r="H426" s="14" t="n">
        <v>590</v>
      </c>
      <c r="I426" s="14" t="n">
        <f aca="false">F426-(G426+H426)/2</f>
        <v>-447.670717111606</v>
      </c>
      <c r="J426" s="5" t="str">
        <f aca="false">IF(D426&lt;8,"LOW SAMPLE",IF(F426&gt;H426*(1+Assumptions!$B$10),"UNDERPAID",IF(F426&lt;G426*(1-Assumptions!$B$10),"OVERPAID","FAIR")))</f>
        <v>LOW SAMPLE</v>
      </c>
      <c r="K426" s="5" t="n">
        <v>101</v>
      </c>
    </row>
    <row r="427" customFormat="false" ht="15" hidden="false" customHeight="false" outlineLevel="0" collapsed="false">
      <c r="A427" s="5" t="n">
        <v>2021</v>
      </c>
      <c r="B427" s="5" t="s">
        <v>452</v>
      </c>
      <c r="C427" s="5" t="s">
        <v>471</v>
      </c>
      <c r="D427" s="5" t="n">
        <v>7</v>
      </c>
      <c r="E427" s="13" t="n">
        <v>1.5</v>
      </c>
      <c r="F427" s="14" t="n">
        <f aca="false">E427*Assumptions!$D$4</f>
        <v>194.487848665182</v>
      </c>
      <c r="G427" s="14" t="n">
        <v>435</v>
      </c>
      <c r="H427" s="14" t="n">
        <v>590</v>
      </c>
      <c r="I427" s="14" t="n">
        <f aca="false">F427-(G427+H427)/2</f>
        <v>-318.012151334818</v>
      </c>
      <c r="J427" s="5" t="str">
        <f aca="false">IF(D427&lt;8,"LOW SAMPLE",IF(F427&gt;H427*(1+Assumptions!$B$10),"UNDERPAID",IF(F427&lt;G427*(1-Assumptions!$B$10),"OVERPAID","FAIR")))</f>
        <v>LOW SAMPLE</v>
      </c>
      <c r="K427" s="5" t="n">
        <v>72</v>
      </c>
    </row>
    <row r="428" customFormat="false" ht="15" hidden="false" customHeight="false" outlineLevel="0" collapsed="false">
      <c r="A428" s="5" t="n">
        <v>2021</v>
      </c>
      <c r="B428" s="5" t="s">
        <v>452</v>
      </c>
      <c r="C428" s="5" t="s">
        <v>472</v>
      </c>
      <c r="D428" s="5" t="n">
        <v>21</v>
      </c>
      <c r="E428" s="13" t="n">
        <v>2.92</v>
      </c>
      <c r="F428" s="14" t="n">
        <f aca="false">E428*Assumptions!$D$4</f>
        <v>378.60301206822</v>
      </c>
      <c r="G428" s="14" t="n">
        <v>330</v>
      </c>
      <c r="H428" s="14" t="n">
        <v>435</v>
      </c>
      <c r="I428" s="14" t="n">
        <f aca="false">F428-(G428+H428)/2</f>
        <v>-3.89698793177968</v>
      </c>
      <c r="J428" s="5" t="str">
        <f aca="false">IF(D428&lt;8,"LOW SAMPLE",IF(F428&gt;H428*(1+Assumptions!$B$10),"UNDERPAID",IF(F428&lt;G428*(1-Assumptions!$B$10),"OVERPAID","FAIR")))</f>
        <v>FAIR</v>
      </c>
      <c r="K428" s="5" t="n">
        <v>85</v>
      </c>
    </row>
    <row r="429" customFormat="false" ht="15" hidden="false" customHeight="false" outlineLevel="0" collapsed="false">
      <c r="A429" s="5" t="n">
        <v>2021</v>
      </c>
      <c r="B429" s="5" t="s">
        <v>452</v>
      </c>
      <c r="C429" s="5" t="s">
        <v>473</v>
      </c>
      <c r="D429" s="5" t="n">
        <v>22</v>
      </c>
      <c r="E429" s="13" t="n">
        <v>5.54</v>
      </c>
      <c r="F429" s="14" t="n">
        <f aca="false">E429*Assumptions!$D$4</f>
        <v>718.308454403404</v>
      </c>
      <c r="G429" s="14" t="n">
        <v>435</v>
      </c>
      <c r="H429" s="14" t="n">
        <v>590</v>
      </c>
      <c r="I429" s="14" t="n">
        <f aca="false">F429-(G429+H429)/2</f>
        <v>205.808454403404</v>
      </c>
      <c r="J429" s="5" t="str">
        <f aca="false">IF(D429&lt;8,"LOW SAMPLE",IF(F429&gt;H429*(1+Assumptions!$B$10),"UNDERPAID",IF(F429&lt;G429*(1-Assumptions!$B$10),"OVERPAID","FAIR")))</f>
        <v>UNDERPAID</v>
      </c>
      <c r="K429" s="5" t="n">
        <v>73</v>
      </c>
    </row>
    <row r="430" customFormat="false" ht="15" hidden="false" customHeight="false" outlineLevel="0" collapsed="false">
      <c r="A430" s="5" t="n">
        <v>2021</v>
      </c>
      <c r="B430" s="5" t="s">
        <v>452</v>
      </c>
      <c r="C430" s="5" t="s">
        <v>474</v>
      </c>
      <c r="D430" s="5" t="n">
        <v>22</v>
      </c>
      <c r="E430" s="13" t="n">
        <v>2.7</v>
      </c>
      <c r="F430" s="14" t="n">
        <f aca="false">E430*Assumptions!$D$4</f>
        <v>350.078127597327</v>
      </c>
      <c r="G430" s="14" t="n">
        <v>330</v>
      </c>
      <c r="H430" s="14" t="n">
        <v>435</v>
      </c>
      <c r="I430" s="14" t="n">
        <f aca="false">F430-(G430+H430)/2</f>
        <v>-32.421872402673</v>
      </c>
      <c r="J430" s="5" t="str">
        <f aca="false">IF(D430&lt;8,"LOW SAMPLE",IF(F430&gt;H430*(1+Assumptions!$B$10),"UNDERPAID",IF(F430&lt;G430*(1-Assumptions!$B$10),"OVERPAID","FAIR")))</f>
        <v>FAIR</v>
      </c>
      <c r="K430" s="5" t="n">
        <v>73</v>
      </c>
    </row>
    <row r="431" customFormat="false" ht="15" hidden="false" customHeight="false" outlineLevel="0" collapsed="false">
      <c r="A431" s="5" t="n">
        <v>2021</v>
      </c>
      <c r="B431" s="5" t="s">
        <v>452</v>
      </c>
      <c r="C431" s="5" t="s">
        <v>475</v>
      </c>
      <c r="D431" s="5" t="n">
        <v>3</v>
      </c>
      <c r="E431" s="13" t="n">
        <v>0.22</v>
      </c>
      <c r="F431" s="14" t="n">
        <f aca="false">E431*Assumptions!$D$4</f>
        <v>28.5248844708933</v>
      </c>
      <c r="G431" s="14" t="n">
        <v>120</v>
      </c>
      <c r="H431" s="14" t="n">
        <v>215</v>
      </c>
      <c r="I431" s="14" t="n">
        <f aca="false">F431-(G431+H431)/2</f>
        <v>-138.975115529107</v>
      </c>
      <c r="J431" s="5" t="str">
        <f aca="false">IF(D431&lt;8,"LOW SAMPLE",IF(F431&gt;H431*(1+Assumptions!$B$10),"UNDERPAID",IF(F431&lt;G431*(1-Assumptions!$B$10),"OVERPAID","FAIR")))</f>
        <v>LOW SAMPLE</v>
      </c>
      <c r="K431" s="5" t="n">
        <v>9</v>
      </c>
    </row>
    <row r="432" customFormat="false" ht="15" hidden="false" customHeight="false" outlineLevel="0" collapsed="false">
      <c r="A432" s="5" t="n">
        <v>2021</v>
      </c>
      <c r="B432" s="5" t="s">
        <v>452</v>
      </c>
      <c r="C432" s="5" t="s">
        <v>476</v>
      </c>
      <c r="D432" s="5" t="n">
        <v>15</v>
      </c>
      <c r="E432" s="13" t="n">
        <v>1.9</v>
      </c>
      <c r="F432" s="14" t="n">
        <f aca="false">E432*Assumptions!$D$4</f>
        <v>246.351274975897</v>
      </c>
      <c r="G432" s="14" t="n">
        <v>120</v>
      </c>
      <c r="H432" s="14" t="n">
        <v>215</v>
      </c>
      <c r="I432" s="14" t="n">
        <f aca="false">F432-(G432+H432)/2</f>
        <v>78.8512749758968</v>
      </c>
      <c r="J432" s="5" t="str">
        <f aca="false">IF(D432&lt;8,"LOW SAMPLE",IF(F432&gt;H432*(1+Assumptions!$B$10),"UNDERPAID",IF(F432&lt;G432*(1-Assumptions!$B$10),"OVERPAID","FAIR")))</f>
        <v>FAIR</v>
      </c>
      <c r="K432" s="5" t="n">
        <v>8</v>
      </c>
    </row>
    <row r="433" customFormat="false" ht="15" hidden="false" customHeight="false" outlineLevel="0" collapsed="false">
      <c r="A433" s="5" t="n">
        <v>2021</v>
      </c>
      <c r="B433" s="5" t="s">
        <v>452</v>
      </c>
      <c r="C433" s="5" t="s">
        <v>477</v>
      </c>
      <c r="D433" s="5" t="n">
        <v>20</v>
      </c>
      <c r="E433" s="13" t="n">
        <v>4.54</v>
      </c>
      <c r="F433" s="14" t="n">
        <f aca="false">E433*Assumptions!$D$4</f>
        <v>588.649888626617</v>
      </c>
      <c r="G433" s="14" t="n">
        <v>215</v>
      </c>
      <c r="H433" s="14" t="n">
        <v>330</v>
      </c>
      <c r="I433" s="14" t="n">
        <f aca="false">F433-(G433+H433)/2</f>
        <v>316.149888626617</v>
      </c>
      <c r="J433" s="5" t="str">
        <f aca="false">IF(D433&lt;8,"LOW SAMPLE",IF(F433&gt;H433*(1+Assumptions!$B$10),"UNDERPAID",IF(F433&lt;G433*(1-Assumptions!$B$10),"OVERPAID","FAIR")))</f>
        <v>UNDERPAID</v>
      </c>
      <c r="K433" s="5" t="n">
        <v>30</v>
      </c>
    </row>
    <row r="434" customFormat="false" ht="15" hidden="false" customHeight="false" outlineLevel="0" collapsed="false">
      <c r="A434" s="5" t="n">
        <v>2021</v>
      </c>
      <c r="B434" s="5" t="s">
        <v>452</v>
      </c>
      <c r="C434" s="5" t="s">
        <v>478</v>
      </c>
      <c r="D434" s="5" t="n">
        <v>11</v>
      </c>
      <c r="E434" s="13" t="n">
        <v>1.71</v>
      </c>
      <c r="F434" s="14" t="n">
        <f aca="false">E434*Assumptions!$D$4</f>
        <v>221.716147478307</v>
      </c>
      <c r="G434" s="14" t="n">
        <v>435</v>
      </c>
      <c r="H434" s="14" t="n">
        <v>590</v>
      </c>
      <c r="I434" s="14" t="n">
        <f aca="false">F434-(G434+H434)/2</f>
        <v>-290.783852521693</v>
      </c>
      <c r="J434" s="5" t="str">
        <f aca="false">IF(D434&lt;8,"LOW SAMPLE",IF(F434&gt;H434*(1+Assumptions!$B$10),"UNDERPAID",IF(F434&lt;G434*(1-Assumptions!$B$10),"OVERPAID","FAIR")))</f>
        <v>OVERPAID</v>
      </c>
      <c r="K434" s="5" t="n">
        <v>103</v>
      </c>
    </row>
    <row r="435" customFormat="false" ht="15" hidden="false" customHeight="false" outlineLevel="0" collapsed="false">
      <c r="A435" s="5" t="n">
        <v>2021</v>
      </c>
      <c r="B435" s="5" t="s">
        <v>452</v>
      </c>
      <c r="C435" s="5" t="s">
        <v>479</v>
      </c>
      <c r="D435" s="5" t="n">
        <v>22</v>
      </c>
      <c r="E435" s="13" t="n">
        <v>4.38</v>
      </c>
      <c r="F435" s="14" t="n">
        <f aca="false">E435*Assumptions!$D$4</f>
        <v>567.904518102331</v>
      </c>
      <c r="G435" s="14" t="n">
        <v>330</v>
      </c>
      <c r="H435" s="14" t="n">
        <v>435</v>
      </c>
      <c r="I435" s="14" t="n">
        <f aca="false">F435-(G435+H435)/2</f>
        <v>185.40451810233</v>
      </c>
      <c r="J435" s="5" t="str">
        <f aca="false">IF(D435&lt;8,"LOW SAMPLE",IF(F435&gt;H435*(1+Assumptions!$B$10),"UNDERPAID",IF(F435&lt;G435*(1-Assumptions!$B$10),"OVERPAID","FAIR")))</f>
        <v>UNDERPAID</v>
      </c>
      <c r="K435" s="5" t="n">
        <v>29</v>
      </c>
    </row>
    <row r="436" customFormat="false" ht="15" hidden="false" customHeight="false" outlineLevel="0" collapsed="false">
      <c r="A436" s="5" t="n">
        <v>2021</v>
      </c>
      <c r="B436" s="5" t="s">
        <v>452</v>
      </c>
      <c r="C436" s="5" t="s">
        <v>480</v>
      </c>
      <c r="D436" s="5" t="n">
        <v>1</v>
      </c>
      <c r="E436" s="13" t="n">
        <v>0.05</v>
      </c>
      <c r="F436" s="14" t="n">
        <f aca="false">E436*Assumptions!$D$4</f>
        <v>6.48292828883939</v>
      </c>
      <c r="G436" s="14" t="n">
        <v>215</v>
      </c>
      <c r="H436" s="14" t="n">
        <v>330</v>
      </c>
      <c r="I436" s="14" t="n">
        <f aca="false">F436-(G436+H436)/2</f>
        <v>-266.017071711161</v>
      </c>
      <c r="J436" s="5" t="str">
        <f aca="false">IF(D436&lt;8,"LOW SAMPLE",IF(F436&gt;H436*(1+Assumptions!$B$10),"UNDERPAID",IF(F436&lt;G436*(1-Assumptions!$B$10),"OVERPAID","FAIR")))</f>
        <v>LOW SAMPLE</v>
      </c>
      <c r="K436" s="5" t="n">
        <v>0</v>
      </c>
    </row>
    <row r="437" customFormat="false" ht="15" hidden="false" customHeight="false" outlineLevel="0" collapsed="false">
      <c r="A437" s="5" t="n">
        <v>2021</v>
      </c>
      <c r="B437" s="5" t="s">
        <v>452</v>
      </c>
      <c r="C437" s="5" t="s">
        <v>481</v>
      </c>
      <c r="D437" s="5" t="n">
        <v>10</v>
      </c>
      <c r="E437" s="13" t="n">
        <v>1.39</v>
      </c>
      <c r="F437" s="14" t="n">
        <f aca="false">E437*Assumptions!$D$4</f>
        <v>180.225406429735</v>
      </c>
      <c r="G437" s="14" t="n">
        <v>435</v>
      </c>
      <c r="H437" s="14" t="n">
        <v>590</v>
      </c>
      <c r="I437" s="14" t="n">
        <f aca="false">F437-(G437+H437)/2</f>
        <v>-332.274593570265</v>
      </c>
      <c r="J437" s="5" t="str">
        <f aca="false">IF(D437&lt;8,"LOW SAMPLE",IF(F437&gt;H437*(1+Assumptions!$B$10),"UNDERPAID",IF(F437&lt;G437*(1-Assumptions!$B$10),"OVERPAID","FAIR")))</f>
        <v>OVERPAID</v>
      </c>
      <c r="K437" s="5" t="n">
        <v>125</v>
      </c>
    </row>
    <row r="438" customFormat="false" ht="15" hidden="false" customHeight="false" outlineLevel="0" collapsed="false">
      <c r="A438" s="5" t="n">
        <v>2021</v>
      </c>
      <c r="B438" s="5" t="s">
        <v>452</v>
      </c>
      <c r="C438" s="5" t="s">
        <v>482</v>
      </c>
      <c r="D438" s="5" t="n">
        <v>20</v>
      </c>
      <c r="E438" s="13" t="n">
        <v>2.35</v>
      </c>
      <c r="F438" s="14" t="n">
        <f aca="false">E438*Assumptions!$D$4</f>
        <v>304.697629575451</v>
      </c>
      <c r="G438" s="14" t="n">
        <v>330</v>
      </c>
      <c r="H438" s="14" t="n">
        <v>435</v>
      </c>
      <c r="I438" s="14" t="n">
        <f aca="false">F438-(G438+H438)/2</f>
        <v>-77.8023704245487</v>
      </c>
      <c r="J438" s="5" t="str">
        <f aca="false">IF(D438&lt;8,"LOW SAMPLE",IF(F438&gt;H438*(1+Assumptions!$B$10),"UNDERPAID",IF(F438&lt;G438*(1-Assumptions!$B$10),"OVERPAID","FAIR")))</f>
        <v>FAIR</v>
      </c>
      <c r="K438" s="5" t="n">
        <v>128</v>
      </c>
    </row>
    <row r="439" customFormat="false" ht="15" hidden="false" customHeight="false" outlineLevel="0" collapsed="false">
      <c r="A439" s="5" t="n">
        <v>2021</v>
      </c>
      <c r="B439" s="5" t="s">
        <v>452</v>
      </c>
      <c r="C439" s="5" t="s">
        <v>483</v>
      </c>
      <c r="D439" s="5" t="n">
        <v>21</v>
      </c>
      <c r="E439" s="13" t="n">
        <v>5.37</v>
      </c>
      <c r="F439" s="14" t="n">
        <f aca="false">E439*Assumptions!$D$4</f>
        <v>696.26649822135</v>
      </c>
      <c r="G439" s="14" t="n">
        <v>215</v>
      </c>
      <c r="H439" s="14" t="n">
        <v>330</v>
      </c>
      <c r="I439" s="14" t="n">
        <f aca="false">F439-(G439+H439)/2</f>
        <v>423.76649822135</v>
      </c>
      <c r="J439" s="5" t="str">
        <f aca="false">IF(D439&lt;8,"LOW SAMPLE",IF(F439&gt;H439*(1+Assumptions!$B$10),"UNDERPAID",IF(F439&lt;G439*(1-Assumptions!$B$10),"OVERPAID","FAIR")))</f>
        <v>UNDERPAID</v>
      </c>
      <c r="K439" s="5" t="n">
        <v>26</v>
      </c>
    </row>
    <row r="440" customFormat="false" ht="15" hidden="false" customHeight="false" outlineLevel="0" collapsed="false">
      <c r="A440" s="5" t="n">
        <v>2021</v>
      </c>
      <c r="B440" s="5" t="s">
        <v>452</v>
      </c>
      <c r="C440" s="5" t="s">
        <v>484</v>
      </c>
      <c r="D440" s="5" t="n">
        <v>4</v>
      </c>
      <c r="E440" s="13" t="n">
        <v>0.88</v>
      </c>
      <c r="F440" s="14" t="n">
        <f aca="false">E440*Assumptions!$D$4</f>
        <v>114.099537883573</v>
      </c>
      <c r="G440" s="14" t="n">
        <v>215</v>
      </c>
      <c r="H440" s="14" t="n">
        <v>330</v>
      </c>
      <c r="I440" s="14" t="n">
        <f aca="false">F440-(G440+H440)/2</f>
        <v>-158.400462116427</v>
      </c>
      <c r="J440" s="5" t="str">
        <f aca="false">IF(D440&lt;8,"LOW SAMPLE",IF(F440&gt;H440*(1+Assumptions!$B$10),"UNDERPAID",IF(F440&lt;G440*(1-Assumptions!$B$10),"OVERPAID","FAIR")))</f>
        <v>LOW SAMPLE</v>
      </c>
      <c r="K440" s="5" t="n">
        <v>43</v>
      </c>
    </row>
    <row r="441" customFormat="false" ht="15" hidden="false" customHeight="false" outlineLevel="0" collapsed="false">
      <c r="A441" s="5" t="n">
        <v>2021</v>
      </c>
      <c r="B441" s="5" t="s">
        <v>452</v>
      </c>
      <c r="C441" s="5" t="s">
        <v>485</v>
      </c>
      <c r="D441" s="5" t="n">
        <v>22</v>
      </c>
      <c r="E441" s="13" t="n">
        <v>5.34</v>
      </c>
      <c r="F441" s="14" t="n">
        <f aca="false">E441*Assumptions!$D$4</f>
        <v>692.376741248047</v>
      </c>
      <c r="G441" s="14" t="n">
        <v>590</v>
      </c>
      <c r="H441" s="14" t="n">
        <v>820</v>
      </c>
      <c r="I441" s="14" t="n">
        <f aca="false">F441-(G441+H441)/2</f>
        <v>-12.6232587519532</v>
      </c>
      <c r="J441" s="5" t="str">
        <f aca="false">IF(D441&lt;8,"LOW SAMPLE",IF(F441&gt;H441*(1+Assumptions!$B$10),"UNDERPAID",IF(F441&lt;G441*(1-Assumptions!$B$10),"OVERPAID","FAIR")))</f>
        <v>FAIR</v>
      </c>
      <c r="K441" s="5" t="n">
        <v>126</v>
      </c>
    </row>
    <row r="442" customFormat="false" ht="15" hidden="false" customHeight="false" outlineLevel="0" collapsed="false">
      <c r="A442" s="5" t="n">
        <v>2021</v>
      </c>
      <c r="B442" s="5" t="s">
        <v>452</v>
      </c>
      <c r="C442" s="5" t="s">
        <v>486</v>
      </c>
      <c r="D442" s="5" t="n">
        <v>9</v>
      </c>
      <c r="E442" s="13" t="n">
        <v>1.52</v>
      </c>
      <c r="F442" s="14" t="n">
        <f aca="false">E442*Assumptions!$D$4</f>
        <v>197.081019980717</v>
      </c>
      <c r="G442" s="14" t="n">
        <v>120</v>
      </c>
      <c r="H442" s="14" t="n">
        <v>215</v>
      </c>
      <c r="I442" s="14" t="n">
        <f aca="false">F442-(G442+H442)/2</f>
        <v>29.5810199807174</v>
      </c>
      <c r="J442" s="5" t="str">
        <f aca="false">IF(D442&lt;8,"LOW SAMPLE",IF(F442&gt;H442*(1+Assumptions!$B$10),"UNDERPAID",IF(F442&lt;G442*(1-Assumptions!$B$10),"OVERPAID","FAIR")))</f>
        <v>FAIR</v>
      </c>
      <c r="K442" s="5" t="n">
        <v>25</v>
      </c>
    </row>
    <row r="443" customFormat="false" ht="15" hidden="false" customHeight="false" outlineLevel="0" collapsed="false">
      <c r="A443" s="5" t="n">
        <v>2021</v>
      </c>
      <c r="B443" s="5" t="s">
        <v>452</v>
      </c>
      <c r="C443" s="5" t="s">
        <v>487</v>
      </c>
      <c r="D443" s="5" t="n">
        <v>13</v>
      </c>
      <c r="E443" s="13" t="n">
        <v>2.1</v>
      </c>
      <c r="F443" s="14" t="n">
        <f aca="false">E443*Assumptions!$D$4</f>
        <v>272.282988131254</v>
      </c>
      <c r="G443" s="14" t="n">
        <v>215</v>
      </c>
      <c r="H443" s="14" t="n">
        <v>330</v>
      </c>
      <c r="I443" s="14" t="n">
        <f aca="false">F443-(G443+H443)/2</f>
        <v>-0.217011868745658</v>
      </c>
      <c r="J443" s="5" t="str">
        <f aca="false">IF(D443&lt;8,"LOW SAMPLE",IF(F443&gt;H443*(1+Assumptions!$B$10),"UNDERPAID",IF(F443&lt;G443*(1-Assumptions!$B$10),"OVERPAID","FAIR")))</f>
        <v>FAIR</v>
      </c>
      <c r="K443" s="5" t="n">
        <v>0</v>
      </c>
    </row>
    <row r="444" customFormat="false" ht="15" hidden="false" customHeight="false" outlineLevel="0" collapsed="false">
      <c r="A444" s="5" t="n">
        <v>2021</v>
      </c>
      <c r="B444" s="5" t="s">
        <v>452</v>
      </c>
      <c r="C444" s="5" t="s">
        <v>488</v>
      </c>
      <c r="D444" s="5" t="n">
        <v>14</v>
      </c>
      <c r="E444" s="13" t="n">
        <v>2.16</v>
      </c>
      <c r="F444" s="14" t="n">
        <f aca="false">E444*Assumptions!$D$4</f>
        <v>280.062502077862</v>
      </c>
      <c r="G444" s="14" t="n">
        <v>590</v>
      </c>
      <c r="H444" s="14" t="n">
        <v>820</v>
      </c>
      <c r="I444" s="14" t="n">
        <f aca="false">F444-(G444+H444)/2</f>
        <v>-424.937497922138</v>
      </c>
      <c r="J444" s="5" t="str">
        <f aca="false">IF(D444&lt;8,"LOW SAMPLE",IF(F444&gt;H444*(1+Assumptions!$B$10),"UNDERPAID",IF(F444&lt;G444*(1-Assumptions!$B$10),"OVERPAID","FAIR")))</f>
        <v>OVERPAID</v>
      </c>
      <c r="K444" s="5" t="n">
        <v>99</v>
      </c>
    </row>
    <row r="445" customFormat="false" ht="15" hidden="false" customHeight="false" outlineLevel="0" collapsed="false">
      <c r="A445" s="5" t="n">
        <v>2021</v>
      </c>
      <c r="B445" s="5" t="s">
        <v>452</v>
      </c>
      <c r="C445" s="5" t="s">
        <v>489</v>
      </c>
      <c r="D445" s="5" t="n">
        <v>8</v>
      </c>
      <c r="E445" s="13" t="n">
        <v>0.92</v>
      </c>
      <c r="F445" s="14" t="n">
        <f aca="false">E445*Assumptions!$D$4</f>
        <v>119.285880514645</v>
      </c>
      <c r="G445" s="14" t="n">
        <v>120</v>
      </c>
      <c r="H445" s="14" t="n">
        <v>215</v>
      </c>
      <c r="I445" s="14" t="n">
        <f aca="false">F445-(G445+H445)/2</f>
        <v>-48.2141194853552</v>
      </c>
      <c r="J445" s="5" t="str">
        <f aca="false">IF(D445&lt;8,"LOW SAMPLE",IF(F445&gt;H445*(1+Assumptions!$B$10),"UNDERPAID",IF(F445&lt;G445*(1-Assumptions!$B$10),"OVERPAID","FAIR")))</f>
        <v>FAIR</v>
      </c>
      <c r="K445" s="5" t="n">
        <v>4</v>
      </c>
    </row>
    <row r="446" customFormat="false" ht="15" hidden="false" customHeight="false" outlineLevel="0" collapsed="false">
      <c r="A446" s="5" t="n">
        <v>2021</v>
      </c>
      <c r="B446" s="5" t="s">
        <v>452</v>
      </c>
      <c r="C446" s="5" t="s">
        <v>490</v>
      </c>
      <c r="D446" s="5" t="n">
        <v>16</v>
      </c>
      <c r="E446" s="13" t="n">
        <v>1.38</v>
      </c>
      <c r="F446" s="14" t="n">
        <f aca="false">E446*Assumptions!$D$4</f>
        <v>178.928820771967</v>
      </c>
      <c r="G446" s="14" t="n">
        <v>215</v>
      </c>
      <c r="H446" s="14" t="n">
        <v>330</v>
      </c>
      <c r="I446" s="14" t="n">
        <f aca="false">F446-(G446+H446)/2</f>
        <v>-93.5711792280329</v>
      </c>
      <c r="J446" s="5" t="str">
        <f aca="false">IF(D446&lt;8,"LOW SAMPLE",IF(F446&gt;H446*(1+Assumptions!$B$10),"UNDERPAID",IF(F446&lt;G446*(1-Assumptions!$B$10),"OVERPAID","FAIR")))</f>
        <v>OVERPAID</v>
      </c>
      <c r="K446" s="5" t="n">
        <v>0</v>
      </c>
    </row>
    <row r="447" customFormat="false" ht="15" hidden="false" customHeight="false" outlineLevel="0" collapsed="false">
      <c r="A447" s="5" t="n">
        <v>2021</v>
      </c>
      <c r="B447" s="5" t="s">
        <v>491</v>
      </c>
      <c r="C447" s="5" t="s">
        <v>492</v>
      </c>
      <c r="D447" s="5" t="n">
        <v>24</v>
      </c>
      <c r="E447" s="13" t="n">
        <v>5.55</v>
      </c>
      <c r="F447" s="14" t="n">
        <f aca="false">E447*Assumptions!$D$4</f>
        <v>719.605040061172</v>
      </c>
      <c r="G447" s="14" t="n">
        <v>330</v>
      </c>
      <c r="H447" s="14" t="n">
        <v>435</v>
      </c>
      <c r="I447" s="14" t="n">
        <f aca="false">F447-(G447+H447)/2</f>
        <v>337.105040061172</v>
      </c>
      <c r="J447" s="5" t="str">
        <f aca="false">IF(D447&lt;8,"LOW SAMPLE",IF(F447&gt;H447*(1+Assumptions!$B$10),"UNDERPAID",IF(F447&lt;G447*(1-Assumptions!$B$10),"OVERPAID","FAIR")))</f>
        <v>UNDERPAID</v>
      </c>
      <c r="K447" s="5" t="n">
        <v>64</v>
      </c>
    </row>
    <row r="448" customFormat="false" ht="15" hidden="false" customHeight="false" outlineLevel="0" collapsed="false">
      <c r="A448" s="5" t="n">
        <v>2021</v>
      </c>
      <c r="B448" s="5" t="s">
        <v>491</v>
      </c>
      <c r="C448" s="5" t="s">
        <v>493</v>
      </c>
      <c r="D448" s="5" t="n">
        <v>7</v>
      </c>
      <c r="E448" s="13" t="n">
        <v>0.79</v>
      </c>
      <c r="F448" s="14" t="n">
        <f aca="false">E448*Assumptions!$D$4</f>
        <v>102.430266963662</v>
      </c>
      <c r="G448" s="14" t="n">
        <v>120</v>
      </c>
      <c r="H448" s="14" t="n">
        <v>215</v>
      </c>
      <c r="I448" s="14" t="n">
        <f aca="false">F448-(G448+H448)/2</f>
        <v>-65.0697330363377</v>
      </c>
      <c r="J448" s="5" t="str">
        <f aca="false">IF(D448&lt;8,"LOW SAMPLE",IF(F448&gt;H448*(1+Assumptions!$B$10),"UNDERPAID",IF(F448&lt;G448*(1-Assumptions!$B$10),"OVERPAID","FAIR")))</f>
        <v>LOW SAMPLE</v>
      </c>
      <c r="K448" s="5" t="n">
        <v>5</v>
      </c>
    </row>
    <row r="449" customFormat="false" ht="15" hidden="false" customHeight="false" outlineLevel="0" collapsed="false">
      <c r="A449" s="5" t="n">
        <v>2021</v>
      </c>
      <c r="B449" s="5" t="s">
        <v>491</v>
      </c>
      <c r="C449" s="5" t="s">
        <v>494</v>
      </c>
      <c r="D449" s="5" t="n">
        <v>24</v>
      </c>
      <c r="E449" s="13" t="n">
        <v>6.51</v>
      </c>
      <c r="F449" s="14" t="n">
        <f aca="false">E449*Assumptions!$D$4</f>
        <v>844.077263206889</v>
      </c>
      <c r="G449" s="14" t="n">
        <v>590</v>
      </c>
      <c r="H449" s="14" t="n">
        <v>820</v>
      </c>
      <c r="I449" s="14" t="n">
        <f aca="false">F449-(G449+H449)/2</f>
        <v>139.077263206888</v>
      </c>
      <c r="J449" s="5" t="str">
        <f aca="false">IF(D449&lt;8,"LOW SAMPLE",IF(F449&gt;H449*(1+Assumptions!$B$10),"UNDERPAID",IF(F449&lt;G449*(1-Assumptions!$B$10),"OVERPAID","FAIR")))</f>
        <v>FAIR</v>
      </c>
      <c r="K449" s="5" t="n">
        <v>104</v>
      </c>
    </row>
    <row r="450" customFormat="false" ht="15" hidden="false" customHeight="false" outlineLevel="0" collapsed="false">
      <c r="A450" s="5" t="n">
        <v>2021</v>
      </c>
      <c r="B450" s="5" t="s">
        <v>491</v>
      </c>
      <c r="C450" s="5" t="s">
        <v>495</v>
      </c>
      <c r="D450" s="5" t="n">
        <v>21</v>
      </c>
      <c r="E450" s="13" t="n">
        <v>3.9</v>
      </c>
      <c r="F450" s="14" t="n">
        <f aca="false">E450*Assumptions!$D$4</f>
        <v>505.668406529472</v>
      </c>
      <c r="G450" s="14" t="n">
        <v>435</v>
      </c>
      <c r="H450" s="14" t="n">
        <v>590</v>
      </c>
      <c r="I450" s="14" t="n">
        <f aca="false">F450-(G450+H450)/2</f>
        <v>-6.83159347052765</v>
      </c>
      <c r="J450" s="5" t="str">
        <f aca="false">IF(D450&lt;8,"LOW SAMPLE",IF(F450&gt;H450*(1+Assumptions!$B$10),"UNDERPAID",IF(F450&lt;G450*(1-Assumptions!$B$10),"OVERPAID","FAIR")))</f>
        <v>FAIR</v>
      </c>
      <c r="K450" s="5" t="n">
        <v>38</v>
      </c>
    </row>
    <row r="451" customFormat="false" ht="15" hidden="false" customHeight="false" outlineLevel="0" collapsed="false">
      <c r="A451" s="5" t="n">
        <v>2021</v>
      </c>
      <c r="B451" s="5" t="s">
        <v>491</v>
      </c>
      <c r="C451" s="5" t="s">
        <v>496</v>
      </c>
      <c r="D451" s="5" t="n">
        <v>23</v>
      </c>
      <c r="E451" s="13" t="n">
        <v>4.67</v>
      </c>
      <c r="F451" s="14" t="n">
        <f aca="false">E451*Assumptions!$D$4</f>
        <v>605.505502177599</v>
      </c>
      <c r="G451" s="14" t="n">
        <v>590</v>
      </c>
      <c r="H451" s="14" t="n">
        <v>820</v>
      </c>
      <c r="I451" s="14" t="n">
        <f aca="false">F451-(G451+H451)/2</f>
        <v>-99.4944978224011</v>
      </c>
      <c r="J451" s="5" t="str">
        <f aca="false">IF(D451&lt;8,"LOW SAMPLE",IF(F451&gt;H451*(1+Assumptions!$B$10),"UNDERPAID",IF(F451&lt;G451*(1-Assumptions!$B$10),"OVERPAID","FAIR")))</f>
        <v>FAIR</v>
      </c>
      <c r="K451" s="5" t="n">
        <v>77</v>
      </c>
    </row>
    <row r="452" customFormat="false" ht="15" hidden="false" customHeight="false" outlineLevel="0" collapsed="false">
      <c r="A452" s="5" t="n">
        <v>2021</v>
      </c>
      <c r="B452" s="5" t="s">
        <v>491</v>
      </c>
      <c r="C452" s="5" t="s">
        <v>497</v>
      </c>
      <c r="D452" s="5" t="n">
        <v>24</v>
      </c>
      <c r="E452" s="13" t="n">
        <v>4.34</v>
      </c>
      <c r="F452" s="14" t="n">
        <f aca="false">E452*Assumptions!$D$4</f>
        <v>562.718175471259</v>
      </c>
      <c r="G452" s="14" t="n">
        <v>435</v>
      </c>
      <c r="H452" s="14" t="n">
        <v>590</v>
      </c>
      <c r="I452" s="14" t="n">
        <f aca="false">F452-(G452+H452)/2</f>
        <v>50.218175471259</v>
      </c>
      <c r="J452" s="5" t="str">
        <f aca="false">IF(D452&lt;8,"LOW SAMPLE",IF(F452&gt;H452*(1+Assumptions!$B$10),"UNDERPAID",IF(F452&lt;G452*(1-Assumptions!$B$10),"OVERPAID","FAIR")))</f>
        <v>FAIR</v>
      </c>
      <c r="K452" s="5" t="n">
        <v>105</v>
      </c>
    </row>
    <row r="453" customFormat="false" ht="15" hidden="false" customHeight="false" outlineLevel="0" collapsed="false">
      <c r="A453" s="5" t="n">
        <v>2021</v>
      </c>
      <c r="B453" s="5" t="s">
        <v>491</v>
      </c>
      <c r="C453" s="5" t="s">
        <v>498</v>
      </c>
      <c r="D453" s="5" t="n">
        <v>1</v>
      </c>
      <c r="E453" s="13" t="n">
        <v>0.06</v>
      </c>
      <c r="F453" s="14" t="n">
        <f aca="false">E453*Assumptions!$D$4</f>
        <v>7.77951394660727</v>
      </c>
      <c r="G453" s="14" t="n">
        <v>215</v>
      </c>
      <c r="H453" s="14" t="n">
        <v>330</v>
      </c>
      <c r="I453" s="14" t="n">
        <f aca="false">F453-(G453+H453)/2</f>
        <v>-264.720486053393</v>
      </c>
      <c r="J453" s="5" t="str">
        <f aca="false">IF(D453&lt;8,"LOW SAMPLE",IF(F453&gt;H453*(1+Assumptions!$B$10),"UNDERPAID",IF(F453&lt;G453*(1-Assumptions!$B$10),"OVERPAID","FAIR")))</f>
        <v>LOW SAMPLE</v>
      </c>
      <c r="K453" s="5" t="n">
        <v>0</v>
      </c>
    </row>
    <row r="454" customFormat="false" ht="15" hidden="false" customHeight="false" outlineLevel="0" collapsed="false">
      <c r="A454" s="5" t="n">
        <v>2021</v>
      </c>
      <c r="B454" s="5" t="s">
        <v>491</v>
      </c>
      <c r="C454" s="5" t="s">
        <v>499</v>
      </c>
      <c r="D454" s="5" t="n">
        <v>10</v>
      </c>
      <c r="E454" s="13" t="n">
        <v>1.62</v>
      </c>
      <c r="F454" s="14" t="n">
        <f aca="false">E454*Assumptions!$D$4</f>
        <v>210.046876558396</v>
      </c>
      <c r="G454" s="14" t="n">
        <v>330</v>
      </c>
      <c r="H454" s="14" t="n">
        <v>435</v>
      </c>
      <c r="I454" s="14" t="n">
        <f aca="false">F454-(G454+H454)/2</f>
        <v>-172.453123441604</v>
      </c>
      <c r="J454" s="5" t="str">
        <f aca="false">IF(D454&lt;8,"LOW SAMPLE",IF(F454&gt;H454*(1+Assumptions!$B$10),"UNDERPAID",IF(F454&lt;G454*(1-Assumptions!$B$10),"OVERPAID","FAIR")))</f>
        <v>OVERPAID</v>
      </c>
      <c r="K454" s="5" t="n">
        <v>93</v>
      </c>
    </row>
    <row r="455" customFormat="false" ht="15" hidden="false" customHeight="false" outlineLevel="0" collapsed="false">
      <c r="A455" s="5" t="n">
        <v>2021</v>
      </c>
      <c r="B455" s="5" t="s">
        <v>491</v>
      </c>
      <c r="C455" s="5" t="s">
        <v>500</v>
      </c>
      <c r="D455" s="5" t="n">
        <v>5</v>
      </c>
      <c r="E455" s="13" t="n">
        <v>0.98</v>
      </c>
      <c r="F455" s="14" t="n">
        <f aca="false">E455*Assumptions!$D$4</f>
        <v>127.065394461252</v>
      </c>
      <c r="G455" s="14" t="n">
        <v>120</v>
      </c>
      <c r="H455" s="14" t="n">
        <v>215</v>
      </c>
      <c r="I455" s="14" t="n">
        <f aca="false">F455-(G455+H455)/2</f>
        <v>-40.434605538748</v>
      </c>
      <c r="J455" s="5" t="str">
        <f aca="false">IF(D455&lt;8,"LOW SAMPLE",IF(F455&gt;H455*(1+Assumptions!$B$10),"UNDERPAID",IF(F455&lt;G455*(1-Assumptions!$B$10),"OVERPAID","FAIR")))</f>
        <v>LOW SAMPLE</v>
      </c>
      <c r="K455" s="5" t="n">
        <v>18</v>
      </c>
    </row>
    <row r="456" customFormat="false" ht="15" hidden="false" customHeight="false" outlineLevel="0" collapsed="false">
      <c r="A456" s="5" t="n">
        <v>2021</v>
      </c>
      <c r="B456" s="5" t="s">
        <v>491</v>
      </c>
      <c r="C456" s="5" t="s">
        <v>501</v>
      </c>
      <c r="D456" s="5" t="n">
        <v>1</v>
      </c>
      <c r="E456" s="13" t="n">
        <v>0</v>
      </c>
      <c r="F456" s="14" t="n">
        <f aca="false">E456*Assumptions!$D$4</f>
        <v>0</v>
      </c>
      <c r="G456" s="14" t="n">
        <v>215</v>
      </c>
      <c r="H456" s="14" t="n">
        <v>330</v>
      </c>
      <c r="I456" s="14" t="n">
        <f aca="false">F456-(G456+H456)/2</f>
        <v>-272.5</v>
      </c>
      <c r="J456" s="5" t="str">
        <f aca="false">IF(D456&lt;8,"LOW SAMPLE",IF(F456&gt;H456*(1+Assumptions!$B$10),"UNDERPAID",IF(F456&lt;G456*(1-Assumptions!$B$10),"OVERPAID","FAIR")))</f>
        <v>LOW SAMPLE</v>
      </c>
      <c r="K456" s="5" t="n">
        <v>0</v>
      </c>
    </row>
    <row r="457" customFormat="false" ht="15" hidden="false" customHeight="false" outlineLevel="0" collapsed="false">
      <c r="A457" s="5" t="n">
        <v>2021</v>
      </c>
      <c r="B457" s="5" t="s">
        <v>491</v>
      </c>
      <c r="C457" s="5" t="s">
        <v>502</v>
      </c>
      <c r="D457" s="5" t="n">
        <v>10</v>
      </c>
      <c r="E457" s="13" t="n">
        <v>1.11</v>
      </c>
      <c r="F457" s="14" t="n">
        <f aca="false">E457*Assumptions!$D$4</f>
        <v>143.921008012234</v>
      </c>
      <c r="G457" s="14" t="n">
        <v>215</v>
      </c>
      <c r="H457" s="14" t="n">
        <v>330</v>
      </c>
      <c r="I457" s="14" t="n">
        <f aca="false">F457-(G457+H457)/2</f>
        <v>-128.578991987766</v>
      </c>
      <c r="J457" s="5" t="str">
        <f aca="false">IF(D457&lt;8,"LOW SAMPLE",IF(F457&gt;H457*(1+Assumptions!$B$10),"UNDERPAID",IF(F457&lt;G457*(1-Assumptions!$B$10),"OVERPAID","FAIR")))</f>
        <v>OVERPAID</v>
      </c>
      <c r="K457" s="5" t="n">
        <v>23</v>
      </c>
    </row>
    <row r="458" customFormat="false" ht="15" hidden="false" customHeight="false" outlineLevel="0" collapsed="false">
      <c r="A458" s="5" t="n">
        <v>2021</v>
      </c>
      <c r="B458" s="5" t="s">
        <v>491</v>
      </c>
      <c r="C458" s="5" t="s">
        <v>503</v>
      </c>
      <c r="D458" s="5" t="n">
        <v>24</v>
      </c>
      <c r="E458" s="13" t="n">
        <v>5.29</v>
      </c>
      <c r="F458" s="14" t="n">
        <f aca="false">E458*Assumptions!$D$4</f>
        <v>685.893812959207</v>
      </c>
      <c r="G458" s="14" t="n">
        <v>435</v>
      </c>
      <c r="H458" s="14" t="n">
        <v>590</v>
      </c>
      <c r="I458" s="14" t="n">
        <f aca="false">F458-(G458+H458)/2</f>
        <v>173.393812959207</v>
      </c>
      <c r="J458" s="5" t="str">
        <f aca="false">IF(D458&lt;8,"LOW SAMPLE",IF(F458&gt;H458*(1+Assumptions!$B$10),"UNDERPAID",IF(F458&lt;G458*(1-Assumptions!$B$10),"OVERPAID","FAIR")))</f>
        <v>UNDERPAID</v>
      </c>
      <c r="K458" s="5" t="n">
        <v>78</v>
      </c>
    </row>
    <row r="459" customFormat="false" ht="15" hidden="false" customHeight="false" outlineLevel="0" collapsed="false">
      <c r="A459" s="5" t="n">
        <v>2021</v>
      </c>
      <c r="B459" s="5" t="s">
        <v>491</v>
      </c>
      <c r="C459" s="5" t="s">
        <v>504</v>
      </c>
      <c r="D459" s="5" t="n">
        <v>6</v>
      </c>
      <c r="E459" s="13" t="n">
        <v>0.84</v>
      </c>
      <c r="F459" s="14" t="n">
        <f aca="false">E459*Assumptions!$D$4</f>
        <v>108.913195252502</v>
      </c>
      <c r="G459" s="14" t="n">
        <v>215</v>
      </c>
      <c r="H459" s="14" t="n">
        <v>330</v>
      </c>
      <c r="I459" s="14" t="n">
        <f aca="false">F459-(G459+H459)/2</f>
        <v>-163.586804747498</v>
      </c>
      <c r="J459" s="5" t="str">
        <f aca="false">IF(D459&lt;8,"LOW SAMPLE",IF(F459&gt;H459*(1+Assumptions!$B$10),"UNDERPAID",IF(F459&lt;G459*(1-Assumptions!$B$10),"OVERPAID","FAIR")))</f>
        <v>LOW SAMPLE</v>
      </c>
      <c r="K459" s="5" t="n">
        <v>0</v>
      </c>
    </row>
    <row r="460" customFormat="false" ht="15" hidden="false" customHeight="false" outlineLevel="0" collapsed="false">
      <c r="A460" s="5" t="n">
        <v>2021</v>
      </c>
      <c r="B460" s="5" t="s">
        <v>491</v>
      </c>
      <c r="C460" s="5" t="s">
        <v>505</v>
      </c>
      <c r="D460" s="5" t="n">
        <v>8</v>
      </c>
      <c r="E460" s="13" t="n">
        <v>0.68</v>
      </c>
      <c r="F460" s="14" t="n">
        <f aca="false">E460*Assumptions!$D$4</f>
        <v>88.1678247282157</v>
      </c>
      <c r="G460" s="14" t="n">
        <v>215</v>
      </c>
      <c r="H460" s="14" t="n">
        <v>330</v>
      </c>
      <c r="I460" s="14" t="n">
        <f aca="false">F460-(G460+H460)/2</f>
        <v>-184.332175271784</v>
      </c>
      <c r="J460" s="5" t="str">
        <f aca="false">IF(D460&lt;8,"LOW SAMPLE",IF(F460&gt;H460*(1+Assumptions!$B$10),"UNDERPAID",IF(F460&lt;G460*(1-Assumptions!$B$10),"OVERPAID","FAIR")))</f>
        <v>OVERPAID</v>
      </c>
      <c r="K460" s="5" t="n">
        <v>0</v>
      </c>
    </row>
    <row r="461" customFormat="false" ht="15" hidden="false" customHeight="false" outlineLevel="0" collapsed="false">
      <c r="A461" s="5" t="n">
        <v>2021</v>
      </c>
      <c r="B461" s="5" t="s">
        <v>491</v>
      </c>
      <c r="C461" s="5" t="s">
        <v>506</v>
      </c>
      <c r="D461" s="5" t="n">
        <v>23</v>
      </c>
      <c r="E461" s="13" t="n">
        <v>2.82</v>
      </c>
      <c r="F461" s="14" t="n">
        <f aca="false">E461*Assumptions!$D$4</f>
        <v>365.637155490542</v>
      </c>
      <c r="G461" s="14" t="n">
        <v>215</v>
      </c>
      <c r="H461" s="14" t="n">
        <v>330</v>
      </c>
      <c r="I461" s="14" t="n">
        <f aca="false">F461-(G461+H461)/2</f>
        <v>93.1371554905416</v>
      </c>
      <c r="J461" s="5" t="str">
        <f aca="false">IF(D461&lt;8,"LOW SAMPLE",IF(F461&gt;H461*(1+Assumptions!$B$10),"UNDERPAID",IF(F461&lt;G461*(1-Assumptions!$B$10),"OVERPAID","FAIR")))</f>
        <v>FAIR</v>
      </c>
      <c r="K461" s="5" t="n">
        <v>0</v>
      </c>
    </row>
    <row r="462" customFormat="false" ht="15" hidden="false" customHeight="false" outlineLevel="0" collapsed="false">
      <c r="A462" s="5" t="n">
        <v>2021</v>
      </c>
      <c r="B462" s="5" t="s">
        <v>491</v>
      </c>
      <c r="C462" s="5" t="s">
        <v>507</v>
      </c>
      <c r="D462" s="5" t="n">
        <v>21</v>
      </c>
      <c r="E462" s="13" t="n">
        <v>3.88</v>
      </c>
      <c r="F462" s="14" t="n">
        <f aca="false">E462*Assumptions!$D$4</f>
        <v>503.075235213937</v>
      </c>
      <c r="G462" s="14" t="n">
        <v>215</v>
      </c>
      <c r="H462" s="14" t="n">
        <v>330</v>
      </c>
      <c r="I462" s="14" t="n">
        <f aca="false">F462-(G462+H462)/2</f>
        <v>230.575235213937</v>
      </c>
      <c r="J462" s="5" t="str">
        <f aca="false">IF(D462&lt;8,"LOW SAMPLE",IF(F462&gt;H462*(1+Assumptions!$B$10),"UNDERPAID",IF(F462&lt;G462*(1-Assumptions!$B$10),"OVERPAID","FAIR")))</f>
        <v>UNDERPAID</v>
      </c>
      <c r="K462" s="5" t="n">
        <v>7</v>
      </c>
    </row>
    <row r="463" customFormat="false" ht="15" hidden="false" customHeight="false" outlineLevel="0" collapsed="false">
      <c r="A463" s="5" t="n">
        <v>2021</v>
      </c>
      <c r="B463" s="5" t="s">
        <v>491</v>
      </c>
      <c r="C463" s="5" t="s">
        <v>508</v>
      </c>
      <c r="D463" s="5" t="n">
        <v>24</v>
      </c>
      <c r="E463" s="13" t="n">
        <v>7.38</v>
      </c>
      <c r="F463" s="14" t="n">
        <f aca="false">E463*Assumptions!$D$4</f>
        <v>956.880215432694</v>
      </c>
      <c r="G463" s="14" t="n">
        <v>590</v>
      </c>
      <c r="H463" s="14" t="n">
        <v>820</v>
      </c>
      <c r="I463" s="14" t="n">
        <f aca="false">F463-(G463+H463)/2</f>
        <v>251.880215432694</v>
      </c>
      <c r="J463" s="5" t="str">
        <f aca="false">IF(D463&lt;8,"LOW SAMPLE",IF(F463&gt;H463*(1+Assumptions!$B$10),"UNDERPAID",IF(F463&lt;G463*(1-Assumptions!$B$10),"OVERPAID","FAIR")))</f>
        <v>UNDERPAID</v>
      </c>
      <c r="K463" s="5" t="n">
        <v>109</v>
      </c>
    </row>
    <row r="464" customFormat="false" ht="15" hidden="false" customHeight="false" outlineLevel="0" collapsed="false">
      <c r="A464" s="5" t="n">
        <v>2021</v>
      </c>
      <c r="B464" s="5" t="s">
        <v>491</v>
      </c>
      <c r="C464" s="5" t="s">
        <v>509</v>
      </c>
      <c r="D464" s="5" t="n">
        <v>15</v>
      </c>
      <c r="E464" s="13" t="n">
        <v>2.86</v>
      </c>
      <c r="F464" s="14" t="n">
        <f aca="false">E464*Assumptions!$D$4</f>
        <v>370.823498121613</v>
      </c>
      <c r="G464" s="14" t="n">
        <v>215</v>
      </c>
      <c r="H464" s="14" t="n">
        <v>330</v>
      </c>
      <c r="I464" s="14" t="n">
        <f aca="false">F464-(G464+H464)/2</f>
        <v>98.3234981216131</v>
      </c>
      <c r="J464" s="5" t="str">
        <f aca="false">IF(D464&lt;8,"LOW SAMPLE",IF(F464&gt;H464*(1+Assumptions!$B$10),"UNDERPAID",IF(F464&lt;G464*(1-Assumptions!$B$10),"OVERPAID","FAIR")))</f>
        <v>FAIR</v>
      </c>
      <c r="K464" s="5" t="n">
        <v>77</v>
      </c>
    </row>
    <row r="465" customFormat="false" ht="15" hidden="false" customHeight="false" outlineLevel="0" collapsed="false">
      <c r="A465" s="5" t="n">
        <v>2021</v>
      </c>
      <c r="B465" s="5" t="s">
        <v>491</v>
      </c>
      <c r="C465" s="5" t="s">
        <v>510</v>
      </c>
      <c r="D465" s="5" t="n">
        <v>17</v>
      </c>
      <c r="E465" s="13" t="n">
        <v>3.61</v>
      </c>
      <c r="F465" s="14" t="n">
        <f aca="false">E465*Assumptions!$D$4</f>
        <v>468.067422454204</v>
      </c>
      <c r="G465" s="14" t="n">
        <v>215</v>
      </c>
      <c r="H465" s="14" t="n">
        <v>330</v>
      </c>
      <c r="I465" s="14" t="n">
        <f aca="false">F465-(G465+H465)/2</f>
        <v>195.567422454204</v>
      </c>
      <c r="J465" s="5" t="str">
        <f aca="false">IF(D465&lt;8,"LOW SAMPLE",IF(F465&gt;H465*(1+Assumptions!$B$10),"UNDERPAID",IF(F465&lt;G465*(1-Assumptions!$B$10),"OVERPAID","FAIR")))</f>
        <v>UNDERPAID</v>
      </c>
      <c r="K465" s="5" t="n">
        <v>15</v>
      </c>
    </row>
    <row r="466" customFormat="false" ht="15" hidden="false" customHeight="false" outlineLevel="0" collapsed="false">
      <c r="A466" s="5" t="n">
        <v>2021</v>
      </c>
      <c r="B466" s="5" t="s">
        <v>491</v>
      </c>
      <c r="C466" s="5" t="s">
        <v>511</v>
      </c>
      <c r="D466" s="5" t="n">
        <v>14</v>
      </c>
      <c r="E466" s="13" t="n">
        <v>2.25</v>
      </c>
      <c r="F466" s="14" t="n">
        <f aca="false">E466*Assumptions!$D$4</f>
        <v>291.731772997773</v>
      </c>
      <c r="G466" s="14" t="n">
        <v>330</v>
      </c>
      <c r="H466" s="14" t="n">
        <v>435</v>
      </c>
      <c r="I466" s="14" t="n">
        <f aca="false">F466-(G466+H466)/2</f>
        <v>-90.7682270022275</v>
      </c>
      <c r="J466" s="5" t="str">
        <f aca="false">IF(D466&lt;8,"LOW SAMPLE",IF(F466&gt;H466*(1+Assumptions!$B$10),"UNDERPAID",IF(F466&lt;G466*(1-Assumptions!$B$10),"OVERPAID","FAIR")))</f>
        <v>FAIR</v>
      </c>
      <c r="K466" s="5" t="n">
        <v>51</v>
      </c>
    </row>
    <row r="467" customFormat="false" ht="15" hidden="false" customHeight="false" outlineLevel="0" collapsed="false">
      <c r="A467" s="5" t="n">
        <v>2021</v>
      </c>
      <c r="B467" s="5" t="s">
        <v>491</v>
      </c>
      <c r="C467" s="5" t="s">
        <v>512</v>
      </c>
      <c r="D467" s="5" t="n">
        <v>18</v>
      </c>
      <c r="E467" s="13" t="n">
        <v>4.03</v>
      </c>
      <c r="F467" s="14" t="n">
        <f aca="false">E467*Assumptions!$D$4</f>
        <v>522.524020080455</v>
      </c>
      <c r="G467" s="14" t="n">
        <v>590</v>
      </c>
      <c r="H467" s="14" t="n">
        <v>820</v>
      </c>
      <c r="I467" s="14" t="n">
        <f aca="false">F467-(G467+H467)/2</f>
        <v>-182.475979919545</v>
      </c>
      <c r="J467" s="5" t="str">
        <f aca="false">IF(D467&lt;8,"LOW SAMPLE",IF(F467&gt;H467*(1+Assumptions!$B$10),"UNDERPAID",IF(F467&lt;G467*(1-Assumptions!$B$10),"OVERPAID","FAIR")))</f>
        <v>FAIR</v>
      </c>
      <c r="K467" s="5" t="n">
        <v>122</v>
      </c>
    </row>
    <row r="468" customFormat="false" ht="15" hidden="false" customHeight="false" outlineLevel="0" collapsed="false">
      <c r="A468" s="5" t="n">
        <v>2021</v>
      </c>
      <c r="B468" s="5" t="s">
        <v>491</v>
      </c>
      <c r="C468" s="5" t="s">
        <v>513</v>
      </c>
      <c r="D468" s="5" t="n">
        <v>24</v>
      </c>
      <c r="E468" s="13" t="n">
        <v>4.56</v>
      </c>
      <c r="F468" s="14" t="n">
        <f aca="false">E468*Assumptions!$D$4</f>
        <v>591.243059942152</v>
      </c>
      <c r="G468" s="14" t="n">
        <v>330</v>
      </c>
      <c r="H468" s="14" t="n">
        <v>435</v>
      </c>
      <c r="I468" s="14" t="n">
        <f aca="false">F468-(G468+H468)/2</f>
        <v>208.743059942152</v>
      </c>
      <c r="J468" s="5" t="str">
        <f aca="false">IF(D468&lt;8,"LOW SAMPLE",IF(F468&gt;H468*(1+Assumptions!$B$10),"UNDERPAID",IF(F468&lt;G468*(1-Assumptions!$B$10),"OVERPAID","FAIR")))</f>
        <v>UNDERPAID</v>
      </c>
      <c r="K468" s="5" t="n">
        <v>71</v>
      </c>
    </row>
    <row r="469" customFormat="false" ht="15" hidden="false" customHeight="false" outlineLevel="0" collapsed="false">
      <c r="A469" s="5" t="n">
        <v>2021</v>
      </c>
      <c r="B469" s="5" t="s">
        <v>491</v>
      </c>
      <c r="C469" s="5" t="s">
        <v>514</v>
      </c>
      <c r="D469" s="5" t="n">
        <v>11</v>
      </c>
      <c r="E469" s="13" t="n">
        <v>0.92</v>
      </c>
      <c r="F469" s="14" t="n">
        <f aca="false">E469*Assumptions!$D$4</f>
        <v>119.285880514645</v>
      </c>
      <c r="G469" s="14" t="n">
        <v>215</v>
      </c>
      <c r="H469" s="14" t="n">
        <v>330</v>
      </c>
      <c r="I469" s="14" t="n">
        <f aca="false">F469-(G469+H469)/2</f>
        <v>-153.214119485355</v>
      </c>
      <c r="J469" s="5" t="str">
        <f aca="false">IF(D469&lt;8,"LOW SAMPLE",IF(F469&gt;H469*(1+Assumptions!$B$10),"UNDERPAID",IF(F469&lt;G469*(1-Assumptions!$B$10),"OVERPAID","FAIR")))</f>
        <v>OVERPAID</v>
      </c>
      <c r="K469" s="5" t="n">
        <v>68</v>
      </c>
    </row>
    <row r="470" customFormat="false" ht="15" hidden="false" customHeight="false" outlineLevel="0" collapsed="false">
      <c r="A470" s="5" t="n">
        <v>2021</v>
      </c>
      <c r="B470" s="5" t="s">
        <v>491</v>
      </c>
      <c r="C470" s="5" t="s">
        <v>515</v>
      </c>
      <c r="D470" s="5" t="n">
        <v>16</v>
      </c>
      <c r="E470" s="13" t="n">
        <v>2.63</v>
      </c>
      <c r="F470" s="14" t="n">
        <f aca="false">E470*Assumptions!$D$4</f>
        <v>341.002027992952</v>
      </c>
      <c r="G470" s="14" t="n">
        <v>435</v>
      </c>
      <c r="H470" s="14" t="n">
        <v>590</v>
      </c>
      <c r="I470" s="14" t="n">
        <f aca="false">F470-(G470+H470)/2</f>
        <v>-171.497972007048</v>
      </c>
      <c r="J470" s="5" t="str">
        <f aca="false">IF(D470&lt;8,"LOW SAMPLE",IF(F470&gt;H470*(1+Assumptions!$B$10),"UNDERPAID",IF(F470&lt;G470*(1-Assumptions!$B$10),"OVERPAID","FAIR")))</f>
        <v>OVERPAID</v>
      </c>
      <c r="K470" s="5" t="n">
        <v>76</v>
      </c>
    </row>
    <row r="471" customFormat="false" ht="15" hidden="false" customHeight="false" outlineLevel="0" collapsed="false">
      <c r="A471" s="5" t="n">
        <v>2021</v>
      </c>
      <c r="B471" s="5" t="s">
        <v>491</v>
      </c>
      <c r="C471" s="5" t="s">
        <v>516</v>
      </c>
      <c r="D471" s="5" t="n">
        <v>20</v>
      </c>
      <c r="E471" s="13" t="n">
        <v>4.82</v>
      </c>
      <c r="F471" s="14" t="n">
        <f aca="false">E471*Assumptions!$D$4</f>
        <v>624.954287044117</v>
      </c>
      <c r="G471" s="14" t="n">
        <v>590</v>
      </c>
      <c r="H471" s="14" t="n">
        <v>820</v>
      </c>
      <c r="I471" s="14" t="n">
        <f aca="false">F471-(G471+H471)/2</f>
        <v>-80.0457129558829</v>
      </c>
      <c r="J471" s="5" t="str">
        <f aca="false">IF(D471&lt;8,"LOW SAMPLE",IF(F471&gt;H471*(1+Assumptions!$B$10),"UNDERPAID",IF(F471&lt;G471*(1-Assumptions!$B$10),"OVERPAID","FAIR")))</f>
        <v>FAIR</v>
      </c>
      <c r="K471" s="5" t="n">
        <v>86</v>
      </c>
    </row>
    <row r="472" customFormat="false" ht="15" hidden="false" customHeight="false" outlineLevel="0" collapsed="false">
      <c r="A472" s="5" t="n">
        <v>2021</v>
      </c>
      <c r="B472" s="5" t="s">
        <v>491</v>
      </c>
      <c r="C472" s="5" t="s">
        <v>517</v>
      </c>
      <c r="D472" s="5" t="n">
        <v>19</v>
      </c>
      <c r="E472" s="13" t="n">
        <v>2.88</v>
      </c>
      <c r="F472" s="14" t="n">
        <f aca="false">E472*Assumptions!$D$4</f>
        <v>373.416669437149</v>
      </c>
      <c r="G472" s="14" t="n">
        <v>330</v>
      </c>
      <c r="H472" s="14" t="n">
        <v>435</v>
      </c>
      <c r="I472" s="14" t="n">
        <f aca="false">F472-(G472+H472)/2</f>
        <v>-9.08333056285119</v>
      </c>
      <c r="J472" s="5" t="str">
        <f aca="false">IF(D472&lt;8,"LOW SAMPLE",IF(F472&gt;H472*(1+Assumptions!$B$10),"UNDERPAID",IF(F472&lt;G472*(1-Assumptions!$B$10),"OVERPAID","FAIR")))</f>
        <v>FAIR</v>
      </c>
      <c r="K472" s="5" t="n">
        <v>116</v>
      </c>
    </row>
    <row r="473" customFormat="false" ht="15" hidden="false" customHeight="false" outlineLevel="0" collapsed="false">
      <c r="A473" s="5" t="n">
        <v>2021</v>
      </c>
      <c r="B473" s="5" t="s">
        <v>491</v>
      </c>
      <c r="C473" s="5" t="s">
        <v>518</v>
      </c>
      <c r="D473" s="5" t="n">
        <v>21</v>
      </c>
      <c r="E473" s="13" t="n">
        <v>3.88</v>
      </c>
      <c r="F473" s="14" t="n">
        <f aca="false">E473*Assumptions!$D$4</f>
        <v>503.075235213937</v>
      </c>
      <c r="G473" s="14" t="n">
        <v>330</v>
      </c>
      <c r="H473" s="14" t="n">
        <v>435</v>
      </c>
      <c r="I473" s="14" t="n">
        <f aca="false">F473-(G473+H473)/2</f>
        <v>120.575235213937</v>
      </c>
      <c r="J473" s="5" t="str">
        <f aca="false">IF(D473&lt;8,"LOW SAMPLE",IF(F473&gt;H473*(1+Assumptions!$B$10),"UNDERPAID",IF(F473&lt;G473*(1-Assumptions!$B$10),"OVERPAID","FAIR")))</f>
        <v>UNDERPAID</v>
      </c>
      <c r="K473" s="5" t="n">
        <v>34</v>
      </c>
    </row>
    <row r="474" customFormat="false" ht="15" hidden="false" customHeight="false" outlineLevel="0" collapsed="false">
      <c r="A474" s="5" t="n">
        <v>2021</v>
      </c>
      <c r="B474" s="5" t="s">
        <v>491</v>
      </c>
      <c r="C474" s="5" t="s">
        <v>519</v>
      </c>
      <c r="D474" s="5" t="n">
        <v>11</v>
      </c>
      <c r="E474" s="13" t="n">
        <v>1.84</v>
      </c>
      <c r="F474" s="14" t="n">
        <f aca="false">E474*Assumptions!$D$4</f>
        <v>238.57176102929</v>
      </c>
      <c r="G474" s="14" t="n">
        <v>435</v>
      </c>
      <c r="H474" s="14" t="n">
        <v>590</v>
      </c>
      <c r="I474" s="14" t="n">
        <f aca="false">F474-(G474+H474)/2</f>
        <v>-273.928238970711</v>
      </c>
      <c r="J474" s="5" t="str">
        <f aca="false">IF(D474&lt;8,"LOW SAMPLE",IF(F474&gt;H474*(1+Assumptions!$B$10),"UNDERPAID",IF(F474&lt;G474*(1-Assumptions!$B$10),"OVERPAID","FAIR")))</f>
        <v>OVERPAID</v>
      </c>
      <c r="K474" s="5" t="n">
        <v>98</v>
      </c>
    </row>
    <row r="475" customFormat="false" ht="15" hidden="false" customHeight="false" outlineLevel="0" collapsed="false">
      <c r="A475" s="5" t="n">
        <v>2021</v>
      </c>
      <c r="B475" s="5" t="s">
        <v>491</v>
      </c>
      <c r="C475" s="5" t="s">
        <v>520</v>
      </c>
      <c r="D475" s="5" t="n">
        <v>24</v>
      </c>
      <c r="E475" s="13" t="n">
        <v>5.54</v>
      </c>
      <c r="F475" s="14" t="n">
        <f aca="false">E475*Assumptions!$D$4</f>
        <v>718.308454403404</v>
      </c>
      <c r="G475" s="14" t="n">
        <v>590</v>
      </c>
      <c r="H475" s="14" t="n">
        <v>820</v>
      </c>
      <c r="I475" s="14" t="n">
        <f aca="false">F475-(G475+H475)/2</f>
        <v>13.3084544034043</v>
      </c>
      <c r="J475" s="5" t="str">
        <f aca="false">IF(D475&lt;8,"LOW SAMPLE",IF(F475&gt;H475*(1+Assumptions!$B$10),"UNDERPAID",IF(F475&lt;G475*(1-Assumptions!$B$10),"OVERPAID","FAIR")))</f>
        <v>FAIR</v>
      </c>
      <c r="K475" s="5" t="n">
        <v>102</v>
      </c>
    </row>
    <row r="476" customFormat="false" ht="15" hidden="false" customHeight="false" outlineLevel="0" collapsed="false">
      <c r="A476" s="5" t="n">
        <v>2021</v>
      </c>
      <c r="B476" s="5" t="s">
        <v>491</v>
      </c>
      <c r="C476" s="5" t="s">
        <v>521</v>
      </c>
      <c r="D476" s="5" t="n">
        <v>2</v>
      </c>
      <c r="E476" s="13" t="n">
        <v>0.07</v>
      </c>
      <c r="F476" s="14" t="n">
        <f aca="false">E476*Assumptions!$D$4</f>
        <v>9.07609960437515</v>
      </c>
      <c r="G476" s="14" t="n">
        <v>435</v>
      </c>
      <c r="H476" s="14" t="n">
        <v>590</v>
      </c>
      <c r="I476" s="14" t="n">
        <f aca="false">F476-(G476+H476)/2</f>
        <v>-503.423900395625</v>
      </c>
      <c r="J476" s="5" t="str">
        <f aca="false">IF(D476&lt;8,"LOW SAMPLE",IF(F476&gt;H476*(1+Assumptions!$B$10),"UNDERPAID",IF(F476&lt;G476*(1-Assumptions!$B$10),"OVERPAID","FAIR")))</f>
        <v>LOW SAMPLE</v>
      </c>
      <c r="K476" s="5" t="n">
        <v>105</v>
      </c>
    </row>
    <row r="477" customFormat="false" ht="15" hidden="false" customHeight="false" outlineLevel="0" collapsed="false">
      <c r="A477" s="5" t="n">
        <v>2021</v>
      </c>
      <c r="B477" s="5" t="s">
        <v>491</v>
      </c>
      <c r="C477" s="5" t="s">
        <v>522</v>
      </c>
      <c r="D477" s="5" t="n">
        <v>23</v>
      </c>
      <c r="E477" s="13" t="n">
        <v>6.44</v>
      </c>
      <c r="F477" s="14" t="n">
        <f aca="false">E477*Assumptions!$D$4</f>
        <v>835.001163602513</v>
      </c>
      <c r="G477" s="14" t="n">
        <v>820</v>
      </c>
      <c r="H477" s="14" t="n">
        <v>1125</v>
      </c>
      <c r="I477" s="14" t="n">
        <f aca="false">F477-(G477+H477)/2</f>
        <v>-137.498836397487</v>
      </c>
      <c r="J477" s="5" t="str">
        <f aca="false">IF(D477&lt;8,"LOW SAMPLE",IF(F477&gt;H477*(1+Assumptions!$B$10),"UNDERPAID",IF(F477&lt;G477*(1-Assumptions!$B$10),"OVERPAID","FAIR")))</f>
        <v>FAIR</v>
      </c>
      <c r="K477" s="5" t="n">
        <v>128</v>
      </c>
    </row>
    <row r="478" customFormat="false" ht="15" hidden="false" customHeight="false" outlineLevel="0" collapsed="false">
      <c r="A478" s="5" t="n">
        <v>2021</v>
      </c>
      <c r="B478" s="5" t="s">
        <v>491</v>
      </c>
      <c r="C478" s="5" t="s">
        <v>523</v>
      </c>
      <c r="D478" s="5" t="n">
        <v>14</v>
      </c>
      <c r="E478" s="13" t="n">
        <v>3.08</v>
      </c>
      <c r="F478" s="14" t="n">
        <f aca="false">E478*Assumptions!$D$4</f>
        <v>399.348382592506</v>
      </c>
      <c r="G478" s="14" t="n">
        <v>330</v>
      </c>
      <c r="H478" s="14" t="n">
        <v>435</v>
      </c>
      <c r="I478" s="14" t="n">
        <f aca="false">F478-(G478+H478)/2</f>
        <v>16.8483825925064</v>
      </c>
      <c r="J478" s="5" t="str">
        <f aca="false">IF(D478&lt;8,"LOW SAMPLE",IF(F478&gt;H478*(1+Assumptions!$B$10),"UNDERPAID",IF(F478&lt;G478*(1-Assumptions!$B$10),"OVERPAID","FAIR")))</f>
        <v>FAIR</v>
      </c>
      <c r="K478" s="5" t="n">
        <v>49</v>
      </c>
    </row>
    <row r="479" customFormat="false" ht="15" hidden="false" customHeight="false" outlineLevel="0" collapsed="false">
      <c r="A479" s="5" t="n">
        <v>2021</v>
      </c>
      <c r="B479" s="5" t="s">
        <v>491</v>
      </c>
      <c r="C479" s="5" t="s">
        <v>524</v>
      </c>
      <c r="D479" s="5" t="n">
        <v>24</v>
      </c>
      <c r="E479" s="13" t="n">
        <v>5.05</v>
      </c>
      <c r="F479" s="14" t="n">
        <f aca="false">E479*Assumptions!$D$4</f>
        <v>654.775757172778</v>
      </c>
      <c r="G479" s="14" t="n">
        <v>215</v>
      </c>
      <c r="H479" s="14" t="n">
        <v>330</v>
      </c>
      <c r="I479" s="14" t="n">
        <f aca="false">F479-(G479+H479)/2</f>
        <v>382.275757172778</v>
      </c>
      <c r="J479" s="5" t="str">
        <f aca="false">IF(D479&lt;8,"LOW SAMPLE",IF(F479&gt;H479*(1+Assumptions!$B$10),"UNDERPAID",IF(F479&lt;G479*(1-Assumptions!$B$10),"OVERPAID","FAIR")))</f>
        <v>UNDERPAID</v>
      </c>
      <c r="K479" s="5" t="n">
        <v>10</v>
      </c>
    </row>
    <row r="480" customFormat="false" ht="15" hidden="false" customHeight="false" outlineLevel="0" collapsed="false">
      <c r="A480" s="5" t="n">
        <v>2021</v>
      </c>
      <c r="B480" s="5" t="s">
        <v>491</v>
      </c>
      <c r="C480" s="5" t="s">
        <v>525</v>
      </c>
      <c r="D480" s="5" t="n">
        <v>11</v>
      </c>
      <c r="E480" s="13" t="n">
        <v>1.6</v>
      </c>
      <c r="F480" s="14" t="n">
        <f aca="false">E480*Assumptions!$D$4</f>
        <v>207.45370524286</v>
      </c>
      <c r="G480" s="14" t="n">
        <v>330</v>
      </c>
      <c r="H480" s="14" t="n">
        <v>435</v>
      </c>
      <c r="I480" s="14" t="n">
        <f aca="false">F480-(G480+H480)/2</f>
        <v>-175.04629475714</v>
      </c>
      <c r="J480" s="5" t="str">
        <f aca="false">IF(D480&lt;8,"LOW SAMPLE",IF(F480&gt;H480*(1+Assumptions!$B$10),"UNDERPAID",IF(F480&lt;G480*(1-Assumptions!$B$10),"OVERPAID","FAIR")))</f>
        <v>OVERPAID</v>
      </c>
      <c r="K480" s="5" t="n">
        <v>35</v>
      </c>
    </row>
    <row r="481" customFormat="false" ht="15" hidden="false" customHeight="false" outlineLevel="0" collapsed="false">
      <c r="A481" s="5" t="n">
        <v>2021</v>
      </c>
      <c r="B481" s="5" t="s">
        <v>491</v>
      </c>
      <c r="C481" s="5" t="s">
        <v>526</v>
      </c>
      <c r="D481" s="5" t="n">
        <v>12</v>
      </c>
      <c r="E481" s="13" t="n">
        <v>2.34</v>
      </c>
      <c r="F481" s="14" t="n">
        <f aca="false">E481*Assumptions!$D$4</f>
        <v>303.401043917683</v>
      </c>
      <c r="G481" s="14" t="n">
        <v>435</v>
      </c>
      <c r="H481" s="14" t="n">
        <v>590</v>
      </c>
      <c r="I481" s="14" t="n">
        <f aca="false">F481-(G481+H481)/2</f>
        <v>-209.098956082317</v>
      </c>
      <c r="J481" s="5" t="str">
        <f aca="false">IF(D481&lt;8,"LOW SAMPLE",IF(F481&gt;H481*(1+Assumptions!$B$10),"UNDERPAID",IF(F481&lt;G481*(1-Assumptions!$B$10),"OVERPAID","FAIR")))</f>
        <v>OVERPAID</v>
      </c>
      <c r="K481" s="5" t="n">
        <v>36</v>
      </c>
    </row>
    <row r="482" customFormat="false" ht="15" hidden="false" customHeight="false" outlineLevel="0" collapsed="false">
      <c r="A482" s="5" t="n">
        <v>2021</v>
      </c>
      <c r="B482" s="5" t="s">
        <v>527</v>
      </c>
      <c r="C482" s="5" t="s">
        <v>528</v>
      </c>
      <c r="D482" s="5" t="n">
        <v>12</v>
      </c>
      <c r="E482" s="13" t="n">
        <v>2.6</v>
      </c>
      <c r="F482" s="14" t="n">
        <f aca="false">E482*Assumptions!$D$4</f>
        <v>337.112271019648</v>
      </c>
      <c r="G482" s="14" t="n">
        <v>330</v>
      </c>
      <c r="H482" s="14" t="n">
        <v>435</v>
      </c>
      <c r="I482" s="14" t="n">
        <f aca="false">F482-(G482+H482)/2</f>
        <v>-45.3877289803518</v>
      </c>
      <c r="J482" s="5" t="str">
        <f aca="false">IF(D482&lt;8,"LOW SAMPLE",IF(F482&gt;H482*(1+Assumptions!$B$10),"UNDERPAID",IF(F482&lt;G482*(1-Assumptions!$B$10),"OVERPAID","FAIR")))</f>
        <v>FAIR</v>
      </c>
      <c r="K482" s="5" t="n">
        <v>106</v>
      </c>
    </row>
    <row r="483" customFormat="false" ht="15" hidden="false" customHeight="false" outlineLevel="0" collapsed="false">
      <c r="A483" s="5" t="n">
        <v>2021</v>
      </c>
      <c r="B483" s="5" t="s">
        <v>527</v>
      </c>
      <c r="C483" s="5" t="s">
        <v>529</v>
      </c>
      <c r="D483" s="5" t="n">
        <v>1</v>
      </c>
      <c r="E483" s="13" t="n">
        <v>0.15</v>
      </c>
      <c r="F483" s="14" t="n">
        <f aca="false">E483*Assumptions!$D$4</f>
        <v>19.4487848665182</v>
      </c>
      <c r="G483" s="14" t="n">
        <v>215</v>
      </c>
      <c r="H483" s="14" t="n">
        <v>330</v>
      </c>
      <c r="I483" s="14" t="n">
        <f aca="false">F483-(G483+H483)/2</f>
        <v>-253.051215133482</v>
      </c>
      <c r="J483" s="5" t="str">
        <f aca="false">IF(D483&lt;8,"LOW SAMPLE",IF(F483&gt;H483*(1+Assumptions!$B$10),"UNDERPAID",IF(F483&lt;G483*(1-Assumptions!$B$10),"OVERPAID","FAIR")))</f>
        <v>LOW SAMPLE</v>
      </c>
      <c r="K483" s="5" t="n">
        <v>0</v>
      </c>
    </row>
    <row r="484" customFormat="false" ht="15" hidden="false" customHeight="false" outlineLevel="0" collapsed="false">
      <c r="A484" s="5" t="n">
        <v>2021</v>
      </c>
      <c r="B484" s="5" t="s">
        <v>527</v>
      </c>
      <c r="C484" s="5" t="s">
        <v>530</v>
      </c>
      <c r="D484" s="5" t="n">
        <v>8</v>
      </c>
      <c r="E484" s="13" t="n">
        <v>1.66</v>
      </c>
      <c r="F484" s="14" t="n">
        <f aca="false">E484*Assumptions!$D$4</f>
        <v>215.233219189468</v>
      </c>
      <c r="G484" s="14" t="n">
        <v>120</v>
      </c>
      <c r="H484" s="14" t="n">
        <v>215</v>
      </c>
      <c r="I484" s="14" t="n">
        <f aca="false">F484-(G484+H484)/2</f>
        <v>47.7332191894677</v>
      </c>
      <c r="J484" s="5" t="str">
        <f aca="false">IF(D484&lt;8,"LOW SAMPLE",IF(F484&gt;H484*(1+Assumptions!$B$10),"UNDERPAID",IF(F484&lt;G484*(1-Assumptions!$B$10),"OVERPAID","FAIR")))</f>
        <v>FAIR</v>
      </c>
      <c r="K484" s="5" t="n">
        <v>1</v>
      </c>
    </row>
    <row r="485" customFormat="false" ht="15" hidden="false" customHeight="false" outlineLevel="0" collapsed="false">
      <c r="A485" s="5" t="n">
        <v>2021</v>
      </c>
      <c r="B485" s="5" t="s">
        <v>527</v>
      </c>
      <c r="C485" s="5" t="s">
        <v>531</v>
      </c>
      <c r="D485" s="5" t="n">
        <v>19</v>
      </c>
      <c r="E485" s="13" t="n">
        <v>2.45</v>
      </c>
      <c r="F485" s="14" t="n">
        <f aca="false">E485*Assumptions!$D$4</f>
        <v>317.66348615313</v>
      </c>
      <c r="G485" s="14" t="n">
        <v>330</v>
      </c>
      <c r="H485" s="14" t="n">
        <v>435</v>
      </c>
      <c r="I485" s="14" t="n">
        <f aca="false">F485-(G485+H485)/2</f>
        <v>-64.8365138468699</v>
      </c>
      <c r="J485" s="5" t="str">
        <f aca="false">IF(D485&lt;8,"LOW SAMPLE",IF(F485&gt;H485*(1+Assumptions!$B$10),"UNDERPAID",IF(F485&lt;G485*(1-Assumptions!$B$10),"OVERPAID","FAIR")))</f>
        <v>FAIR</v>
      </c>
      <c r="K485" s="5" t="n">
        <v>95</v>
      </c>
    </row>
    <row r="486" customFormat="false" ht="15" hidden="false" customHeight="false" outlineLevel="0" collapsed="false">
      <c r="A486" s="5" t="n">
        <v>2021</v>
      </c>
      <c r="B486" s="5" t="s">
        <v>527</v>
      </c>
      <c r="C486" s="5" t="s">
        <v>532</v>
      </c>
      <c r="D486" s="5" t="n">
        <v>17</v>
      </c>
      <c r="E486" s="13" t="n">
        <v>2.59</v>
      </c>
      <c r="F486" s="14" t="n">
        <f aca="false">E486*Assumptions!$D$4</f>
        <v>335.81568536188</v>
      </c>
      <c r="G486" s="14" t="n">
        <v>330</v>
      </c>
      <c r="H486" s="14" t="n">
        <v>435</v>
      </c>
      <c r="I486" s="14" t="n">
        <f aca="false">F486-(G486+H486)/2</f>
        <v>-46.6843146381196</v>
      </c>
      <c r="J486" s="5" t="str">
        <f aca="false">IF(D486&lt;8,"LOW SAMPLE",IF(F486&gt;H486*(1+Assumptions!$B$10),"UNDERPAID",IF(F486&lt;G486*(1-Assumptions!$B$10),"OVERPAID","FAIR")))</f>
        <v>FAIR</v>
      </c>
      <c r="K486" s="5" t="n">
        <v>101</v>
      </c>
    </row>
    <row r="487" customFormat="false" ht="15" hidden="false" customHeight="false" outlineLevel="0" collapsed="false">
      <c r="A487" s="5" t="n">
        <v>2021</v>
      </c>
      <c r="B487" s="5" t="s">
        <v>527</v>
      </c>
      <c r="C487" s="5" t="s">
        <v>533</v>
      </c>
      <c r="D487" s="5" t="n">
        <v>1</v>
      </c>
      <c r="E487" s="13" t="n">
        <v>0.1</v>
      </c>
      <c r="F487" s="14" t="n">
        <f aca="false">E487*Assumptions!$D$4</f>
        <v>12.9658565776788</v>
      </c>
      <c r="G487" s="14" t="n">
        <v>120</v>
      </c>
      <c r="H487" s="14" t="n">
        <v>215</v>
      </c>
      <c r="I487" s="14" t="n">
        <f aca="false">F487-(G487+H487)/2</f>
        <v>-154.534143422321</v>
      </c>
      <c r="J487" s="5" t="str">
        <f aca="false">IF(D487&lt;8,"LOW SAMPLE",IF(F487&gt;H487*(1+Assumptions!$B$10),"UNDERPAID",IF(F487&lt;G487*(1-Assumptions!$B$10),"OVERPAID","FAIR")))</f>
        <v>LOW SAMPLE</v>
      </c>
      <c r="K487" s="5" t="n">
        <v>8</v>
      </c>
    </row>
    <row r="488" customFormat="false" ht="15" hidden="false" customHeight="false" outlineLevel="0" collapsed="false">
      <c r="A488" s="5" t="n">
        <v>2021</v>
      </c>
      <c r="B488" s="5" t="s">
        <v>527</v>
      </c>
      <c r="C488" s="5" t="s">
        <v>534</v>
      </c>
      <c r="D488" s="5" t="n">
        <v>9</v>
      </c>
      <c r="E488" s="13" t="n">
        <v>1.99</v>
      </c>
      <c r="F488" s="14" t="n">
        <f aca="false">E488*Assumptions!$D$4</f>
        <v>258.020545895808</v>
      </c>
      <c r="G488" s="14" t="n">
        <v>435</v>
      </c>
      <c r="H488" s="14" t="n">
        <v>590</v>
      </c>
      <c r="I488" s="14" t="n">
        <f aca="false">F488-(G488+H488)/2</f>
        <v>-254.479454104192</v>
      </c>
      <c r="J488" s="5" t="str">
        <f aca="false">IF(D488&lt;8,"LOW SAMPLE",IF(F488&gt;H488*(1+Assumptions!$B$10),"UNDERPAID",IF(F488&lt;G488*(1-Assumptions!$B$10),"OVERPAID","FAIR")))</f>
        <v>OVERPAID</v>
      </c>
      <c r="K488" s="5" t="n">
        <v>91</v>
      </c>
    </row>
    <row r="489" customFormat="false" ht="15" hidden="false" customHeight="false" outlineLevel="0" collapsed="false">
      <c r="A489" s="5" t="n">
        <v>2021</v>
      </c>
      <c r="B489" s="5" t="s">
        <v>527</v>
      </c>
      <c r="C489" s="5" t="s">
        <v>535</v>
      </c>
      <c r="D489" s="5" t="n">
        <v>16</v>
      </c>
      <c r="E489" s="13" t="n">
        <v>4.8</v>
      </c>
      <c r="F489" s="14" t="n">
        <f aca="false">E489*Assumptions!$D$4</f>
        <v>622.361115728581</v>
      </c>
      <c r="G489" s="14" t="n">
        <v>820</v>
      </c>
      <c r="H489" s="14" t="n">
        <v>1125</v>
      </c>
      <c r="I489" s="14" t="n">
        <f aca="false">F489-(G489+H489)/2</f>
        <v>-350.138884271419</v>
      </c>
      <c r="J489" s="5" t="str">
        <f aca="false">IF(D489&lt;8,"LOW SAMPLE",IF(F489&gt;H489*(1+Assumptions!$B$10),"UNDERPAID",IF(F489&lt;G489*(1-Assumptions!$B$10),"OVERPAID","FAIR")))</f>
        <v>OVERPAID</v>
      </c>
      <c r="K489" s="5" t="n">
        <v>136</v>
      </c>
    </row>
    <row r="490" customFormat="false" ht="15" hidden="false" customHeight="false" outlineLevel="0" collapsed="false">
      <c r="A490" s="5" t="n">
        <v>2021</v>
      </c>
      <c r="B490" s="5" t="s">
        <v>527</v>
      </c>
      <c r="C490" s="5" t="s">
        <v>536</v>
      </c>
      <c r="D490" s="5" t="n">
        <v>21</v>
      </c>
      <c r="E490" s="13" t="n">
        <v>3.91</v>
      </c>
      <c r="F490" s="14" t="n">
        <f aca="false">E490*Assumptions!$D$4</f>
        <v>506.96499218724</v>
      </c>
      <c r="G490" s="14" t="n">
        <v>435</v>
      </c>
      <c r="H490" s="14" t="n">
        <v>590</v>
      </c>
      <c r="I490" s="14" t="n">
        <f aca="false">F490-(G490+H490)/2</f>
        <v>-5.53500781275977</v>
      </c>
      <c r="J490" s="5" t="str">
        <f aca="false">IF(D490&lt;8,"LOW SAMPLE",IF(F490&gt;H490*(1+Assumptions!$B$10),"UNDERPAID",IF(F490&lt;G490*(1-Assumptions!$B$10),"OVERPAID","FAIR")))</f>
        <v>FAIR</v>
      </c>
      <c r="K490" s="5" t="n">
        <v>126</v>
      </c>
    </row>
    <row r="491" customFormat="false" ht="15" hidden="false" customHeight="false" outlineLevel="0" collapsed="false">
      <c r="A491" s="5" t="n">
        <v>2021</v>
      </c>
      <c r="B491" s="5" t="s">
        <v>527</v>
      </c>
      <c r="C491" s="5" t="s">
        <v>537</v>
      </c>
      <c r="D491" s="5" t="n">
        <v>6</v>
      </c>
      <c r="E491" s="13" t="n">
        <v>0.56</v>
      </c>
      <c r="F491" s="14" t="n">
        <f aca="false">E491*Assumptions!$D$4</f>
        <v>72.6087968350012</v>
      </c>
      <c r="G491" s="14" t="n">
        <v>215</v>
      </c>
      <c r="H491" s="14" t="n">
        <v>330</v>
      </c>
      <c r="I491" s="14" t="n">
        <f aca="false">F491-(G491+H491)/2</f>
        <v>-199.891203164999</v>
      </c>
      <c r="J491" s="5" t="str">
        <f aca="false">IF(D491&lt;8,"LOW SAMPLE",IF(F491&gt;H491*(1+Assumptions!$B$10),"UNDERPAID",IF(F491&lt;G491*(1-Assumptions!$B$10),"OVERPAID","FAIR")))</f>
        <v>LOW SAMPLE</v>
      </c>
      <c r="K491" s="5" t="n">
        <v>0</v>
      </c>
    </row>
    <row r="492" customFormat="false" ht="15" hidden="false" customHeight="false" outlineLevel="0" collapsed="false">
      <c r="A492" s="5" t="n">
        <v>2021</v>
      </c>
      <c r="B492" s="5" t="s">
        <v>527</v>
      </c>
      <c r="C492" s="5" t="s">
        <v>538</v>
      </c>
      <c r="D492" s="5" t="n">
        <v>22</v>
      </c>
      <c r="E492" s="13" t="n">
        <v>4.8</v>
      </c>
      <c r="F492" s="14" t="n">
        <f aca="false">E492*Assumptions!$D$4</f>
        <v>622.361115728581</v>
      </c>
      <c r="G492" s="14" t="n">
        <v>330</v>
      </c>
      <c r="H492" s="14" t="n">
        <v>435</v>
      </c>
      <c r="I492" s="14" t="n">
        <f aca="false">F492-(G492+H492)/2</f>
        <v>239.861115728581</v>
      </c>
      <c r="J492" s="5" t="str">
        <f aca="false">IF(D492&lt;8,"LOW SAMPLE",IF(F492&gt;H492*(1+Assumptions!$B$10),"UNDERPAID",IF(F492&lt;G492*(1-Assumptions!$B$10),"OVERPAID","FAIR")))</f>
        <v>UNDERPAID</v>
      </c>
      <c r="K492" s="5" t="n">
        <v>55</v>
      </c>
    </row>
    <row r="493" customFormat="false" ht="15" hidden="false" customHeight="false" outlineLevel="0" collapsed="false">
      <c r="A493" s="5" t="n">
        <v>2021</v>
      </c>
      <c r="B493" s="5" t="s">
        <v>527</v>
      </c>
      <c r="C493" s="5" t="s">
        <v>539</v>
      </c>
      <c r="D493" s="5" t="n">
        <v>22</v>
      </c>
      <c r="E493" s="13" t="n">
        <v>6.19</v>
      </c>
      <c r="F493" s="14" t="n">
        <f aca="false">E493*Assumptions!$D$4</f>
        <v>802.586522158316</v>
      </c>
      <c r="G493" s="14" t="n">
        <v>590</v>
      </c>
      <c r="H493" s="14" t="n">
        <v>820</v>
      </c>
      <c r="I493" s="14" t="n">
        <f aca="false">F493-(G493+H493)/2</f>
        <v>97.5865221583164</v>
      </c>
      <c r="J493" s="5" t="str">
        <f aca="false">IF(D493&lt;8,"LOW SAMPLE",IF(F493&gt;H493*(1+Assumptions!$B$10),"UNDERPAID",IF(F493&lt;G493*(1-Assumptions!$B$10),"OVERPAID","FAIR")))</f>
        <v>FAIR</v>
      </c>
      <c r="K493" s="5" t="n">
        <v>126</v>
      </c>
    </row>
    <row r="494" customFormat="false" ht="15" hidden="false" customHeight="false" outlineLevel="0" collapsed="false">
      <c r="A494" s="5" t="n">
        <v>2021</v>
      </c>
      <c r="B494" s="5" t="s">
        <v>527</v>
      </c>
      <c r="C494" s="5" t="s">
        <v>540</v>
      </c>
      <c r="D494" s="5" t="n">
        <v>15</v>
      </c>
      <c r="E494" s="13" t="n">
        <v>1.44</v>
      </c>
      <c r="F494" s="14" t="n">
        <f aca="false">E494*Assumptions!$D$4</f>
        <v>186.708334718574</v>
      </c>
      <c r="G494" s="14" t="n">
        <v>120</v>
      </c>
      <c r="H494" s="14" t="n">
        <v>215</v>
      </c>
      <c r="I494" s="14" t="n">
        <f aca="false">F494-(G494+H494)/2</f>
        <v>19.2083347185744</v>
      </c>
      <c r="J494" s="5" t="str">
        <f aca="false">IF(D494&lt;8,"LOW SAMPLE",IF(F494&gt;H494*(1+Assumptions!$B$10),"UNDERPAID",IF(F494&lt;G494*(1-Assumptions!$B$10),"OVERPAID","FAIR")))</f>
        <v>FAIR</v>
      </c>
      <c r="K494" s="5" t="n">
        <v>14</v>
      </c>
    </row>
    <row r="495" customFormat="false" ht="15" hidden="false" customHeight="false" outlineLevel="0" collapsed="false">
      <c r="A495" s="5" t="n">
        <v>2021</v>
      </c>
      <c r="B495" s="5" t="s">
        <v>527</v>
      </c>
      <c r="C495" s="5" t="s">
        <v>541</v>
      </c>
      <c r="D495" s="5" t="n">
        <v>21</v>
      </c>
      <c r="E495" s="13" t="n">
        <v>3.26</v>
      </c>
      <c r="F495" s="14" t="n">
        <f aca="false">E495*Assumptions!$D$4</f>
        <v>422.686924432328</v>
      </c>
      <c r="G495" s="14" t="n">
        <v>330</v>
      </c>
      <c r="H495" s="14" t="n">
        <v>435</v>
      </c>
      <c r="I495" s="14" t="n">
        <f aca="false">F495-(G495+H495)/2</f>
        <v>40.1869244323282</v>
      </c>
      <c r="J495" s="5" t="str">
        <f aca="false">IF(D495&lt;8,"LOW SAMPLE",IF(F495&gt;H495*(1+Assumptions!$B$10),"UNDERPAID",IF(F495&lt;G495*(1-Assumptions!$B$10),"OVERPAID","FAIR")))</f>
        <v>FAIR</v>
      </c>
      <c r="K495" s="5" t="n">
        <v>14</v>
      </c>
    </row>
    <row r="496" customFormat="false" ht="15" hidden="false" customHeight="false" outlineLevel="0" collapsed="false">
      <c r="A496" s="5" t="n">
        <v>2021</v>
      </c>
      <c r="B496" s="5" t="s">
        <v>527</v>
      </c>
      <c r="C496" s="5" t="s">
        <v>542</v>
      </c>
      <c r="D496" s="5" t="n">
        <v>21</v>
      </c>
      <c r="E496" s="13" t="n">
        <v>2.7</v>
      </c>
      <c r="F496" s="14" t="n">
        <f aca="false">E496*Assumptions!$D$4</f>
        <v>350.078127597327</v>
      </c>
      <c r="G496" s="14" t="n">
        <v>435</v>
      </c>
      <c r="H496" s="14" t="n">
        <v>590</v>
      </c>
      <c r="I496" s="14" t="n">
        <f aca="false">F496-(G496+H496)/2</f>
        <v>-162.421872402673</v>
      </c>
      <c r="J496" s="5" t="str">
        <f aca="false">IF(D496&lt;8,"LOW SAMPLE",IF(F496&gt;H496*(1+Assumptions!$B$10),"UNDERPAID",IF(F496&lt;G496*(1-Assumptions!$B$10),"OVERPAID","FAIR")))</f>
        <v>OVERPAID</v>
      </c>
      <c r="K496" s="5" t="n">
        <v>97</v>
      </c>
    </row>
    <row r="497" customFormat="false" ht="15" hidden="false" customHeight="false" outlineLevel="0" collapsed="false">
      <c r="A497" s="5" t="n">
        <v>2021</v>
      </c>
      <c r="B497" s="5" t="s">
        <v>527</v>
      </c>
      <c r="C497" s="5" t="s">
        <v>543</v>
      </c>
      <c r="D497" s="5" t="n">
        <v>22</v>
      </c>
      <c r="E497" s="13" t="n">
        <v>5.06</v>
      </c>
      <c r="F497" s="14" t="n">
        <f aca="false">E497*Assumptions!$D$4</f>
        <v>656.072342830546</v>
      </c>
      <c r="G497" s="14" t="n">
        <v>435</v>
      </c>
      <c r="H497" s="14" t="n">
        <v>590</v>
      </c>
      <c r="I497" s="14" t="n">
        <f aca="false">F497-(G497+H497)/2</f>
        <v>143.572342830546</v>
      </c>
      <c r="J497" s="5" t="str">
        <f aca="false">IF(D497&lt;8,"LOW SAMPLE",IF(F497&gt;H497*(1+Assumptions!$B$10),"UNDERPAID",IF(F497&lt;G497*(1-Assumptions!$B$10),"OVERPAID","FAIR")))</f>
        <v>FAIR</v>
      </c>
      <c r="K497" s="5" t="n">
        <v>92</v>
      </c>
    </row>
    <row r="498" customFormat="false" ht="15" hidden="false" customHeight="false" outlineLevel="0" collapsed="false">
      <c r="A498" s="5" t="n">
        <v>2021</v>
      </c>
      <c r="B498" s="5" t="s">
        <v>527</v>
      </c>
      <c r="C498" s="5" t="s">
        <v>544</v>
      </c>
      <c r="D498" s="5" t="n">
        <v>9</v>
      </c>
      <c r="E498" s="13" t="n">
        <v>1.01</v>
      </c>
      <c r="F498" s="14" t="n">
        <f aca="false">E498*Assumptions!$D$4</f>
        <v>130.955151434556</v>
      </c>
      <c r="G498" s="14" t="n">
        <v>330</v>
      </c>
      <c r="H498" s="14" t="n">
        <v>435</v>
      </c>
      <c r="I498" s="14" t="n">
        <f aca="false">F498-(G498+H498)/2</f>
        <v>-251.544848565444</v>
      </c>
      <c r="J498" s="5" t="str">
        <f aca="false">IF(D498&lt;8,"LOW SAMPLE",IF(F498&gt;H498*(1+Assumptions!$B$10),"UNDERPAID",IF(F498&lt;G498*(1-Assumptions!$B$10),"OVERPAID","FAIR")))</f>
        <v>OVERPAID</v>
      </c>
      <c r="K498" s="5" t="n">
        <v>107</v>
      </c>
    </row>
    <row r="499" customFormat="false" ht="15" hidden="false" customHeight="false" outlineLevel="0" collapsed="false">
      <c r="A499" s="5" t="n">
        <v>2021</v>
      </c>
      <c r="B499" s="5" t="s">
        <v>527</v>
      </c>
      <c r="C499" s="5" t="s">
        <v>545</v>
      </c>
      <c r="D499" s="5" t="n">
        <v>17</v>
      </c>
      <c r="E499" s="13" t="n">
        <v>2.95</v>
      </c>
      <c r="F499" s="14" t="n">
        <f aca="false">E499*Assumptions!$D$4</f>
        <v>382.492769041524</v>
      </c>
      <c r="G499" s="14" t="n">
        <v>330</v>
      </c>
      <c r="H499" s="14" t="n">
        <v>435</v>
      </c>
      <c r="I499" s="14" t="n">
        <f aca="false">F499-(G499+H499)/2</f>
        <v>-0.00723095847604327</v>
      </c>
      <c r="J499" s="5" t="str">
        <f aca="false">IF(D499&lt;8,"LOW SAMPLE",IF(F499&gt;H499*(1+Assumptions!$B$10),"UNDERPAID",IF(F499&lt;G499*(1-Assumptions!$B$10),"OVERPAID","FAIR")))</f>
        <v>FAIR</v>
      </c>
      <c r="K499" s="5" t="n">
        <v>108</v>
      </c>
    </row>
    <row r="500" customFormat="false" ht="15" hidden="false" customHeight="false" outlineLevel="0" collapsed="false">
      <c r="A500" s="5" t="n">
        <v>2021</v>
      </c>
      <c r="B500" s="5" t="s">
        <v>527</v>
      </c>
      <c r="C500" s="5" t="s">
        <v>546</v>
      </c>
      <c r="D500" s="5" t="n">
        <v>13</v>
      </c>
      <c r="E500" s="13" t="n">
        <v>2.63</v>
      </c>
      <c r="F500" s="14" t="n">
        <f aca="false">E500*Assumptions!$D$4</f>
        <v>341.002027992952</v>
      </c>
      <c r="G500" s="14" t="n">
        <v>590</v>
      </c>
      <c r="H500" s="14" t="n">
        <v>820</v>
      </c>
      <c r="I500" s="14" t="n">
        <f aca="false">F500-(G500+H500)/2</f>
        <v>-363.997972007048</v>
      </c>
      <c r="J500" s="5" t="str">
        <f aca="false">IF(D500&lt;8,"LOW SAMPLE",IF(F500&gt;H500*(1+Assumptions!$B$10),"UNDERPAID",IF(F500&lt;G500*(1-Assumptions!$B$10),"OVERPAID","FAIR")))</f>
        <v>OVERPAID</v>
      </c>
      <c r="K500" s="5" t="n">
        <v>115</v>
      </c>
    </row>
    <row r="501" customFormat="false" ht="15" hidden="false" customHeight="false" outlineLevel="0" collapsed="false">
      <c r="A501" s="5" t="n">
        <v>2021</v>
      </c>
      <c r="B501" s="5" t="s">
        <v>527</v>
      </c>
      <c r="C501" s="5" t="s">
        <v>547</v>
      </c>
      <c r="D501" s="5" t="n">
        <v>22</v>
      </c>
      <c r="E501" s="13" t="n">
        <v>4.81</v>
      </c>
      <c r="F501" s="14" t="n">
        <f aca="false">E501*Assumptions!$D$4</f>
        <v>623.657701386349</v>
      </c>
      <c r="G501" s="14" t="n">
        <v>330</v>
      </c>
      <c r="H501" s="14" t="n">
        <v>435</v>
      </c>
      <c r="I501" s="14" t="n">
        <f aca="false">F501-(G501+H501)/2</f>
        <v>241.157701386349</v>
      </c>
      <c r="J501" s="5" t="str">
        <f aca="false">IF(D501&lt;8,"LOW SAMPLE",IF(F501&gt;H501*(1+Assumptions!$B$10),"UNDERPAID",IF(F501&lt;G501*(1-Assumptions!$B$10),"OVERPAID","FAIR")))</f>
        <v>UNDERPAID</v>
      </c>
      <c r="K501" s="5" t="n">
        <v>42</v>
      </c>
    </row>
    <row r="502" customFormat="false" ht="15" hidden="false" customHeight="false" outlineLevel="0" collapsed="false">
      <c r="A502" s="5" t="n">
        <v>2021</v>
      </c>
      <c r="B502" s="5" t="s">
        <v>527</v>
      </c>
      <c r="C502" s="5" t="s">
        <v>548</v>
      </c>
      <c r="D502" s="5" t="n">
        <v>10</v>
      </c>
      <c r="E502" s="13" t="n">
        <v>2.1</v>
      </c>
      <c r="F502" s="14" t="n">
        <f aca="false">E502*Assumptions!$D$4</f>
        <v>272.282988131254</v>
      </c>
      <c r="G502" s="14" t="n">
        <v>215</v>
      </c>
      <c r="H502" s="14" t="n">
        <v>330</v>
      </c>
      <c r="I502" s="14" t="n">
        <f aca="false">F502-(G502+H502)/2</f>
        <v>-0.217011868745658</v>
      </c>
      <c r="J502" s="5" t="str">
        <f aca="false">IF(D502&lt;8,"LOW SAMPLE",IF(F502&gt;H502*(1+Assumptions!$B$10),"UNDERPAID",IF(F502&lt;G502*(1-Assumptions!$B$10),"OVERPAID","FAIR")))</f>
        <v>FAIR</v>
      </c>
      <c r="K502" s="5" t="n">
        <v>21</v>
      </c>
    </row>
    <row r="503" customFormat="false" ht="15" hidden="false" customHeight="false" outlineLevel="0" collapsed="false">
      <c r="A503" s="5" t="n">
        <v>2021</v>
      </c>
      <c r="B503" s="5" t="s">
        <v>527</v>
      </c>
      <c r="C503" s="5" t="s">
        <v>549</v>
      </c>
      <c r="D503" s="5" t="n">
        <v>18</v>
      </c>
      <c r="E503" s="13" t="n">
        <v>3.48</v>
      </c>
      <c r="F503" s="14" t="n">
        <f aca="false">E503*Assumptions!$D$4</f>
        <v>451.211808903222</v>
      </c>
      <c r="G503" s="14" t="n">
        <v>330</v>
      </c>
      <c r="H503" s="14" t="n">
        <v>435</v>
      </c>
      <c r="I503" s="14" t="n">
        <f aca="false">F503-(G503+H503)/2</f>
        <v>68.7118089032215</v>
      </c>
      <c r="J503" s="5" t="str">
        <f aca="false">IF(D503&lt;8,"LOW SAMPLE",IF(F503&gt;H503*(1+Assumptions!$B$10),"UNDERPAID",IF(F503&lt;G503*(1-Assumptions!$B$10),"OVERPAID","FAIR")))</f>
        <v>FAIR</v>
      </c>
      <c r="K503" s="5" t="n">
        <v>20</v>
      </c>
    </row>
    <row r="504" customFormat="false" ht="15" hidden="false" customHeight="false" outlineLevel="0" collapsed="false">
      <c r="A504" s="5" t="n">
        <v>2021</v>
      </c>
      <c r="B504" s="5" t="s">
        <v>527</v>
      </c>
      <c r="C504" s="5" t="s">
        <v>550</v>
      </c>
      <c r="D504" s="5" t="n">
        <v>6</v>
      </c>
      <c r="E504" s="13" t="n">
        <v>1.03</v>
      </c>
      <c r="F504" s="14" t="n">
        <f aca="false">E504*Assumptions!$D$4</f>
        <v>133.548322750091</v>
      </c>
      <c r="G504" s="14" t="n">
        <v>120</v>
      </c>
      <c r="H504" s="14" t="n">
        <v>215</v>
      </c>
      <c r="I504" s="14" t="n">
        <f aca="false">F504-(G504+H504)/2</f>
        <v>-33.9516772499086</v>
      </c>
      <c r="J504" s="5" t="str">
        <f aca="false">IF(D504&lt;8,"LOW SAMPLE",IF(F504&gt;H504*(1+Assumptions!$B$10),"UNDERPAID",IF(F504&lt;G504*(1-Assumptions!$B$10),"OVERPAID","FAIR")))</f>
        <v>LOW SAMPLE</v>
      </c>
      <c r="K504" s="5" t="n">
        <v>19</v>
      </c>
    </row>
    <row r="505" customFormat="false" ht="15" hidden="false" customHeight="false" outlineLevel="0" collapsed="false">
      <c r="A505" s="5" t="n">
        <v>2021</v>
      </c>
      <c r="B505" s="5" t="s">
        <v>527</v>
      </c>
      <c r="C505" s="5" t="s">
        <v>551</v>
      </c>
      <c r="D505" s="5" t="n">
        <v>2</v>
      </c>
      <c r="E505" s="13" t="n">
        <v>0.18</v>
      </c>
      <c r="F505" s="14" t="n">
        <f aca="false">E505*Assumptions!$D$4</f>
        <v>23.3385418398218</v>
      </c>
      <c r="G505" s="14" t="n">
        <v>215</v>
      </c>
      <c r="H505" s="14" t="n">
        <v>330</v>
      </c>
      <c r="I505" s="14" t="n">
        <f aca="false">F505-(G505+H505)/2</f>
        <v>-249.161458160178</v>
      </c>
      <c r="J505" s="5" t="str">
        <f aca="false">IF(D505&lt;8,"LOW SAMPLE",IF(F505&gt;H505*(1+Assumptions!$B$10),"UNDERPAID",IF(F505&lt;G505*(1-Assumptions!$B$10),"OVERPAID","FAIR")))</f>
        <v>LOW SAMPLE</v>
      </c>
      <c r="K505" s="5" t="n">
        <v>0</v>
      </c>
    </row>
    <row r="506" customFormat="false" ht="15" hidden="false" customHeight="false" outlineLevel="0" collapsed="false">
      <c r="A506" s="5" t="n">
        <v>2021</v>
      </c>
      <c r="B506" s="5" t="s">
        <v>527</v>
      </c>
      <c r="C506" s="5" t="s">
        <v>552</v>
      </c>
      <c r="D506" s="5" t="n">
        <v>14</v>
      </c>
      <c r="E506" s="13" t="n">
        <v>2.65</v>
      </c>
      <c r="F506" s="14" t="n">
        <f aca="false">E506*Assumptions!$D$4</f>
        <v>343.595199308488</v>
      </c>
      <c r="G506" s="14" t="n">
        <v>330</v>
      </c>
      <c r="H506" s="14" t="n">
        <v>435</v>
      </c>
      <c r="I506" s="14" t="n">
        <f aca="false">F506-(G506+H506)/2</f>
        <v>-38.9048006915124</v>
      </c>
      <c r="J506" s="5" t="str">
        <f aca="false">IF(D506&lt;8,"LOW SAMPLE",IF(F506&gt;H506*(1+Assumptions!$B$10),"UNDERPAID",IF(F506&lt;G506*(1-Assumptions!$B$10),"OVERPAID","FAIR")))</f>
        <v>FAIR</v>
      </c>
      <c r="K506" s="5" t="n">
        <v>70</v>
      </c>
    </row>
    <row r="507" customFormat="false" ht="15" hidden="false" customHeight="false" outlineLevel="0" collapsed="false">
      <c r="A507" s="5" t="n">
        <v>2021</v>
      </c>
      <c r="B507" s="5" t="s">
        <v>527</v>
      </c>
      <c r="C507" s="5" t="s">
        <v>553</v>
      </c>
      <c r="D507" s="5" t="n">
        <v>12</v>
      </c>
      <c r="E507" s="13" t="n">
        <v>2.69</v>
      </c>
      <c r="F507" s="14" t="n">
        <f aca="false">E507*Assumptions!$D$4</f>
        <v>348.781541939559</v>
      </c>
      <c r="G507" s="14" t="n">
        <v>590</v>
      </c>
      <c r="H507" s="14" t="n">
        <v>820</v>
      </c>
      <c r="I507" s="14" t="n">
        <f aca="false">F507-(G507+H507)/2</f>
        <v>-356.218458060441</v>
      </c>
      <c r="J507" s="5" t="str">
        <f aca="false">IF(D507&lt;8,"LOW SAMPLE",IF(F507&gt;H507*(1+Assumptions!$B$10),"UNDERPAID",IF(F507&lt;G507*(1-Assumptions!$B$10),"OVERPAID","FAIR")))</f>
        <v>OVERPAID</v>
      </c>
      <c r="K507" s="5" t="n">
        <v>123</v>
      </c>
    </row>
    <row r="508" customFormat="false" ht="15" hidden="false" customHeight="false" outlineLevel="0" collapsed="false">
      <c r="A508" s="5" t="n">
        <v>2021</v>
      </c>
      <c r="B508" s="5" t="s">
        <v>527</v>
      </c>
      <c r="C508" s="5" t="s">
        <v>554</v>
      </c>
      <c r="D508" s="5" t="n">
        <v>14</v>
      </c>
      <c r="E508" s="13" t="n">
        <v>2.57</v>
      </c>
      <c r="F508" s="14" t="n">
        <f aca="false">E508*Assumptions!$D$4</f>
        <v>333.222514046345</v>
      </c>
      <c r="G508" s="14" t="n">
        <v>330</v>
      </c>
      <c r="H508" s="14" t="n">
        <v>435</v>
      </c>
      <c r="I508" s="14" t="n">
        <f aca="false">F508-(G508+H508)/2</f>
        <v>-49.2774859536554</v>
      </c>
      <c r="J508" s="5" t="str">
        <f aca="false">IF(D508&lt;8,"LOW SAMPLE",IF(F508&gt;H508*(1+Assumptions!$B$10),"UNDERPAID",IF(F508&lt;G508*(1-Assumptions!$B$10),"OVERPAID","FAIR")))</f>
        <v>FAIR</v>
      </c>
      <c r="K508" s="5" t="n">
        <v>30</v>
      </c>
    </row>
    <row r="509" customFormat="false" ht="15" hidden="false" customHeight="false" outlineLevel="0" collapsed="false">
      <c r="A509" s="5" t="n">
        <v>2021</v>
      </c>
      <c r="B509" s="5" t="s">
        <v>527</v>
      </c>
      <c r="C509" s="5" t="s">
        <v>555</v>
      </c>
      <c r="D509" s="5" t="n">
        <v>6</v>
      </c>
      <c r="E509" s="13" t="n">
        <v>0.62</v>
      </c>
      <c r="F509" s="14" t="n">
        <f aca="false">E509*Assumptions!$D$4</f>
        <v>80.3883107816084</v>
      </c>
      <c r="G509" s="14" t="n">
        <v>120</v>
      </c>
      <c r="H509" s="14" t="n">
        <v>215</v>
      </c>
      <c r="I509" s="14" t="n">
        <f aca="false">F509-(G509+H509)/2</f>
        <v>-87.1116892183916</v>
      </c>
      <c r="J509" s="5" t="str">
        <f aca="false">IF(D509&lt;8,"LOW SAMPLE",IF(F509&gt;H509*(1+Assumptions!$B$10),"UNDERPAID",IF(F509&lt;G509*(1-Assumptions!$B$10),"OVERPAID","FAIR")))</f>
        <v>LOW SAMPLE</v>
      </c>
      <c r="K509" s="5" t="n">
        <v>3</v>
      </c>
    </row>
    <row r="510" customFormat="false" ht="15" hidden="false" customHeight="false" outlineLevel="0" collapsed="false">
      <c r="A510" s="5" t="n">
        <v>2021</v>
      </c>
      <c r="B510" s="5" t="s">
        <v>527</v>
      </c>
      <c r="C510" s="5" t="s">
        <v>556</v>
      </c>
      <c r="D510" s="5" t="n">
        <v>13</v>
      </c>
      <c r="E510" s="13" t="n">
        <v>1.75</v>
      </c>
      <c r="F510" s="14" t="n">
        <f aca="false">E510*Assumptions!$D$4</f>
        <v>226.902490109379</v>
      </c>
      <c r="G510" s="14" t="n">
        <v>215</v>
      </c>
      <c r="H510" s="14" t="n">
        <v>330</v>
      </c>
      <c r="I510" s="14" t="n">
        <f aca="false">F510-(G510+H510)/2</f>
        <v>-45.5975098906214</v>
      </c>
      <c r="J510" s="5" t="str">
        <f aca="false">IF(D510&lt;8,"LOW SAMPLE",IF(F510&gt;H510*(1+Assumptions!$B$10),"UNDERPAID",IF(F510&lt;G510*(1-Assumptions!$B$10),"OVERPAID","FAIR")))</f>
        <v>FAIR</v>
      </c>
      <c r="K510" s="5" t="n">
        <v>0</v>
      </c>
    </row>
    <row r="511" customFormat="false" ht="15" hidden="false" customHeight="false" outlineLevel="0" collapsed="false">
      <c r="A511" s="5" t="n">
        <v>2021</v>
      </c>
      <c r="B511" s="5" t="s">
        <v>527</v>
      </c>
      <c r="C511" s="5" t="s">
        <v>557</v>
      </c>
      <c r="D511" s="5" t="n">
        <v>9</v>
      </c>
      <c r="E511" s="13" t="n">
        <v>1.48</v>
      </c>
      <c r="F511" s="14" t="n">
        <f aca="false">E511*Assumptions!$D$4</f>
        <v>191.894677349646</v>
      </c>
      <c r="G511" s="14" t="n">
        <v>215</v>
      </c>
      <c r="H511" s="14" t="n">
        <v>330</v>
      </c>
      <c r="I511" s="14" t="n">
        <f aca="false">F511-(G511+H511)/2</f>
        <v>-80.6053226503541</v>
      </c>
      <c r="J511" s="5" t="str">
        <f aca="false">IF(D511&lt;8,"LOW SAMPLE",IF(F511&gt;H511*(1+Assumptions!$B$10),"UNDERPAID",IF(F511&lt;G511*(1-Assumptions!$B$10),"OVERPAID","FAIR")))</f>
        <v>FAIR</v>
      </c>
      <c r="K511" s="5" t="n">
        <v>0</v>
      </c>
    </row>
    <row r="512" customFormat="false" ht="15" hidden="false" customHeight="false" outlineLevel="0" collapsed="false">
      <c r="A512" s="5" t="n">
        <v>2021</v>
      </c>
      <c r="B512" s="5" t="s">
        <v>527</v>
      </c>
      <c r="C512" s="5" t="s">
        <v>558</v>
      </c>
      <c r="D512" s="5" t="n">
        <v>5</v>
      </c>
      <c r="E512" s="13" t="n">
        <v>0.83</v>
      </c>
      <c r="F512" s="14" t="n">
        <f aca="false">E512*Assumptions!$D$4</f>
        <v>107.616609594734</v>
      </c>
      <c r="G512" s="14" t="n">
        <v>120</v>
      </c>
      <c r="H512" s="14" t="n">
        <v>215</v>
      </c>
      <c r="I512" s="14" t="n">
        <f aca="false">F512-(G512+H512)/2</f>
        <v>-59.8833904052661</v>
      </c>
      <c r="J512" s="5" t="str">
        <f aca="false">IF(D512&lt;8,"LOW SAMPLE",IF(F512&gt;H512*(1+Assumptions!$B$10),"UNDERPAID",IF(F512&lt;G512*(1-Assumptions!$B$10),"OVERPAID","FAIR")))</f>
        <v>LOW SAMPLE</v>
      </c>
      <c r="K512" s="5" t="n">
        <v>9</v>
      </c>
    </row>
    <row r="513" customFormat="false" ht="15" hidden="false" customHeight="false" outlineLevel="0" collapsed="false">
      <c r="A513" s="5" t="n">
        <v>2021</v>
      </c>
      <c r="B513" s="5" t="s">
        <v>527</v>
      </c>
      <c r="C513" s="5" t="s">
        <v>559</v>
      </c>
      <c r="D513" s="5" t="n">
        <v>1</v>
      </c>
      <c r="E513" s="13" t="n">
        <v>0.01</v>
      </c>
      <c r="F513" s="14" t="n">
        <f aca="false">E513*Assumptions!$D$4</f>
        <v>1.29658565776788</v>
      </c>
      <c r="G513" s="14" t="n">
        <v>215</v>
      </c>
      <c r="H513" s="14" t="n">
        <v>330</v>
      </c>
      <c r="I513" s="14" t="n">
        <f aca="false">F513-(G513+H513)/2</f>
        <v>-271.203414342232</v>
      </c>
      <c r="J513" s="5" t="str">
        <f aca="false">IF(D513&lt;8,"LOW SAMPLE",IF(F513&gt;H513*(1+Assumptions!$B$10),"UNDERPAID",IF(F513&lt;G513*(1-Assumptions!$B$10),"OVERPAID","FAIR")))</f>
        <v>LOW SAMPLE</v>
      </c>
      <c r="K513" s="5" t="n">
        <v>0</v>
      </c>
    </row>
    <row r="514" customFormat="false" ht="15" hidden="false" customHeight="false" outlineLevel="0" collapsed="false">
      <c r="A514" s="5" t="n">
        <v>2021</v>
      </c>
      <c r="B514" s="5" t="s">
        <v>527</v>
      </c>
      <c r="C514" s="5" t="s">
        <v>560</v>
      </c>
      <c r="D514" s="5" t="n">
        <v>20</v>
      </c>
      <c r="E514" s="13" t="n">
        <v>5.75</v>
      </c>
      <c r="F514" s="14" t="n">
        <f aca="false">E514*Assumptions!$D$4</f>
        <v>745.53675321653</v>
      </c>
      <c r="G514" s="14" t="n">
        <v>435</v>
      </c>
      <c r="H514" s="14" t="n">
        <v>590</v>
      </c>
      <c r="I514" s="14" t="n">
        <f aca="false">F514-(G514+H514)/2</f>
        <v>233.03675321653</v>
      </c>
      <c r="J514" s="5" t="str">
        <f aca="false">IF(D514&lt;8,"LOW SAMPLE",IF(F514&gt;H514*(1+Assumptions!$B$10),"UNDERPAID",IF(F514&lt;G514*(1-Assumptions!$B$10),"OVERPAID","FAIR")))</f>
        <v>UNDERPAID</v>
      </c>
      <c r="K514" s="5" t="n">
        <v>47</v>
      </c>
    </row>
    <row r="515" customFormat="false" ht="15" hidden="false" customHeight="false" outlineLevel="0" collapsed="false">
      <c r="A515" s="5" t="n">
        <v>2021</v>
      </c>
      <c r="B515" s="5" t="s">
        <v>527</v>
      </c>
      <c r="C515" s="5" t="s">
        <v>561</v>
      </c>
      <c r="D515" s="5" t="n">
        <v>16</v>
      </c>
      <c r="E515" s="13" t="n">
        <v>3.45</v>
      </c>
      <c r="F515" s="14" t="n">
        <f aca="false">E515*Assumptions!$D$4</f>
        <v>447.322051929918</v>
      </c>
      <c r="G515" s="14" t="n">
        <v>435</v>
      </c>
      <c r="H515" s="14" t="n">
        <v>590</v>
      </c>
      <c r="I515" s="14" t="n">
        <f aca="false">F515-(G515+H515)/2</f>
        <v>-65.1779480700822</v>
      </c>
      <c r="J515" s="5" t="str">
        <f aca="false">IF(D515&lt;8,"LOW SAMPLE",IF(F515&gt;H515*(1+Assumptions!$B$10),"UNDERPAID",IF(F515&lt;G515*(1-Assumptions!$B$10),"OVERPAID","FAIR")))</f>
        <v>FAIR</v>
      </c>
      <c r="K515" s="5" t="n">
        <v>113</v>
      </c>
    </row>
    <row r="516" customFormat="false" ht="15" hidden="false" customHeight="false" outlineLevel="0" collapsed="false">
      <c r="A516" s="5" t="n">
        <v>2021</v>
      </c>
      <c r="B516" s="5" t="s">
        <v>527</v>
      </c>
      <c r="C516" s="5" t="s">
        <v>562</v>
      </c>
      <c r="D516" s="5" t="n">
        <v>7</v>
      </c>
      <c r="E516" s="13" t="n">
        <v>1.26</v>
      </c>
      <c r="F516" s="14" t="n">
        <f aca="false">E516*Assumptions!$D$4</f>
        <v>163.369792878753</v>
      </c>
      <c r="G516" s="14" t="n">
        <v>215</v>
      </c>
      <c r="H516" s="14" t="n">
        <v>330</v>
      </c>
      <c r="I516" s="14" t="n">
        <f aca="false">F516-(G516+H516)/2</f>
        <v>-109.130207121247</v>
      </c>
      <c r="J516" s="5" t="str">
        <f aca="false">IF(D516&lt;8,"LOW SAMPLE",IF(F516&gt;H516*(1+Assumptions!$B$10),"UNDERPAID",IF(F516&lt;G516*(1-Assumptions!$B$10),"OVERPAID","FAIR")))</f>
        <v>LOW SAMPLE</v>
      </c>
      <c r="K516" s="5" t="n">
        <v>26</v>
      </c>
    </row>
    <row r="517" customFormat="false" ht="15" hidden="false" customHeight="false" outlineLevel="0" collapsed="false">
      <c r="A517" s="5" t="n">
        <v>2021</v>
      </c>
      <c r="B517" s="5" t="s">
        <v>527</v>
      </c>
      <c r="C517" s="5" t="s">
        <v>563</v>
      </c>
      <c r="D517" s="5" t="n">
        <v>5</v>
      </c>
      <c r="E517" s="13" t="n">
        <v>0.47</v>
      </c>
      <c r="F517" s="14" t="n">
        <f aca="false">E517*Assumptions!$D$4</f>
        <v>60.9395259150903</v>
      </c>
      <c r="G517" s="14" t="n">
        <v>120</v>
      </c>
      <c r="H517" s="14" t="n">
        <v>215</v>
      </c>
      <c r="I517" s="14" t="n">
        <f aca="false">F517-(G517+H517)/2</f>
        <v>-106.56047408491</v>
      </c>
      <c r="J517" s="5" t="str">
        <f aca="false">IF(D517&lt;8,"LOW SAMPLE",IF(F517&gt;H517*(1+Assumptions!$B$10),"UNDERPAID",IF(F517&lt;G517*(1-Assumptions!$B$10),"OVERPAID","FAIR")))</f>
        <v>LOW SAMPLE</v>
      </c>
      <c r="K517" s="5" t="n">
        <v>2</v>
      </c>
    </row>
    <row r="518" customFormat="false" ht="15" hidden="false" customHeight="false" outlineLevel="0" collapsed="false">
      <c r="A518" s="5" t="n">
        <v>2021</v>
      </c>
      <c r="B518" s="5" t="s">
        <v>527</v>
      </c>
      <c r="C518" s="5" t="s">
        <v>564</v>
      </c>
      <c r="D518" s="5" t="n">
        <v>16</v>
      </c>
      <c r="E518" s="13" t="n">
        <v>4.37</v>
      </c>
      <c r="F518" s="14" t="n">
        <f aca="false">E518*Assumptions!$D$4</f>
        <v>566.607932444563</v>
      </c>
      <c r="G518" s="14" t="n">
        <v>330</v>
      </c>
      <c r="H518" s="14" t="n">
        <v>435</v>
      </c>
      <c r="I518" s="14" t="n">
        <f aca="false">F518-(G518+H518)/2</f>
        <v>184.107932444563</v>
      </c>
      <c r="J518" s="5" t="str">
        <f aca="false">IF(D518&lt;8,"LOW SAMPLE",IF(F518&gt;H518*(1+Assumptions!$B$10),"UNDERPAID",IF(F518&lt;G518*(1-Assumptions!$B$10),"OVERPAID","FAIR")))</f>
        <v>UNDERPAID</v>
      </c>
      <c r="K518" s="5" t="n">
        <v>82</v>
      </c>
    </row>
    <row r="519" customFormat="false" ht="15" hidden="false" customHeight="false" outlineLevel="0" collapsed="false">
      <c r="A519" s="5" t="n">
        <v>2021</v>
      </c>
      <c r="B519" s="5" t="s">
        <v>527</v>
      </c>
      <c r="C519" s="5" t="s">
        <v>71</v>
      </c>
      <c r="D519" s="5" t="n">
        <v>18</v>
      </c>
      <c r="E519" s="13" t="n">
        <v>5.2</v>
      </c>
      <c r="F519" s="14" t="n">
        <f aca="false">E519*Assumptions!$D$4</f>
        <v>674.224542039297</v>
      </c>
      <c r="G519" s="14" t="n">
        <v>1125</v>
      </c>
      <c r="H519" s="14" t="n">
        <v>1470</v>
      </c>
      <c r="I519" s="14" t="n">
        <f aca="false">F519-(G519+H519)/2</f>
        <v>-623.275457960704</v>
      </c>
      <c r="J519" s="5" t="str">
        <f aca="false">IF(D519&lt;8,"LOW SAMPLE",IF(F519&gt;H519*(1+Assumptions!$B$10),"UNDERPAID",IF(F519&lt;G519*(1-Assumptions!$B$10),"OVERPAID","FAIR")))</f>
        <v>OVERPAID</v>
      </c>
      <c r="K519" s="5" t="n">
        <v>230</v>
      </c>
    </row>
    <row r="520" customFormat="false" ht="15" hidden="false" customHeight="false" outlineLevel="0" collapsed="false">
      <c r="A520" s="5" t="n">
        <v>2021</v>
      </c>
      <c r="B520" s="5" t="s">
        <v>527</v>
      </c>
      <c r="C520" s="5" t="s">
        <v>565</v>
      </c>
      <c r="D520" s="5" t="n">
        <v>17</v>
      </c>
      <c r="E520" s="13" t="n">
        <v>3.79</v>
      </c>
      <c r="F520" s="14" t="n">
        <f aca="false">E520*Assumptions!$D$4</f>
        <v>491.405964294026</v>
      </c>
      <c r="G520" s="14" t="n">
        <v>590</v>
      </c>
      <c r="H520" s="14" t="n">
        <v>820</v>
      </c>
      <c r="I520" s="14" t="n">
        <f aca="false">F520-(G520+H520)/2</f>
        <v>-213.594035705974</v>
      </c>
      <c r="J520" s="5" t="str">
        <f aca="false">IF(D520&lt;8,"LOW SAMPLE",IF(F520&gt;H520*(1+Assumptions!$B$10),"UNDERPAID",IF(F520&lt;G520*(1-Assumptions!$B$10),"OVERPAID","FAIR")))</f>
        <v>OVERPAID</v>
      </c>
      <c r="K520" s="5" t="n">
        <v>120</v>
      </c>
    </row>
    <row r="521" customFormat="false" ht="15" hidden="false" customHeight="false" outlineLevel="0" collapsed="false">
      <c r="A521" s="5" t="n">
        <v>2021</v>
      </c>
      <c r="B521" s="5" t="s">
        <v>527</v>
      </c>
      <c r="C521" s="5" t="s">
        <v>566</v>
      </c>
      <c r="D521" s="5" t="n">
        <v>3</v>
      </c>
      <c r="E521" s="13" t="n">
        <v>0.17</v>
      </c>
      <c r="F521" s="14" t="n">
        <f aca="false">E521*Assumptions!$D$4</f>
        <v>22.0419561820539</v>
      </c>
      <c r="G521" s="14" t="n">
        <v>215</v>
      </c>
      <c r="H521" s="14" t="n">
        <v>330</v>
      </c>
      <c r="I521" s="14" t="n">
        <f aca="false">F521-(G521+H521)/2</f>
        <v>-250.458043817946</v>
      </c>
      <c r="J521" s="5" t="str">
        <f aca="false">IF(D521&lt;8,"LOW SAMPLE",IF(F521&gt;H521*(1+Assumptions!$B$10),"UNDERPAID",IF(F521&lt;G521*(1-Assumptions!$B$10),"OVERPAID","FAIR")))</f>
        <v>LOW SAMPLE</v>
      </c>
      <c r="K521" s="5" t="n">
        <v>0</v>
      </c>
    </row>
    <row r="522" customFormat="false" ht="15" hidden="false" customHeight="false" outlineLevel="0" collapsed="false">
      <c r="A522" s="5" t="n">
        <v>2021</v>
      </c>
      <c r="B522" s="5" t="s">
        <v>567</v>
      </c>
      <c r="C522" s="5" t="s">
        <v>568</v>
      </c>
      <c r="D522" s="5" t="n">
        <v>15</v>
      </c>
      <c r="E522" s="13" t="n">
        <v>1.84</v>
      </c>
      <c r="F522" s="14" t="n">
        <f aca="false">E522*Assumptions!$D$4</f>
        <v>238.57176102929</v>
      </c>
      <c r="G522" s="14" t="n">
        <v>330</v>
      </c>
      <c r="H522" s="14" t="n">
        <v>435</v>
      </c>
      <c r="I522" s="14" t="n">
        <f aca="false">F522-(G522+H522)/2</f>
        <v>-143.92823897071</v>
      </c>
      <c r="J522" s="5" t="str">
        <f aca="false">IF(D522&lt;8,"LOW SAMPLE",IF(F522&gt;H522*(1+Assumptions!$B$10),"UNDERPAID",IF(F522&lt;G522*(1-Assumptions!$B$10),"OVERPAID","FAIR")))</f>
        <v>OVERPAID</v>
      </c>
      <c r="K522" s="5" t="n">
        <v>45</v>
      </c>
    </row>
    <row r="523" customFormat="false" ht="15" hidden="false" customHeight="false" outlineLevel="0" collapsed="false">
      <c r="A523" s="5" t="n">
        <v>2021</v>
      </c>
      <c r="B523" s="5" t="s">
        <v>567</v>
      </c>
      <c r="C523" s="5" t="s">
        <v>569</v>
      </c>
      <c r="D523" s="5" t="n">
        <v>20</v>
      </c>
      <c r="E523" s="13" t="n">
        <v>5.03</v>
      </c>
      <c r="F523" s="14" t="n">
        <f aca="false">E523*Assumptions!$D$4</f>
        <v>652.182585857243</v>
      </c>
      <c r="G523" s="14" t="n">
        <v>435</v>
      </c>
      <c r="H523" s="14" t="n">
        <v>590</v>
      </c>
      <c r="I523" s="14" t="n">
        <f aca="false">F523-(G523+H523)/2</f>
        <v>139.682585857243</v>
      </c>
      <c r="J523" s="5" t="str">
        <f aca="false">IF(D523&lt;8,"LOW SAMPLE",IF(F523&gt;H523*(1+Assumptions!$B$10),"UNDERPAID",IF(F523&lt;G523*(1-Assumptions!$B$10),"OVERPAID","FAIR")))</f>
        <v>FAIR</v>
      </c>
      <c r="K523" s="5" t="n">
        <v>70</v>
      </c>
    </row>
    <row r="524" customFormat="false" ht="15" hidden="false" customHeight="false" outlineLevel="0" collapsed="false">
      <c r="A524" s="5" t="n">
        <v>2021</v>
      </c>
      <c r="B524" s="5" t="s">
        <v>567</v>
      </c>
      <c r="C524" s="5" t="s">
        <v>570</v>
      </c>
      <c r="D524" s="5" t="n">
        <v>22</v>
      </c>
      <c r="E524" s="13" t="n">
        <v>3.71</v>
      </c>
      <c r="F524" s="14" t="n">
        <f aca="false">E524*Assumptions!$D$4</f>
        <v>481.033279031883</v>
      </c>
      <c r="G524" s="14" t="n">
        <v>330</v>
      </c>
      <c r="H524" s="14" t="n">
        <v>435</v>
      </c>
      <c r="I524" s="14" t="n">
        <f aca="false">F524-(G524+H524)/2</f>
        <v>98.5332790318827</v>
      </c>
      <c r="J524" s="5" t="str">
        <f aca="false">IF(D524&lt;8,"LOW SAMPLE",IF(F524&gt;H524*(1+Assumptions!$B$10),"UNDERPAID",IF(F524&lt;G524*(1-Assumptions!$B$10),"OVERPAID","FAIR")))</f>
        <v>FAIR</v>
      </c>
      <c r="K524" s="5" t="n">
        <v>117</v>
      </c>
    </row>
    <row r="525" customFormat="false" ht="15" hidden="false" customHeight="false" outlineLevel="0" collapsed="false">
      <c r="A525" s="5" t="n">
        <v>2021</v>
      </c>
      <c r="B525" s="5" t="s">
        <v>567</v>
      </c>
      <c r="C525" s="5" t="s">
        <v>571</v>
      </c>
      <c r="D525" s="5" t="n">
        <v>22</v>
      </c>
      <c r="E525" s="13" t="n">
        <v>4.12</v>
      </c>
      <c r="F525" s="14" t="n">
        <f aca="false">E525*Assumptions!$D$4</f>
        <v>534.193291000366</v>
      </c>
      <c r="G525" s="14" t="n">
        <v>435</v>
      </c>
      <c r="H525" s="14" t="n">
        <v>590</v>
      </c>
      <c r="I525" s="14" t="n">
        <f aca="false">F525-(G525+H525)/2</f>
        <v>21.6932910003657</v>
      </c>
      <c r="J525" s="5" t="str">
        <f aca="false">IF(D525&lt;8,"LOW SAMPLE",IF(F525&gt;H525*(1+Assumptions!$B$10),"UNDERPAID",IF(F525&lt;G525*(1-Assumptions!$B$10),"OVERPAID","FAIR")))</f>
        <v>FAIR</v>
      </c>
      <c r="K525" s="5" t="n">
        <v>41</v>
      </c>
    </row>
    <row r="526" customFormat="false" ht="15" hidden="false" customHeight="false" outlineLevel="0" collapsed="false">
      <c r="A526" s="5" t="n">
        <v>2021</v>
      </c>
      <c r="B526" s="5" t="s">
        <v>567</v>
      </c>
      <c r="C526" s="5" t="s">
        <v>572</v>
      </c>
      <c r="D526" s="5" t="n">
        <v>5</v>
      </c>
      <c r="E526" s="13" t="n">
        <v>1.05</v>
      </c>
      <c r="F526" s="14" t="n">
        <f aca="false">E526*Assumptions!$D$4</f>
        <v>136.141494065627</v>
      </c>
      <c r="G526" s="14" t="n">
        <v>215</v>
      </c>
      <c r="H526" s="14" t="n">
        <v>330</v>
      </c>
      <c r="I526" s="14" t="n">
        <f aca="false">F526-(G526+H526)/2</f>
        <v>-136.358505934373</v>
      </c>
      <c r="J526" s="5" t="str">
        <f aca="false">IF(D526&lt;8,"LOW SAMPLE",IF(F526&gt;H526*(1+Assumptions!$B$10),"UNDERPAID",IF(F526&lt;G526*(1-Assumptions!$B$10),"OVERPAID","FAIR")))</f>
        <v>LOW SAMPLE</v>
      </c>
      <c r="K526" s="5" t="n">
        <v>0</v>
      </c>
    </row>
    <row r="527" customFormat="false" ht="15" hidden="false" customHeight="false" outlineLevel="0" collapsed="false">
      <c r="A527" s="5" t="n">
        <v>2021</v>
      </c>
      <c r="B527" s="5" t="s">
        <v>567</v>
      </c>
      <c r="C527" s="5" t="s">
        <v>573</v>
      </c>
      <c r="D527" s="5" t="n">
        <v>22</v>
      </c>
      <c r="E527" s="13" t="n">
        <v>3.45</v>
      </c>
      <c r="F527" s="14" t="n">
        <f aca="false">E527*Assumptions!$D$4</f>
        <v>447.322051929918</v>
      </c>
      <c r="G527" s="14" t="n">
        <v>330</v>
      </c>
      <c r="H527" s="14" t="n">
        <v>435</v>
      </c>
      <c r="I527" s="14" t="n">
        <f aca="false">F527-(G527+H527)/2</f>
        <v>64.8220519299179</v>
      </c>
      <c r="J527" s="5" t="str">
        <f aca="false">IF(D527&lt;8,"LOW SAMPLE",IF(F527&gt;H527*(1+Assumptions!$B$10),"UNDERPAID",IF(F527&lt;G527*(1-Assumptions!$B$10),"OVERPAID","FAIR")))</f>
        <v>FAIR</v>
      </c>
      <c r="K527" s="5" t="n">
        <v>64</v>
      </c>
    </row>
    <row r="528" customFormat="false" ht="15" hidden="false" customHeight="false" outlineLevel="0" collapsed="false">
      <c r="A528" s="5" t="n">
        <v>2021</v>
      </c>
      <c r="B528" s="5" t="s">
        <v>567</v>
      </c>
      <c r="C528" s="5" t="s">
        <v>574</v>
      </c>
      <c r="D528" s="5" t="n">
        <v>2</v>
      </c>
      <c r="E528" s="13" t="n">
        <v>0.29</v>
      </c>
      <c r="F528" s="14" t="n">
        <f aca="false">E528*Assumptions!$D$4</f>
        <v>37.6009840752685</v>
      </c>
      <c r="G528" s="14" t="n">
        <v>330</v>
      </c>
      <c r="H528" s="14" t="n">
        <v>435</v>
      </c>
      <c r="I528" s="14" t="n">
        <f aca="false">F528-(G528+H528)/2</f>
        <v>-344.899015924732</v>
      </c>
      <c r="J528" s="5" t="str">
        <f aca="false">IF(D528&lt;8,"LOW SAMPLE",IF(F528&gt;H528*(1+Assumptions!$B$10),"UNDERPAID",IF(F528&lt;G528*(1-Assumptions!$B$10),"OVERPAID","FAIR")))</f>
        <v>LOW SAMPLE</v>
      </c>
      <c r="K528" s="5" t="n">
        <v>101</v>
      </c>
    </row>
    <row r="529" customFormat="false" ht="15" hidden="false" customHeight="false" outlineLevel="0" collapsed="false">
      <c r="A529" s="5" t="n">
        <v>2021</v>
      </c>
      <c r="B529" s="5" t="s">
        <v>567</v>
      </c>
      <c r="C529" s="5" t="s">
        <v>575</v>
      </c>
      <c r="D529" s="5" t="n">
        <v>12</v>
      </c>
      <c r="E529" s="13" t="n">
        <v>1.67</v>
      </c>
      <c r="F529" s="14" t="n">
        <f aca="false">E529*Assumptions!$D$4</f>
        <v>216.529804847236</v>
      </c>
      <c r="G529" s="14" t="n">
        <v>215</v>
      </c>
      <c r="H529" s="14" t="n">
        <v>330</v>
      </c>
      <c r="I529" s="14" t="n">
        <f aca="false">F529-(G529+H529)/2</f>
        <v>-55.9701951527644</v>
      </c>
      <c r="J529" s="5" t="str">
        <f aca="false">IF(D529&lt;8,"LOW SAMPLE",IF(F529&gt;H529*(1+Assumptions!$B$10),"UNDERPAID",IF(F529&lt;G529*(1-Assumptions!$B$10),"OVERPAID","FAIR")))</f>
        <v>FAIR</v>
      </c>
      <c r="K529" s="5" t="n">
        <v>49</v>
      </c>
    </row>
    <row r="530" customFormat="false" ht="15" hidden="false" customHeight="false" outlineLevel="0" collapsed="false">
      <c r="A530" s="5" t="n">
        <v>2021</v>
      </c>
      <c r="B530" s="5" t="s">
        <v>567</v>
      </c>
      <c r="C530" s="5" t="s">
        <v>576</v>
      </c>
      <c r="D530" s="5" t="n">
        <v>5</v>
      </c>
      <c r="E530" s="13" t="n">
        <v>0.62</v>
      </c>
      <c r="F530" s="14" t="n">
        <f aca="false">E530*Assumptions!$D$4</f>
        <v>80.3883107816084</v>
      </c>
      <c r="G530" s="14" t="n">
        <v>120</v>
      </c>
      <c r="H530" s="14" t="n">
        <v>215</v>
      </c>
      <c r="I530" s="14" t="n">
        <f aca="false">F530-(G530+H530)/2</f>
        <v>-87.1116892183916</v>
      </c>
      <c r="J530" s="5" t="str">
        <f aca="false">IF(D530&lt;8,"LOW SAMPLE",IF(F530&gt;H530*(1+Assumptions!$B$10),"UNDERPAID",IF(F530&lt;G530*(1-Assumptions!$B$10),"OVERPAID","FAIR")))</f>
        <v>LOW SAMPLE</v>
      </c>
      <c r="K530" s="5" t="n">
        <v>5</v>
      </c>
    </row>
    <row r="531" customFormat="false" ht="15" hidden="false" customHeight="false" outlineLevel="0" collapsed="false">
      <c r="A531" s="5" t="n">
        <v>2021</v>
      </c>
      <c r="B531" s="5" t="s">
        <v>567</v>
      </c>
      <c r="C531" s="5" t="s">
        <v>577</v>
      </c>
      <c r="D531" s="5" t="n">
        <v>7</v>
      </c>
      <c r="E531" s="13" t="n">
        <v>1.33</v>
      </c>
      <c r="F531" s="14" t="n">
        <f aca="false">E531*Assumptions!$D$4</f>
        <v>172.445892483128</v>
      </c>
      <c r="G531" s="14" t="n">
        <v>330</v>
      </c>
      <c r="H531" s="14" t="n">
        <v>435</v>
      </c>
      <c r="I531" s="14" t="n">
        <f aca="false">F531-(G531+H531)/2</f>
        <v>-210.054107516872</v>
      </c>
      <c r="J531" s="5" t="str">
        <f aca="false">IF(D531&lt;8,"LOW SAMPLE",IF(F531&gt;H531*(1+Assumptions!$B$10),"UNDERPAID",IF(F531&lt;G531*(1-Assumptions!$B$10),"OVERPAID","FAIR")))</f>
        <v>LOW SAMPLE</v>
      </c>
      <c r="K531" s="5" t="n">
        <v>63</v>
      </c>
    </row>
    <row r="532" customFormat="false" ht="15" hidden="false" customHeight="false" outlineLevel="0" collapsed="false">
      <c r="A532" s="5" t="n">
        <v>2021</v>
      </c>
      <c r="B532" s="5" t="s">
        <v>567</v>
      </c>
      <c r="C532" s="5" t="s">
        <v>578</v>
      </c>
      <c r="D532" s="5" t="n">
        <v>21</v>
      </c>
      <c r="E532" s="13" t="n">
        <v>5.03</v>
      </c>
      <c r="F532" s="14" t="n">
        <f aca="false">E532*Assumptions!$D$4</f>
        <v>652.182585857243</v>
      </c>
      <c r="G532" s="14" t="n">
        <v>435</v>
      </c>
      <c r="H532" s="14" t="n">
        <v>590</v>
      </c>
      <c r="I532" s="14" t="n">
        <f aca="false">F532-(G532+H532)/2</f>
        <v>139.682585857243</v>
      </c>
      <c r="J532" s="5" t="str">
        <f aca="false">IF(D532&lt;8,"LOW SAMPLE",IF(F532&gt;H532*(1+Assumptions!$B$10),"UNDERPAID",IF(F532&lt;G532*(1-Assumptions!$B$10),"OVERPAID","FAIR")))</f>
        <v>FAIR</v>
      </c>
      <c r="K532" s="5" t="n">
        <v>64</v>
      </c>
    </row>
    <row r="533" customFormat="false" ht="15" hidden="false" customHeight="false" outlineLevel="0" collapsed="false">
      <c r="A533" s="5" t="n">
        <v>2021</v>
      </c>
      <c r="B533" s="5" t="s">
        <v>567</v>
      </c>
      <c r="C533" s="5" t="s">
        <v>579</v>
      </c>
      <c r="D533" s="5" t="n">
        <v>13</v>
      </c>
      <c r="E533" s="13" t="n">
        <v>2.04</v>
      </c>
      <c r="F533" s="14" t="n">
        <f aca="false">E533*Assumptions!$D$4</f>
        <v>264.503474184647</v>
      </c>
      <c r="G533" s="14" t="n">
        <v>330</v>
      </c>
      <c r="H533" s="14" t="n">
        <v>435</v>
      </c>
      <c r="I533" s="14" t="n">
        <f aca="false">F533-(G533+H533)/2</f>
        <v>-117.996525815353</v>
      </c>
      <c r="J533" s="5" t="str">
        <f aca="false">IF(D533&lt;8,"LOW SAMPLE",IF(F533&gt;H533*(1+Assumptions!$B$10),"UNDERPAID",IF(F533&lt;G533*(1-Assumptions!$B$10),"OVERPAID","FAIR")))</f>
        <v>OVERPAID</v>
      </c>
      <c r="K533" s="5" t="n">
        <v>47</v>
      </c>
    </row>
    <row r="534" customFormat="false" ht="15" hidden="false" customHeight="false" outlineLevel="0" collapsed="false">
      <c r="A534" s="5" t="n">
        <v>2021</v>
      </c>
      <c r="B534" s="5" t="s">
        <v>567</v>
      </c>
      <c r="C534" s="5" t="s">
        <v>580</v>
      </c>
      <c r="D534" s="5" t="n">
        <v>18</v>
      </c>
      <c r="E534" s="13" t="n">
        <v>3.71</v>
      </c>
      <c r="F534" s="14" t="n">
        <f aca="false">E534*Assumptions!$D$4</f>
        <v>481.033279031883</v>
      </c>
      <c r="G534" s="14" t="n">
        <v>590</v>
      </c>
      <c r="H534" s="14" t="n">
        <v>820</v>
      </c>
      <c r="I534" s="14" t="n">
        <f aca="false">F534-(G534+H534)/2</f>
        <v>-223.966720968117</v>
      </c>
      <c r="J534" s="5" t="str">
        <f aca="false">IF(D534&lt;8,"LOW SAMPLE",IF(F534&gt;H534*(1+Assumptions!$B$10),"UNDERPAID",IF(F534&lt;G534*(1-Assumptions!$B$10),"OVERPAID","FAIR")))</f>
        <v>OVERPAID</v>
      </c>
      <c r="K534" s="5" t="n">
        <v>110</v>
      </c>
    </row>
    <row r="535" customFormat="false" ht="15" hidden="false" customHeight="false" outlineLevel="0" collapsed="false">
      <c r="A535" s="5" t="n">
        <v>2021</v>
      </c>
      <c r="B535" s="5" t="s">
        <v>567</v>
      </c>
      <c r="C535" s="5" t="s">
        <v>581</v>
      </c>
      <c r="D535" s="5" t="n">
        <v>13</v>
      </c>
      <c r="E535" s="13" t="n">
        <v>1.74</v>
      </c>
      <c r="F535" s="14" t="n">
        <f aca="false">E535*Assumptions!$D$4</f>
        <v>225.605904451611</v>
      </c>
      <c r="G535" s="14" t="n">
        <v>120</v>
      </c>
      <c r="H535" s="14" t="n">
        <v>215</v>
      </c>
      <c r="I535" s="14" t="n">
        <f aca="false">F535-(G535+H535)/2</f>
        <v>58.1059044516107</v>
      </c>
      <c r="J535" s="5" t="str">
        <f aca="false">IF(D535&lt;8,"LOW SAMPLE",IF(F535&gt;H535*(1+Assumptions!$B$10),"UNDERPAID",IF(F535&lt;G535*(1-Assumptions!$B$10),"OVERPAID","FAIR")))</f>
        <v>FAIR</v>
      </c>
      <c r="K535" s="5" t="n">
        <v>3</v>
      </c>
    </row>
    <row r="536" customFormat="false" ht="15" hidden="false" customHeight="false" outlineLevel="0" collapsed="false">
      <c r="A536" s="5" t="n">
        <v>2021</v>
      </c>
      <c r="B536" s="5" t="s">
        <v>567</v>
      </c>
      <c r="C536" s="5" t="s">
        <v>582</v>
      </c>
      <c r="D536" s="5" t="n">
        <v>19</v>
      </c>
      <c r="E536" s="13" t="n">
        <v>3.83</v>
      </c>
      <c r="F536" s="14" t="n">
        <f aca="false">E536*Assumptions!$D$4</f>
        <v>496.592306925097</v>
      </c>
      <c r="G536" s="14" t="n">
        <v>330</v>
      </c>
      <c r="H536" s="14" t="n">
        <v>435</v>
      </c>
      <c r="I536" s="14" t="n">
        <f aca="false">F536-(G536+H536)/2</f>
        <v>114.092306925097</v>
      </c>
      <c r="J536" s="5" t="str">
        <f aca="false">IF(D536&lt;8,"LOW SAMPLE",IF(F536&gt;H536*(1+Assumptions!$B$10),"UNDERPAID",IF(F536&lt;G536*(1-Assumptions!$B$10),"OVERPAID","FAIR")))</f>
        <v>FAIR</v>
      </c>
      <c r="K536" s="5" t="n">
        <v>43</v>
      </c>
    </row>
    <row r="537" customFormat="false" ht="15" hidden="false" customHeight="false" outlineLevel="0" collapsed="false">
      <c r="A537" s="5" t="n">
        <v>2021</v>
      </c>
      <c r="B537" s="5" t="s">
        <v>567</v>
      </c>
      <c r="C537" s="5" t="s">
        <v>583</v>
      </c>
      <c r="D537" s="5" t="n">
        <v>11</v>
      </c>
      <c r="E537" s="13" t="n">
        <v>1.04</v>
      </c>
      <c r="F537" s="14" t="n">
        <f aca="false">E537*Assumptions!$D$4</f>
        <v>134.844908407859</v>
      </c>
      <c r="G537" s="14" t="n">
        <v>330</v>
      </c>
      <c r="H537" s="14" t="n">
        <v>435</v>
      </c>
      <c r="I537" s="14" t="n">
        <f aca="false">F537-(G537+H537)/2</f>
        <v>-247.655091592141</v>
      </c>
      <c r="J537" s="5" t="str">
        <f aca="false">IF(D537&lt;8,"LOW SAMPLE",IF(F537&gt;H537*(1+Assumptions!$B$10),"UNDERPAID",IF(F537&lt;G537*(1-Assumptions!$B$10),"OVERPAID","FAIR")))</f>
        <v>OVERPAID</v>
      </c>
      <c r="K537" s="5" t="n">
        <v>76</v>
      </c>
    </row>
    <row r="538" customFormat="false" ht="15" hidden="false" customHeight="false" outlineLevel="0" collapsed="false">
      <c r="A538" s="5" t="n">
        <v>2021</v>
      </c>
      <c r="B538" s="5" t="s">
        <v>567</v>
      </c>
      <c r="C538" s="5" t="s">
        <v>584</v>
      </c>
      <c r="D538" s="5" t="n">
        <v>21</v>
      </c>
      <c r="E538" s="13" t="n">
        <v>4.5</v>
      </c>
      <c r="F538" s="14" t="n">
        <f aca="false">E538*Assumptions!$D$4</f>
        <v>583.463545995545</v>
      </c>
      <c r="G538" s="14" t="n">
        <v>330</v>
      </c>
      <c r="H538" s="14" t="n">
        <v>435</v>
      </c>
      <c r="I538" s="14" t="n">
        <f aca="false">F538-(G538+H538)/2</f>
        <v>200.963545995545</v>
      </c>
      <c r="J538" s="5" t="str">
        <f aca="false">IF(D538&lt;8,"LOW SAMPLE",IF(F538&gt;H538*(1+Assumptions!$B$10),"UNDERPAID",IF(F538&lt;G538*(1-Assumptions!$B$10),"OVERPAID","FAIR")))</f>
        <v>UNDERPAID</v>
      </c>
      <c r="K538" s="5" t="n">
        <v>98</v>
      </c>
    </row>
    <row r="539" customFormat="false" ht="15" hidden="false" customHeight="false" outlineLevel="0" collapsed="false">
      <c r="A539" s="5" t="n">
        <v>2021</v>
      </c>
      <c r="B539" s="5" t="s">
        <v>567</v>
      </c>
      <c r="C539" s="5" t="s">
        <v>585</v>
      </c>
      <c r="D539" s="5" t="n">
        <v>22</v>
      </c>
      <c r="E539" s="13" t="n">
        <v>7.77</v>
      </c>
      <c r="F539" s="14" t="n">
        <f aca="false">E539*Assumptions!$D$4</f>
        <v>1007.44705608564</v>
      </c>
      <c r="G539" s="14" t="n">
        <v>820</v>
      </c>
      <c r="H539" s="14" t="n">
        <v>1125</v>
      </c>
      <c r="I539" s="14" t="n">
        <f aca="false">F539-(G539+H539)/2</f>
        <v>34.9470560856411</v>
      </c>
      <c r="J539" s="5" t="str">
        <f aca="false">IF(D539&lt;8,"LOW SAMPLE",IF(F539&gt;H539*(1+Assumptions!$B$10),"UNDERPAID",IF(F539&lt;G539*(1-Assumptions!$B$10),"OVERPAID","FAIR")))</f>
        <v>FAIR</v>
      </c>
      <c r="K539" s="5" t="n">
        <v>97</v>
      </c>
    </row>
    <row r="540" customFormat="false" ht="15" hidden="false" customHeight="false" outlineLevel="0" collapsed="false">
      <c r="A540" s="5" t="n">
        <v>2021</v>
      </c>
      <c r="B540" s="5" t="s">
        <v>567</v>
      </c>
      <c r="C540" s="5" t="s">
        <v>586</v>
      </c>
      <c r="D540" s="5" t="n">
        <v>3</v>
      </c>
      <c r="E540" s="13" t="n">
        <v>0.69</v>
      </c>
      <c r="F540" s="14" t="n">
        <f aca="false">E540*Assumptions!$D$4</f>
        <v>89.4644103859836</v>
      </c>
      <c r="G540" s="14" t="n">
        <v>435</v>
      </c>
      <c r="H540" s="14" t="n">
        <v>590</v>
      </c>
      <c r="I540" s="14" t="n">
        <f aca="false">F540-(G540+H540)/2</f>
        <v>-423.035589614016</v>
      </c>
      <c r="J540" s="5" t="str">
        <f aca="false">IF(D540&lt;8,"LOW SAMPLE",IF(F540&gt;H540*(1+Assumptions!$B$10),"UNDERPAID",IF(F540&lt;G540*(1-Assumptions!$B$10),"OVERPAID","FAIR")))</f>
        <v>LOW SAMPLE</v>
      </c>
      <c r="K540" s="5" t="n">
        <v>92</v>
      </c>
    </row>
    <row r="541" customFormat="false" ht="15" hidden="false" customHeight="false" outlineLevel="0" collapsed="false">
      <c r="A541" s="5" t="n">
        <v>2021</v>
      </c>
      <c r="B541" s="5" t="s">
        <v>567</v>
      </c>
      <c r="C541" s="5" t="s">
        <v>587</v>
      </c>
      <c r="D541" s="5" t="n">
        <v>4</v>
      </c>
      <c r="E541" s="13" t="n">
        <v>0.64</v>
      </c>
      <c r="F541" s="14" t="n">
        <f aca="false">E541*Assumptions!$D$4</f>
        <v>82.9814820971442</v>
      </c>
      <c r="G541" s="14" t="n">
        <v>330</v>
      </c>
      <c r="H541" s="14" t="n">
        <v>435</v>
      </c>
      <c r="I541" s="14" t="n">
        <f aca="false">F541-(G541+H541)/2</f>
        <v>-299.518517902856</v>
      </c>
      <c r="J541" s="5" t="str">
        <f aca="false">IF(D541&lt;8,"LOW SAMPLE",IF(F541&gt;H541*(1+Assumptions!$B$10),"UNDERPAID",IF(F541&lt;G541*(1-Assumptions!$B$10),"OVERPAID","FAIR")))</f>
        <v>LOW SAMPLE</v>
      </c>
      <c r="K541" s="5" t="n">
        <v>79</v>
      </c>
    </row>
    <row r="542" customFormat="false" ht="15" hidden="false" customHeight="false" outlineLevel="0" collapsed="false">
      <c r="A542" s="5" t="n">
        <v>2021</v>
      </c>
      <c r="B542" s="5" t="s">
        <v>567</v>
      </c>
      <c r="C542" s="5" t="s">
        <v>588</v>
      </c>
      <c r="D542" s="5" t="n">
        <v>2</v>
      </c>
      <c r="E542" s="13" t="n">
        <v>0.26</v>
      </c>
      <c r="F542" s="14" t="n">
        <f aca="false">E542*Assumptions!$D$4</f>
        <v>33.7112271019648</v>
      </c>
      <c r="G542" s="14" t="n">
        <v>330</v>
      </c>
      <c r="H542" s="14" t="n">
        <v>435</v>
      </c>
      <c r="I542" s="14" t="n">
        <f aca="false">F542-(G542+H542)/2</f>
        <v>-348.788772898035</v>
      </c>
      <c r="J542" s="5" t="str">
        <f aca="false">IF(D542&lt;8,"LOW SAMPLE",IF(F542&gt;H542*(1+Assumptions!$B$10),"UNDERPAID",IF(F542&lt;G542*(1-Assumptions!$B$10),"OVERPAID","FAIR")))</f>
        <v>LOW SAMPLE</v>
      </c>
      <c r="K542" s="5" t="n">
        <v>100</v>
      </c>
    </row>
    <row r="543" customFormat="false" ht="15" hidden="false" customHeight="false" outlineLevel="0" collapsed="false">
      <c r="A543" s="5" t="n">
        <v>2021</v>
      </c>
      <c r="B543" s="5" t="s">
        <v>567</v>
      </c>
      <c r="C543" s="5" t="s">
        <v>589</v>
      </c>
      <c r="D543" s="5" t="n">
        <v>3</v>
      </c>
      <c r="E543" s="13" t="n">
        <v>0.4</v>
      </c>
      <c r="F543" s="14" t="n">
        <f aca="false">E543*Assumptions!$D$4</f>
        <v>51.8634263107151</v>
      </c>
      <c r="G543" s="14" t="n">
        <v>330</v>
      </c>
      <c r="H543" s="14" t="n">
        <v>435</v>
      </c>
      <c r="I543" s="14" t="n">
        <f aca="false">F543-(G543+H543)/2</f>
        <v>-330.636573689285</v>
      </c>
      <c r="J543" s="5" t="str">
        <f aca="false">IF(D543&lt;8,"LOW SAMPLE",IF(F543&gt;H543*(1+Assumptions!$B$10),"UNDERPAID",IF(F543&lt;G543*(1-Assumptions!$B$10),"OVERPAID","FAIR")))</f>
        <v>LOW SAMPLE</v>
      </c>
      <c r="K543" s="5" t="n">
        <v>104</v>
      </c>
    </row>
    <row r="544" customFormat="false" ht="15" hidden="false" customHeight="false" outlineLevel="0" collapsed="false">
      <c r="A544" s="5" t="n">
        <v>2021</v>
      </c>
      <c r="B544" s="5" t="s">
        <v>567</v>
      </c>
      <c r="C544" s="5" t="s">
        <v>590</v>
      </c>
      <c r="D544" s="5" t="n">
        <v>20</v>
      </c>
      <c r="E544" s="13" t="n">
        <v>3.1</v>
      </c>
      <c r="F544" s="14" t="n">
        <f aca="false">E544*Assumptions!$D$4</f>
        <v>401.941553908042</v>
      </c>
      <c r="G544" s="14" t="n">
        <v>215</v>
      </c>
      <c r="H544" s="14" t="n">
        <v>330</v>
      </c>
      <c r="I544" s="14" t="n">
        <f aca="false">F544-(G544+H544)/2</f>
        <v>129.441553908042</v>
      </c>
      <c r="J544" s="5" t="str">
        <f aca="false">IF(D544&lt;8,"LOW SAMPLE",IF(F544&gt;H544*(1+Assumptions!$B$10),"UNDERPAID",IF(F544&lt;G544*(1-Assumptions!$B$10),"OVERPAID","FAIR")))</f>
        <v>UNDERPAID</v>
      </c>
      <c r="K544" s="5" t="n">
        <v>71</v>
      </c>
    </row>
    <row r="545" customFormat="false" ht="15" hidden="false" customHeight="false" outlineLevel="0" collapsed="false">
      <c r="A545" s="5" t="n">
        <v>2021</v>
      </c>
      <c r="B545" s="5" t="s">
        <v>567</v>
      </c>
      <c r="C545" s="5" t="s">
        <v>591</v>
      </c>
      <c r="D545" s="5" t="n">
        <v>16</v>
      </c>
      <c r="E545" s="13" t="n">
        <v>2.01</v>
      </c>
      <c r="F545" s="14" t="n">
        <f aca="false">E545*Assumptions!$D$4</f>
        <v>260.613717211343</v>
      </c>
      <c r="G545" s="14" t="n">
        <v>330</v>
      </c>
      <c r="H545" s="14" t="n">
        <v>435</v>
      </c>
      <c r="I545" s="14" t="n">
        <f aca="false">F545-(G545+H545)/2</f>
        <v>-121.886282788657</v>
      </c>
      <c r="J545" s="5" t="str">
        <f aca="false">IF(D545&lt;8,"LOW SAMPLE",IF(F545&gt;H545*(1+Assumptions!$B$10),"UNDERPAID",IF(F545&lt;G545*(1-Assumptions!$B$10),"OVERPAID","FAIR")))</f>
        <v>OVERPAID</v>
      </c>
      <c r="K545" s="5" t="n">
        <v>40</v>
      </c>
    </row>
    <row r="546" customFormat="false" ht="15" hidden="false" customHeight="false" outlineLevel="0" collapsed="false">
      <c r="A546" s="5" t="n">
        <v>2021</v>
      </c>
      <c r="B546" s="5" t="s">
        <v>567</v>
      </c>
      <c r="C546" s="5" t="s">
        <v>592</v>
      </c>
      <c r="D546" s="5" t="n">
        <v>7</v>
      </c>
      <c r="E546" s="13" t="n">
        <v>0.68</v>
      </c>
      <c r="F546" s="14" t="n">
        <f aca="false">E546*Assumptions!$D$4</f>
        <v>88.1678247282157</v>
      </c>
      <c r="G546" s="14" t="n">
        <v>215</v>
      </c>
      <c r="H546" s="14" t="n">
        <v>330</v>
      </c>
      <c r="I546" s="14" t="n">
        <f aca="false">F546-(G546+H546)/2</f>
        <v>-184.332175271784</v>
      </c>
      <c r="J546" s="5" t="str">
        <f aca="false">IF(D546&lt;8,"LOW SAMPLE",IF(F546&gt;H546*(1+Assumptions!$B$10),"UNDERPAID",IF(F546&lt;G546*(1-Assumptions!$B$10),"OVERPAID","FAIR")))</f>
        <v>LOW SAMPLE</v>
      </c>
      <c r="K546" s="5" t="n">
        <v>0</v>
      </c>
    </row>
    <row r="547" customFormat="false" ht="15" hidden="false" customHeight="false" outlineLevel="0" collapsed="false">
      <c r="A547" s="5" t="n">
        <v>2021</v>
      </c>
      <c r="B547" s="5" t="s">
        <v>567</v>
      </c>
      <c r="C547" s="5" t="s">
        <v>593</v>
      </c>
      <c r="D547" s="5" t="n">
        <v>12</v>
      </c>
      <c r="E547" s="13" t="n">
        <v>3.08</v>
      </c>
      <c r="F547" s="14" t="n">
        <f aca="false">E547*Assumptions!$D$4</f>
        <v>399.348382592506</v>
      </c>
      <c r="G547" s="14" t="n">
        <v>215</v>
      </c>
      <c r="H547" s="14" t="n">
        <v>330</v>
      </c>
      <c r="I547" s="14" t="n">
        <f aca="false">F547-(G547+H547)/2</f>
        <v>126.848382592506</v>
      </c>
      <c r="J547" s="5" t="str">
        <f aca="false">IF(D547&lt;8,"LOW SAMPLE",IF(F547&gt;H547*(1+Assumptions!$B$10),"UNDERPAID",IF(F547&lt;G547*(1-Assumptions!$B$10),"OVERPAID","FAIR")))</f>
        <v>UNDERPAID</v>
      </c>
      <c r="K547" s="5" t="n">
        <v>88</v>
      </c>
    </row>
    <row r="548" customFormat="false" ht="15" hidden="false" customHeight="false" outlineLevel="0" collapsed="false">
      <c r="A548" s="5" t="n">
        <v>2021</v>
      </c>
      <c r="B548" s="5" t="s">
        <v>567</v>
      </c>
      <c r="C548" s="5" t="s">
        <v>594</v>
      </c>
      <c r="D548" s="5" t="n">
        <v>9</v>
      </c>
      <c r="E548" s="13" t="n">
        <v>1.09</v>
      </c>
      <c r="F548" s="14" t="n">
        <f aca="false">E548*Assumptions!$D$4</f>
        <v>141.327836696699</v>
      </c>
      <c r="G548" s="14" t="n">
        <v>330</v>
      </c>
      <c r="H548" s="14" t="n">
        <v>435</v>
      </c>
      <c r="I548" s="14" t="n">
        <f aca="false">F548-(G548+H548)/2</f>
        <v>-241.172163303301</v>
      </c>
      <c r="J548" s="5" t="str">
        <f aca="false">IF(D548&lt;8,"LOW SAMPLE",IF(F548&gt;H548*(1+Assumptions!$B$10),"UNDERPAID",IF(F548&lt;G548*(1-Assumptions!$B$10),"OVERPAID","FAIR")))</f>
        <v>OVERPAID</v>
      </c>
      <c r="K548" s="5" t="n">
        <v>64</v>
      </c>
    </row>
    <row r="549" customFormat="false" ht="15" hidden="false" customHeight="false" outlineLevel="0" collapsed="false">
      <c r="A549" s="5" t="n">
        <v>2021</v>
      </c>
      <c r="B549" s="5" t="s">
        <v>567</v>
      </c>
      <c r="C549" s="5" t="s">
        <v>595</v>
      </c>
      <c r="D549" s="5" t="n">
        <v>20</v>
      </c>
      <c r="E549" s="13" t="n">
        <v>4.99</v>
      </c>
      <c r="F549" s="14" t="n">
        <f aca="false">E549*Assumptions!$D$4</f>
        <v>646.996243226171</v>
      </c>
      <c r="G549" s="14" t="n">
        <v>435</v>
      </c>
      <c r="H549" s="14" t="n">
        <v>590</v>
      </c>
      <c r="I549" s="14" t="n">
        <f aca="false">F549-(G549+H549)/2</f>
        <v>134.496243226171</v>
      </c>
      <c r="J549" s="5" t="str">
        <f aca="false">IF(D549&lt;8,"LOW SAMPLE",IF(F549&gt;H549*(1+Assumptions!$B$10),"UNDERPAID",IF(F549&lt;G549*(1-Assumptions!$B$10),"OVERPAID","FAIR")))</f>
        <v>FAIR</v>
      </c>
      <c r="K549" s="5" t="n">
        <v>18</v>
      </c>
    </row>
    <row r="550" customFormat="false" ht="15" hidden="false" customHeight="false" outlineLevel="0" collapsed="false">
      <c r="A550" s="5" t="n">
        <v>2021</v>
      </c>
      <c r="B550" s="5" t="s">
        <v>567</v>
      </c>
      <c r="C550" s="5" t="s">
        <v>596</v>
      </c>
      <c r="D550" s="5" t="n">
        <v>16</v>
      </c>
      <c r="E550" s="13" t="n">
        <v>2.07</v>
      </c>
      <c r="F550" s="14" t="n">
        <f aca="false">E550*Assumptions!$D$4</f>
        <v>268.393231157951</v>
      </c>
      <c r="G550" s="14" t="n">
        <v>215</v>
      </c>
      <c r="H550" s="14" t="n">
        <v>330</v>
      </c>
      <c r="I550" s="14" t="n">
        <f aca="false">F550-(G550+H550)/2</f>
        <v>-4.10676884204929</v>
      </c>
      <c r="J550" s="5" t="str">
        <f aca="false">IF(D550&lt;8,"LOW SAMPLE",IF(F550&gt;H550*(1+Assumptions!$B$10),"UNDERPAID",IF(F550&lt;G550*(1-Assumptions!$B$10),"OVERPAID","FAIR")))</f>
        <v>FAIR</v>
      </c>
      <c r="K550" s="5" t="n">
        <v>36</v>
      </c>
    </row>
    <row r="551" customFormat="false" ht="15" hidden="false" customHeight="false" outlineLevel="0" collapsed="false">
      <c r="A551" s="5" t="n">
        <v>2021</v>
      </c>
      <c r="B551" s="5" t="s">
        <v>567</v>
      </c>
      <c r="C551" s="5" t="s">
        <v>597</v>
      </c>
      <c r="D551" s="5" t="n">
        <v>5</v>
      </c>
      <c r="E551" s="13" t="n">
        <v>0.54</v>
      </c>
      <c r="F551" s="14" t="n">
        <f aca="false">E551*Assumptions!$D$4</f>
        <v>70.0156255194654</v>
      </c>
      <c r="G551" s="14" t="n">
        <v>215</v>
      </c>
      <c r="H551" s="14" t="n">
        <v>330</v>
      </c>
      <c r="I551" s="14" t="n">
        <f aca="false">F551-(G551+H551)/2</f>
        <v>-202.484374480535</v>
      </c>
      <c r="J551" s="5" t="str">
        <f aca="false">IF(D551&lt;8,"LOW SAMPLE",IF(F551&gt;H551*(1+Assumptions!$B$10),"UNDERPAID",IF(F551&lt;G551*(1-Assumptions!$B$10),"OVERPAID","FAIR")))</f>
        <v>LOW SAMPLE</v>
      </c>
      <c r="K551" s="5" t="n">
        <v>0</v>
      </c>
    </row>
    <row r="552" customFormat="false" ht="15" hidden="false" customHeight="false" outlineLevel="0" collapsed="false">
      <c r="A552" s="5" t="n">
        <v>2021</v>
      </c>
      <c r="B552" s="5" t="s">
        <v>567</v>
      </c>
      <c r="C552" s="5" t="s">
        <v>598</v>
      </c>
      <c r="D552" s="5" t="n">
        <v>12</v>
      </c>
      <c r="E552" s="13" t="n">
        <v>2.75</v>
      </c>
      <c r="F552" s="14" t="n">
        <f aca="false">E552*Assumptions!$D$4</f>
        <v>356.561055886166</v>
      </c>
      <c r="G552" s="14" t="n">
        <v>435</v>
      </c>
      <c r="H552" s="14" t="n">
        <v>590</v>
      </c>
      <c r="I552" s="14" t="n">
        <f aca="false">F552-(G552+H552)/2</f>
        <v>-155.938944113834</v>
      </c>
      <c r="J552" s="5" t="str">
        <f aca="false">IF(D552&lt;8,"LOW SAMPLE",IF(F552&gt;H552*(1+Assumptions!$B$10),"UNDERPAID",IF(F552&lt;G552*(1-Assumptions!$B$10),"OVERPAID","FAIR")))</f>
        <v>OVERPAID</v>
      </c>
      <c r="K552" s="5" t="n">
        <v>87</v>
      </c>
    </row>
    <row r="553" customFormat="false" ht="15" hidden="false" customHeight="false" outlineLevel="0" collapsed="false">
      <c r="A553" s="5" t="n">
        <v>2021</v>
      </c>
      <c r="B553" s="5" t="s">
        <v>567</v>
      </c>
      <c r="C553" s="5" t="s">
        <v>599</v>
      </c>
      <c r="D553" s="5" t="n">
        <v>7</v>
      </c>
      <c r="E553" s="13" t="n">
        <v>1.21</v>
      </c>
      <c r="F553" s="14" t="n">
        <f aca="false">E553*Assumptions!$D$4</f>
        <v>156.886864589913</v>
      </c>
      <c r="G553" s="14" t="n">
        <v>215</v>
      </c>
      <c r="H553" s="14" t="n">
        <v>330</v>
      </c>
      <c r="I553" s="14" t="n">
        <f aca="false">F553-(G553+H553)/2</f>
        <v>-115.613135410087</v>
      </c>
      <c r="J553" s="5" t="str">
        <f aca="false">IF(D553&lt;8,"LOW SAMPLE",IF(F553&gt;H553*(1+Assumptions!$B$10),"UNDERPAID",IF(F553&lt;G553*(1-Assumptions!$B$10),"OVERPAID","FAIR")))</f>
        <v>LOW SAMPLE</v>
      </c>
      <c r="K553" s="5" t="n">
        <v>0</v>
      </c>
    </row>
    <row r="554" customFormat="false" ht="15" hidden="false" customHeight="false" outlineLevel="0" collapsed="false">
      <c r="A554" s="5" t="n">
        <v>2021</v>
      </c>
      <c r="B554" s="5" t="s">
        <v>567</v>
      </c>
      <c r="C554" s="5" t="s">
        <v>600</v>
      </c>
      <c r="D554" s="5" t="n">
        <v>13</v>
      </c>
      <c r="E554" s="13" t="n">
        <v>3.55</v>
      </c>
      <c r="F554" s="14" t="n">
        <f aca="false">E554*Assumptions!$D$4</f>
        <v>460.287908507597</v>
      </c>
      <c r="G554" s="14" t="n">
        <v>590</v>
      </c>
      <c r="H554" s="14" t="n">
        <v>820</v>
      </c>
      <c r="I554" s="14" t="n">
        <f aca="false">F554-(G554+H554)/2</f>
        <v>-244.712091492403</v>
      </c>
      <c r="J554" s="5" t="str">
        <f aca="false">IF(D554&lt;8,"LOW SAMPLE",IF(F554&gt;H554*(1+Assumptions!$B$10),"UNDERPAID",IF(F554&lt;G554*(1-Assumptions!$B$10),"OVERPAID","FAIR")))</f>
        <v>OVERPAID</v>
      </c>
      <c r="K554" s="5" t="n">
        <v>52</v>
      </c>
    </row>
    <row r="555" customFormat="false" ht="15" hidden="false" customHeight="false" outlineLevel="0" collapsed="false">
      <c r="A555" s="5" t="n">
        <v>2021</v>
      </c>
      <c r="B555" s="5" t="s">
        <v>567</v>
      </c>
      <c r="C555" s="5" t="s">
        <v>601</v>
      </c>
      <c r="D555" s="5" t="n">
        <v>16</v>
      </c>
      <c r="E555" s="13" t="n">
        <v>2.19</v>
      </c>
      <c r="F555" s="14" t="n">
        <f aca="false">E555*Assumptions!$D$4</f>
        <v>283.952259051165</v>
      </c>
      <c r="G555" s="14" t="n">
        <v>120</v>
      </c>
      <c r="H555" s="14" t="n">
        <v>215</v>
      </c>
      <c r="I555" s="14" t="n">
        <f aca="false">F555-(G555+H555)/2</f>
        <v>116.452259051165</v>
      </c>
      <c r="J555" s="5" t="str">
        <f aca="false">IF(D555&lt;8,"LOW SAMPLE",IF(F555&gt;H555*(1+Assumptions!$B$10),"UNDERPAID",IF(F555&lt;G555*(1-Assumptions!$B$10),"OVERPAID","FAIR")))</f>
        <v>UNDERPAID</v>
      </c>
      <c r="K555" s="5" t="n">
        <v>1</v>
      </c>
    </row>
    <row r="556" customFormat="false" ht="15" hidden="false" customHeight="false" outlineLevel="0" collapsed="false">
      <c r="A556" s="5" t="n">
        <v>2021</v>
      </c>
      <c r="B556" s="5" t="s">
        <v>567</v>
      </c>
      <c r="C556" s="5" t="s">
        <v>602</v>
      </c>
      <c r="D556" s="5" t="n">
        <v>20</v>
      </c>
      <c r="E556" s="13" t="n">
        <v>3.99</v>
      </c>
      <c r="F556" s="14" t="n">
        <f aca="false">E556*Assumptions!$D$4</f>
        <v>517.337677449383</v>
      </c>
      <c r="G556" s="14" t="n">
        <v>435</v>
      </c>
      <c r="H556" s="14" t="n">
        <v>590</v>
      </c>
      <c r="I556" s="14" t="n">
        <f aca="false">F556-(G556+H556)/2</f>
        <v>4.83767744938325</v>
      </c>
      <c r="J556" s="5" t="str">
        <f aca="false">IF(D556&lt;8,"LOW SAMPLE",IF(F556&gt;H556*(1+Assumptions!$B$10),"UNDERPAID",IF(F556&lt;G556*(1-Assumptions!$B$10),"OVERPAID","FAIR")))</f>
        <v>FAIR</v>
      </c>
      <c r="K556" s="5" t="n">
        <v>113</v>
      </c>
    </row>
    <row r="557" customFormat="false" ht="15" hidden="false" customHeight="false" outlineLevel="0" collapsed="false">
      <c r="A557" s="5" t="n">
        <v>2021</v>
      </c>
      <c r="B557" s="5" t="s">
        <v>567</v>
      </c>
      <c r="C557" s="5" t="s">
        <v>603</v>
      </c>
      <c r="D557" s="5" t="n">
        <v>4</v>
      </c>
      <c r="E557" s="13" t="n">
        <v>0.67</v>
      </c>
      <c r="F557" s="14" t="n">
        <f aca="false">E557*Assumptions!$D$4</f>
        <v>86.8712390704478</v>
      </c>
      <c r="G557" s="14" t="n">
        <v>330</v>
      </c>
      <c r="H557" s="14" t="n">
        <v>435</v>
      </c>
      <c r="I557" s="14" t="n">
        <f aca="false">F557-(G557+H557)/2</f>
        <v>-295.628760929552</v>
      </c>
      <c r="J557" s="5" t="str">
        <f aca="false">IF(D557&lt;8,"LOW SAMPLE",IF(F557&gt;H557*(1+Assumptions!$B$10),"UNDERPAID",IF(F557&lt;G557*(1-Assumptions!$B$10),"OVERPAID","FAIR")))</f>
        <v>LOW SAMPLE</v>
      </c>
      <c r="K557" s="5" t="n">
        <v>53</v>
      </c>
    </row>
    <row r="558" customFormat="false" ht="15" hidden="false" customHeight="false" outlineLevel="0" collapsed="false">
      <c r="A558" s="5" t="n">
        <v>2021</v>
      </c>
      <c r="B558" s="5" t="s">
        <v>567</v>
      </c>
      <c r="C558" s="5" t="s">
        <v>604</v>
      </c>
      <c r="D558" s="5" t="n">
        <v>21</v>
      </c>
      <c r="E558" s="13" t="n">
        <v>5.56</v>
      </c>
      <c r="F558" s="14" t="n">
        <f aca="false">E558*Assumptions!$D$4</f>
        <v>720.90162571894</v>
      </c>
      <c r="G558" s="14" t="n">
        <v>590</v>
      </c>
      <c r="H558" s="14" t="n">
        <v>820</v>
      </c>
      <c r="I558" s="14" t="n">
        <f aca="false">F558-(G558+H558)/2</f>
        <v>15.9016257189401</v>
      </c>
      <c r="J558" s="5" t="str">
        <f aca="false">IF(D558&lt;8,"LOW SAMPLE",IF(F558&gt;H558*(1+Assumptions!$B$10),"UNDERPAID",IF(F558&lt;G558*(1-Assumptions!$B$10),"OVERPAID","FAIR")))</f>
        <v>FAIR</v>
      </c>
      <c r="K558" s="5" t="n">
        <v>109</v>
      </c>
    </row>
    <row r="559" customFormat="false" ht="15" hidden="false" customHeight="false" outlineLevel="0" collapsed="false">
      <c r="A559" s="5" t="n">
        <v>2021</v>
      </c>
      <c r="B559" s="5" t="s">
        <v>567</v>
      </c>
      <c r="C559" s="5" t="s">
        <v>605</v>
      </c>
      <c r="D559" s="5" t="n">
        <v>13</v>
      </c>
      <c r="E559" s="13" t="n">
        <v>1.59</v>
      </c>
      <c r="F559" s="14" t="n">
        <f aca="false">E559*Assumptions!$D$4</f>
        <v>206.157119585093</v>
      </c>
      <c r="G559" s="14" t="n">
        <v>215</v>
      </c>
      <c r="H559" s="14" t="n">
        <v>330</v>
      </c>
      <c r="I559" s="14" t="n">
        <f aca="false">F559-(G559+H559)/2</f>
        <v>-66.3428804149074</v>
      </c>
      <c r="J559" s="5" t="str">
        <f aca="false">IF(D559&lt;8,"LOW SAMPLE",IF(F559&gt;H559*(1+Assumptions!$B$10),"UNDERPAID",IF(F559&lt;G559*(1-Assumptions!$B$10),"OVERPAID","FAIR")))</f>
        <v>FAIR</v>
      </c>
      <c r="K559" s="5" t="n">
        <v>0</v>
      </c>
    </row>
    <row r="560" customFormat="false" ht="15" hidden="false" customHeight="false" outlineLevel="0" collapsed="false">
      <c r="A560" s="5" t="n">
        <v>2021</v>
      </c>
      <c r="B560" s="5" t="s">
        <v>567</v>
      </c>
      <c r="C560" s="5" t="s">
        <v>606</v>
      </c>
      <c r="D560" s="5" t="n">
        <v>13</v>
      </c>
      <c r="E560" s="13" t="n">
        <v>3.2</v>
      </c>
      <c r="F560" s="14" t="n">
        <f aca="false">E560*Assumptions!$D$4</f>
        <v>414.907410485721</v>
      </c>
      <c r="G560" s="14" t="n">
        <v>435</v>
      </c>
      <c r="H560" s="14" t="n">
        <v>590</v>
      </c>
      <c r="I560" s="14" t="n">
        <f aca="false">F560-(G560+H560)/2</f>
        <v>-97.5925895142791</v>
      </c>
      <c r="J560" s="5" t="str">
        <f aca="false">IF(D560&lt;8,"LOW SAMPLE",IF(F560&gt;H560*(1+Assumptions!$B$10),"UNDERPAID",IF(F560&lt;G560*(1-Assumptions!$B$10),"OVERPAID","FAIR")))</f>
        <v>FAIR</v>
      </c>
      <c r="K560" s="5" t="n">
        <v>102</v>
      </c>
    </row>
    <row r="561" customFormat="false" ht="15" hidden="false" customHeight="false" outlineLevel="0" collapsed="false">
      <c r="A561" s="5" t="n">
        <v>2021</v>
      </c>
      <c r="B561" s="5" t="s">
        <v>607</v>
      </c>
      <c r="C561" s="5" t="s">
        <v>608</v>
      </c>
      <c r="D561" s="5" t="n">
        <v>2</v>
      </c>
      <c r="E561" s="13" t="n">
        <v>0.01</v>
      </c>
      <c r="F561" s="14" t="n">
        <f aca="false">E561*Assumptions!$D$4</f>
        <v>1.29658565776788</v>
      </c>
      <c r="G561" s="14" t="n">
        <v>215</v>
      </c>
      <c r="H561" s="14" t="n">
        <v>330</v>
      </c>
      <c r="I561" s="14" t="n">
        <f aca="false">F561-(G561+H561)/2</f>
        <v>-271.203414342232</v>
      </c>
      <c r="J561" s="5" t="str">
        <f aca="false">IF(D561&lt;8,"LOW SAMPLE",IF(F561&gt;H561*(1+Assumptions!$B$10),"UNDERPAID",IF(F561&lt;G561*(1-Assumptions!$B$10),"OVERPAID","FAIR")))</f>
        <v>LOW SAMPLE</v>
      </c>
      <c r="K561" s="5" t="n">
        <v>34</v>
      </c>
    </row>
    <row r="562" customFormat="false" ht="15" hidden="false" customHeight="false" outlineLevel="0" collapsed="false">
      <c r="A562" s="5" t="n">
        <v>2021</v>
      </c>
      <c r="B562" s="5" t="s">
        <v>607</v>
      </c>
      <c r="C562" s="5" t="s">
        <v>609</v>
      </c>
      <c r="D562" s="5" t="n">
        <v>8</v>
      </c>
      <c r="E562" s="13" t="n">
        <v>1.09</v>
      </c>
      <c r="F562" s="14" t="n">
        <f aca="false">E562*Assumptions!$D$4</f>
        <v>141.327836696699</v>
      </c>
      <c r="G562" s="14" t="n">
        <v>215</v>
      </c>
      <c r="H562" s="14" t="n">
        <v>330</v>
      </c>
      <c r="I562" s="14" t="n">
        <f aca="false">F562-(G562+H562)/2</f>
        <v>-131.172163303301</v>
      </c>
      <c r="J562" s="5" t="str">
        <f aca="false">IF(D562&lt;8,"LOW SAMPLE",IF(F562&gt;H562*(1+Assumptions!$B$10),"UNDERPAID",IF(F562&lt;G562*(1-Assumptions!$B$10),"OVERPAID","FAIR")))</f>
        <v>OVERPAID</v>
      </c>
      <c r="K562" s="5" t="n">
        <v>0</v>
      </c>
    </row>
    <row r="563" customFormat="false" ht="15" hidden="false" customHeight="false" outlineLevel="0" collapsed="false">
      <c r="A563" s="5" t="n">
        <v>2021</v>
      </c>
      <c r="B563" s="5" t="s">
        <v>607</v>
      </c>
      <c r="C563" s="5" t="s">
        <v>610</v>
      </c>
      <c r="D563" s="5" t="n">
        <v>18</v>
      </c>
      <c r="E563" s="13" t="n">
        <v>5.31</v>
      </c>
      <c r="F563" s="14" t="n">
        <f aca="false">E563*Assumptions!$D$4</f>
        <v>688.486984274743</v>
      </c>
      <c r="G563" s="14" t="n">
        <v>330</v>
      </c>
      <c r="H563" s="14" t="n">
        <v>435</v>
      </c>
      <c r="I563" s="14" t="n">
        <f aca="false">F563-(G563+H563)/2</f>
        <v>305.986984274743</v>
      </c>
      <c r="J563" s="5" t="str">
        <f aca="false">IF(D563&lt;8,"LOW SAMPLE",IF(F563&gt;H563*(1+Assumptions!$B$10),"UNDERPAID",IF(F563&lt;G563*(1-Assumptions!$B$10),"OVERPAID","FAIR")))</f>
        <v>UNDERPAID</v>
      </c>
      <c r="K563" s="5" t="n">
        <v>92</v>
      </c>
    </row>
    <row r="564" customFormat="false" ht="15" hidden="false" customHeight="false" outlineLevel="0" collapsed="false">
      <c r="A564" s="5" t="n">
        <v>2021</v>
      </c>
      <c r="B564" s="5" t="s">
        <v>607</v>
      </c>
      <c r="C564" s="5" t="s">
        <v>611</v>
      </c>
      <c r="D564" s="5" t="n">
        <v>4</v>
      </c>
      <c r="E564" s="13" t="n">
        <v>0.98</v>
      </c>
      <c r="F564" s="14" t="n">
        <f aca="false">E564*Assumptions!$D$4</f>
        <v>127.065394461252</v>
      </c>
      <c r="G564" s="14" t="n">
        <v>435</v>
      </c>
      <c r="H564" s="14" t="n">
        <v>590</v>
      </c>
      <c r="I564" s="14" t="n">
        <f aca="false">F564-(G564+H564)/2</f>
        <v>-385.434605538748</v>
      </c>
      <c r="J564" s="5" t="str">
        <f aca="false">IF(D564&lt;8,"LOW SAMPLE",IF(F564&gt;H564*(1+Assumptions!$B$10),"UNDERPAID",IF(F564&lt;G564*(1-Assumptions!$B$10),"OVERPAID","FAIR")))</f>
        <v>LOW SAMPLE</v>
      </c>
      <c r="K564" s="5" t="n">
        <v>105</v>
      </c>
    </row>
    <row r="565" customFormat="false" ht="15" hidden="false" customHeight="false" outlineLevel="0" collapsed="false">
      <c r="A565" s="5" t="n">
        <v>2021</v>
      </c>
      <c r="B565" s="5" t="s">
        <v>607</v>
      </c>
      <c r="C565" s="5" t="s">
        <v>612</v>
      </c>
      <c r="D565" s="5" t="n">
        <v>13</v>
      </c>
      <c r="E565" s="13" t="n">
        <v>2.68</v>
      </c>
      <c r="F565" s="14" t="n">
        <f aca="false">E565*Assumptions!$D$4</f>
        <v>347.484956281791</v>
      </c>
      <c r="G565" s="14" t="n">
        <v>120</v>
      </c>
      <c r="H565" s="14" t="n">
        <v>215</v>
      </c>
      <c r="I565" s="14" t="n">
        <f aca="false">F565-(G565+H565)/2</f>
        <v>179.984956281791</v>
      </c>
      <c r="J565" s="5" t="str">
        <f aca="false">IF(D565&lt;8,"LOW SAMPLE",IF(F565&gt;H565*(1+Assumptions!$B$10),"UNDERPAID",IF(F565&lt;G565*(1-Assumptions!$B$10),"OVERPAID","FAIR")))</f>
        <v>UNDERPAID</v>
      </c>
      <c r="K565" s="5" t="n">
        <v>2</v>
      </c>
    </row>
    <row r="566" customFormat="false" ht="15" hidden="false" customHeight="false" outlineLevel="0" collapsed="false">
      <c r="A566" s="5" t="n">
        <v>2021</v>
      </c>
      <c r="B566" s="5" t="s">
        <v>607</v>
      </c>
      <c r="C566" s="5" t="s">
        <v>613</v>
      </c>
      <c r="D566" s="5" t="n">
        <v>6</v>
      </c>
      <c r="E566" s="13" t="n">
        <v>0.46</v>
      </c>
      <c r="F566" s="14" t="n">
        <f aca="false">E566*Assumptions!$D$4</f>
        <v>59.6429402573224</v>
      </c>
      <c r="G566" s="14" t="n">
        <v>120</v>
      </c>
      <c r="H566" s="14" t="n">
        <v>215</v>
      </c>
      <c r="I566" s="14" t="n">
        <f aca="false">F566-(G566+H566)/2</f>
        <v>-107.857059742678</v>
      </c>
      <c r="J566" s="5" t="str">
        <f aca="false">IF(D566&lt;8,"LOW SAMPLE",IF(F566&gt;H566*(1+Assumptions!$B$10),"UNDERPAID",IF(F566&lt;G566*(1-Assumptions!$B$10),"OVERPAID","FAIR")))</f>
        <v>LOW SAMPLE</v>
      </c>
      <c r="K566" s="5" t="n">
        <v>23</v>
      </c>
    </row>
    <row r="567" customFormat="false" ht="15" hidden="false" customHeight="false" outlineLevel="0" collapsed="false">
      <c r="A567" s="5" t="n">
        <v>2021</v>
      </c>
      <c r="B567" s="5" t="s">
        <v>607</v>
      </c>
      <c r="C567" s="5" t="s">
        <v>614</v>
      </c>
      <c r="D567" s="5" t="n">
        <v>20</v>
      </c>
      <c r="E567" s="13" t="n">
        <v>3.92</v>
      </c>
      <c r="F567" s="14" t="n">
        <f aca="false">E567*Assumptions!$D$4</f>
        <v>508.261577845008</v>
      </c>
      <c r="G567" s="14" t="n">
        <v>435</v>
      </c>
      <c r="H567" s="14" t="n">
        <v>590</v>
      </c>
      <c r="I567" s="14" t="n">
        <f aca="false">F567-(G567+H567)/2</f>
        <v>-4.2384221549919</v>
      </c>
      <c r="J567" s="5" t="str">
        <f aca="false">IF(D567&lt;8,"LOW SAMPLE",IF(F567&gt;H567*(1+Assumptions!$B$10),"UNDERPAID",IF(F567&lt;G567*(1-Assumptions!$B$10),"OVERPAID","FAIR")))</f>
        <v>FAIR</v>
      </c>
      <c r="K567" s="5" t="n">
        <v>122</v>
      </c>
    </row>
    <row r="568" customFormat="false" ht="15" hidden="false" customHeight="false" outlineLevel="0" collapsed="false">
      <c r="A568" s="5" t="n">
        <v>2021</v>
      </c>
      <c r="B568" s="5" t="s">
        <v>607</v>
      </c>
      <c r="C568" s="5" t="s">
        <v>615</v>
      </c>
      <c r="D568" s="5" t="n">
        <v>7</v>
      </c>
      <c r="E568" s="13" t="n">
        <v>0.41</v>
      </c>
      <c r="F568" s="14" t="n">
        <f aca="false">E568*Assumptions!$D$4</f>
        <v>53.160011968483</v>
      </c>
      <c r="G568" s="14" t="n">
        <v>215</v>
      </c>
      <c r="H568" s="14" t="n">
        <v>330</v>
      </c>
      <c r="I568" s="14" t="n">
        <f aca="false">F568-(G568+H568)/2</f>
        <v>-219.339988031517</v>
      </c>
      <c r="J568" s="5" t="str">
        <f aca="false">IF(D568&lt;8,"LOW SAMPLE",IF(F568&gt;H568*(1+Assumptions!$B$10),"UNDERPAID",IF(F568&lt;G568*(1-Assumptions!$B$10),"OVERPAID","FAIR")))</f>
        <v>LOW SAMPLE</v>
      </c>
      <c r="K568" s="5" t="n">
        <v>8</v>
      </c>
    </row>
    <row r="569" customFormat="false" ht="15" hidden="false" customHeight="false" outlineLevel="0" collapsed="false">
      <c r="A569" s="5" t="n">
        <v>2021</v>
      </c>
      <c r="B569" s="5" t="s">
        <v>607</v>
      </c>
      <c r="C569" s="5" t="s">
        <v>616</v>
      </c>
      <c r="D569" s="5" t="n">
        <v>18</v>
      </c>
      <c r="E569" s="13" t="n">
        <v>3.79</v>
      </c>
      <c r="F569" s="14" t="n">
        <f aca="false">E569*Assumptions!$D$4</f>
        <v>491.405964294026</v>
      </c>
      <c r="G569" s="14" t="n">
        <v>215</v>
      </c>
      <c r="H569" s="14" t="n">
        <v>330</v>
      </c>
      <c r="I569" s="14" t="n">
        <f aca="false">F569-(G569+H569)/2</f>
        <v>218.905964294026</v>
      </c>
      <c r="J569" s="5" t="str">
        <f aca="false">IF(D569&lt;8,"LOW SAMPLE",IF(F569&gt;H569*(1+Assumptions!$B$10),"UNDERPAID",IF(F569&lt;G569*(1-Assumptions!$B$10),"OVERPAID","FAIR")))</f>
        <v>UNDERPAID</v>
      </c>
      <c r="K569" s="5" t="n">
        <v>0</v>
      </c>
    </row>
    <row r="570" customFormat="false" ht="15" hidden="false" customHeight="false" outlineLevel="0" collapsed="false">
      <c r="A570" s="5" t="n">
        <v>2021</v>
      </c>
      <c r="B570" s="5" t="s">
        <v>607</v>
      </c>
      <c r="C570" s="5" t="s">
        <v>617</v>
      </c>
      <c r="D570" s="5" t="n">
        <v>21</v>
      </c>
      <c r="E570" s="13" t="n">
        <v>3.25</v>
      </c>
      <c r="F570" s="14" t="n">
        <f aca="false">E570*Assumptions!$D$4</f>
        <v>421.39033877456</v>
      </c>
      <c r="G570" s="14" t="n">
        <v>330</v>
      </c>
      <c r="H570" s="14" t="n">
        <v>435</v>
      </c>
      <c r="I570" s="14" t="n">
        <f aca="false">F570-(G570+H570)/2</f>
        <v>38.8903387745603</v>
      </c>
      <c r="J570" s="5" t="str">
        <f aca="false">IF(D570&lt;8,"LOW SAMPLE",IF(F570&gt;H570*(1+Assumptions!$B$10),"UNDERPAID",IF(F570&lt;G570*(1-Assumptions!$B$10),"OVERPAID","FAIR")))</f>
        <v>FAIR</v>
      </c>
      <c r="K570" s="5" t="n">
        <v>99</v>
      </c>
    </row>
    <row r="571" customFormat="false" ht="15" hidden="false" customHeight="false" outlineLevel="0" collapsed="false">
      <c r="A571" s="5" t="n">
        <v>2021</v>
      </c>
      <c r="B571" s="5" t="s">
        <v>607</v>
      </c>
      <c r="C571" s="5" t="s">
        <v>618</v>
      </c>
      <c r="D571" s="5" t="n">
        <v>21</v>
      </c>
      <c r="E571" s="13" t="n">
        <v>3.13</v>
      </c>
      <c r="F571" s="14" t="n">
        <f aca="false">E571*Assumptions!$D$4</f>
        <v>405.831310881346</v>
      </c>
      <c r="G571" s="14" t="n">
        <v>330</v>
      </c>
      <c r="H571" s="14" t="n">
        <v>435</v>
      </c>
      <c r="I571" s="14" t="n">
        <f aca="false">F571-(G571+H571)/2</f>
        <v>23.3313108813458</v>
      </c>
      <c r="J571" s="5" t="str">
        <f aca="false">IF(D571&lt;8,"LOW SAMPLE",IF(F571&gt;H571*(1+Assumptions!$B$10),"UNDERPAID",IF(F571&lt;G571*(1-Assumptions!$B$10),"OVERPAID","FAIR")))</f>
        <v>FAIR</v>
      </c>
      <c r="K571" s="5" t="n">
        <v>99</v>
      </c>
    </row>
    <row r="572" customFormat="false" ht="15" hidden="false" customHeight="false" outlineLevel="0" collapsed="false">
      <c r="A572" s="5" t="n">
        <v>2021</v>
      </c>
      <c r="B572" s="5" t="s">
        <v>607</v>
      </c>
      <c r="C572" s="5" t="s">
        <v>619</v>
      </c>
      <c r="D572" s="5" t="n">
        <v>12</v>
      </c>
      <c r="E572" s="13" t="n">
        <v>2.4</v>
      </c>
      <c r="F572" s="14" t="n">
        <f aca="false">E572*Assumptions!$D$4</f>
        <v>311.180557864291</v>
      </c>
      <c r="G572" s="14" t="n">
        <v>120</v>
      </c>
      <c r="H572" s="14" t="n">
        <v>215</v>
      </c>
      <c r="I572" s="14" t="n">
        <f aca="false">F572-(G572+H572)/2</f>
        <v>143.680557864291</v>
      </c>
      <c r="J572" s="5" t="str">
        <f aca="false">IF(D572&lt;8,"LOW SAMPLE",IF(F572&gt;H572*(1+Assumptions!$B$10),"UNDERPAID",IF(F572&lt;G572*(1-Assumptions!$B$10),"OVERPAID","FAIR")))</f>
        <v>UNDERPAID</v>
      </c>
      <c r="K572" s="5" t="n">
        <v>10</v>
      </c>
    </row>
    <row r="573" customFormat="false" ht="15" hidden="false" customHeight="false" outlineLevel="0" collapsed="false">
      <c r="A573" s="5" t="n">
        <v>2021</v>
      </c>
      <c r="B573" s="5" t="s">
        <v>607</v>
      </c>
      <c r="C573" s="5" t="s">
        <v>620</v>
      </c>
      <c r="D573" s="5" t="n">
        <v>21</v>
      </c>
      <c r="E573" s="13" t="n">
        <v>5.35</v>
      </c>
      <c r="F573" s="14" t="n">
        <f aca="false">E573*Assumptions!$D$4</f>
        <v>693.673326905815</v>
      </c>
      <c r="G573" s="14" t="n">
        <v>435</v>
      </c>
      <c r="H573" s="14" t="n">
        <v>590</v>
      </c>
      <c r="I573" s="14" t="n">
        <f aca="false">F573-(G573+H573)/2</f>
        <v>181.173326905815</v>
      </c>
      <c r="J573" s="5" t="str">
        <f aca="false">IF(D573&lt;8,"LOW SAMPLE",IF(F573&gt;H573*(1+Assumptions!$B$10),"UNDERPAID",IF(F573&lt;G573*(1-Assumptions!$B$10),"OVERPAID","FAIR")))</f>
        <v>UNDERPAID</v>
      </c>
      <c r="K573" s="5" t="n">
        <v>108</v>
      </c>
    </row>
    <row r="574" customFormat="false" ht="15" hidden="false" customHeight="false" outlineLevel="0" collapsed="false">
      <c r="A574" s="5" t="n">
        <v>2021</v>
      </c>
      <c r="B574" s="5" t="s">
        <v>607</v>
      </c>
      <c r="C574" s="5" t="s">
        <v>621</v>
      </c>
      <c r="D574" s="5" t="n">
        <v>22</v>
      </c>
      <c r="E574" s="13" t="n">
        <v>5</v>
      </c>
      <c r="F574" s="14" t="n">
        <f aca="false">E574*Assumptions!$D$4</f>
        <v>648.292828883939</v>
      </c>
      <c r="G574" s="14" t="n">
        <v>590</v>
      </c>
      <c r="H574" s="14" t="n">
        <v>820</v>
      </c>
      <c r="I574" s="14" t="n">
        <f aca="false">F574-(G574+H574)/2</f>
        <v>-56.7071711160611</v>
      </c>
      <c r="J574" s="5" t="str">
        <f aca="false">IF(D574&lt;8,"LOW SAMPLE",IF(F574&gt;H574*(1+Assumptions!$B$10),"UNDERPAID",IF(F574&lt;G574*(1-Assumptions!$B$10),"OVERPAID","FAIR")))</f>
        <v>FAIR</v>
      </c>
      <c r="K574" s="5" t="n">
        <v>133</v>
      </c>
    </row>
    <row r="575" customFormat="false" ht="15" hidden="false" customHeight="false" outlineLevel="0" collapsed="false">
      <c r="A575" s="5" t="n">
        <v>2021</v>
      </c>
      <c r="B575" s="5" t="s">
        <v>607</v>
      </c>
      <c r="C575" s="5" t="s">
        <v>622</v>
      </c>
      <c r="D575" s="5" t="n">
        <v>12</v>
      </c>
      <c r="E575" s="13" t="n">
        <v>0.91</v>
      </c>
      <c r="F575" s="14" t="n">
        <f aca="false">E575*Assumptions!$D$4</f>
        <v>117.989294856877</v>
      </c>
      <c r="G575" s="14" t="n">
        <v>120</v>
      </c>
      <c r="H575" s="14" t="n">
        <v>215</v>
      </c>
      <c r="I575" s="14" t="n">
        <f aca="false">F575-(G575+H575)/2</f>
        <v>-49.5107051431231</v>
      </c>
      <c r="J575" s="5" t="str">
        <f aca="false">IF(D575&lt;8,"LOW SAMPLE",IF(F575&gt;H575*(1+Assumptions!$B$10),"UNDERPAID",IF(F575&lt;G575*(1-Assumptions!$B$10),"OVERPAID","FAIR")))</f>
        <v>FAIR</v>
      </c>
      <c r="K575" s="5" t="n">
        <v>10</v>
      </c>
    </row>
    <row r="576" customFormat="false" ht="15" hidden="false" customHeight="false" outlineLevel="0" collapsed="false">
      <c r="A576" s="5" t="n">
        <v>2021</v>
      </c>
      <c r="B576" s="5" t="s">
        <v>607</v>
      </c>
      <c r="C576" s="5" t="s">
        <v>623</v>
      </c>
      <c r="D576" s="5" t="n">
        <v>17</v>
      </c>
      <c r="E576" s="13" t="n">
        <v>3.33</v>
      </c>
      <c r="F576" s="14" t="n">
        <f aca="false">E576*Assumptions!$D$4</f>
        <v>431.763024036703</v>
      </c>
      <c r="G576" s="14" t="n">
        <v>330</v>
      </c>
      <c r="H576" s="14" t="n">
        <v>435</v>
      </c>
      <c r="I576" s="14" t="n">
        <f aca="false">F576-(G576+H576)/2</f>
        <v>49.2630240367033</v>
      </c>
      <c r="J576" s="5" t="str">
        <f aca="false">IF(D576&lt;8,"LOW SAMPLE",IF(F576&gt;H576*(1+Assumptions!$B$10),"UNDERPAID",IF(F576&lt;G576*(1-Assumptions!$B$10),"OVERPAID","FAIR")))</f>
        <v>FAIR</v>
      </c>
      <c r="K576" s="5" t="n">
        <v>28</v>
      </c>
    </row>
    <row r="577" customFormat="false" ht="15" hidden="false" customHeight="false" outlineLevel="0" collapsed="false">
      <c r="A577" s="5" t="n">
        <v>2021</v>
      </c>
      <c r="B577" s="5" t="s">
        <v>607</v>
      </c>
      <c r="C577" s="5" t="s">
        <v>624</v>
      </c>
      <c r="D577" s="5" t="n">
        <v>6</v>
      </c>
      <c r="E577" s="13" t="n">
        <v>1.37</v>
      </c>
      <c r="F577" s="14" t="n">
        <f aca="false">E577*Assumptions!$D$4</f>
        <v>177.632235114199</v>
      </c>
      <c r="G577" s="14" t="n">
        <v>120</v>
      </c>
      <c r="H577" s="14" t="n">
        <v>215</v>
      </c>
      <c r="I577" s="14" t="n">
        <f aca="false">F577-(G577+H577)/2</f>
        <v>10.1322351141993</v>
      </c>
      <c r="J577" s="5" t="str">
        <f aca="false">IF(D577&lt;8,"LOW SAMPLE",IF(F577&gt;H577*(1+Assumptions!$B$10),"UNDERPAID",IF(F577&lt;G577*(1-Assumptions!$B$10),"OVERPAID","FAIR")))</f>
        <v>LOW SAMPLE</v>
      </c>
      <c r="K577" s="5" t="n">
        <v>1</v>
      </c>
    </row>
    <row r="578" customFormat="false" ht="15" hidden="false" customHeight="false" outlineLevel="0" collapsed="false">
      <c r="A578" s="5" t="n">
        <v>2021</v>
      </c>
      <c r="B578" s="5" t="s">
        <v>607</v>
      </c>
      <c r="C578" s="5" t="s">
        <v>625</v>
      </c>
      <c r="D578" s="5" t="n">
        <v>23</v>
      </c>
      <c r="E578" s="13" t="n">
        <v>6.48</v>
      </c>
      <c r="F578" s="14" t="n">
        <f aca="false">E578*Assumptions!$D$4</f>
        <v>840.187506233585</v>
      </c>
      <c r="G578" s="14" t="n">
        <v>435</v>
      </c>
      <c r="H578" s="14" t="n">
        <v>590</v>
      </c>
      <c r="I578" s="14" t="n">
        <f aca="false">F578-(G578+H578)/2</f>
        <v>327.687506233585</v>
      </c>
      <c r="J578" s="5" t="str">
        <f aca="false">IF(D578&lt;8,"LOW SAMPLE",IF(F578&gt;H578*(1+Assumptions!$B$10),"UNDERPAID",IF(F578&lt;G578*(1-Assumptions!$B$10),"OVERPAID","FAIR")))</f>
        <v>UNDERPAID</v>
      </c>
      <c r="K578" s="5" t="n">
        <v>41</v>
      </c>
    </row>
    <row r="579" customFormat="false" ht="15" hidden="false" customHeight="false" outlineLevel="0" collapsed="false">
      <c r="A579" s="5" t="n">
        <v>2021</v>
      </c>
      <c r="B579" s="5" t="s">
        <v>607</v>
      </c>
      <c r="C579" s="5" t="s">
        <v>626</v>
      </c>
      <c r="D579" s="5" t="n">
        <v>21</v>
      </c>
      <c r="E579" s="13" t="n">
        <v>5.04</v>
      </c>
      <c r="F579" s="14" t="n">
        <f aca="false">E579*Assumptions!$D$4</f>
        <v>653.47917151501</v>
      </c>
      <c r="G579" s="14" t="n">
        <v>1125</v>
      </c>
      <c r="H579" s="14" t="n">
        <v>1470</v>
      </c>
      <c r="I579" s="14" t="n">
        <f aca="false">F579-(G579+H579)/2</f>
        <v>-644.02082848499</v>
      </c>
      <c r="J579" s="5" t="str">
        <f aca="false">IF(D579&lt;8,"LOW SAMPLE",IF(F579&gt;H579*(1+Assumptions!$B$10),"UNDERPAID",IF(F579&lt;G579*(1-Assumptions!$B$10),"OVERPAID","FAIR")))</f>
        <v>OVERPAID</v>
      </c>
      <c r="K579" s="5" t="n">
        <v>244</v>
      </c>
    </row>
    <row r="580" customFormat="false" ht="15" hidden="false" customHeight="false" outlineLevel="0" collapsed="false">
      <c r="A580" s="5" t="n">
        <v>2021</v>
      </c>
      <c r="B580" s="5" t="s">
        <v>607</v>
      </c>
      <c r="C580" s="5" t="s">
        <v>627</v>
      </c>
      <c r="D580" s="5" t="n">
        <v>21</v>
      </c>
      <c r="E580" s="13" t="n">
        <v>3.4</v>
      </c>
      <c r="F580" s="14" t="n">
        <f aca="false">E580*Assumptions!$D$4</f>
        <v>440.839123641078</v>
      </c>
      <c r="G580" s="14" t="n">
        <v>120</v>
      </c>
      <c r="H580" s="14" t="n">
        <v>215</v>
      </c>
      <c r="I580" s="14" t="n">
        <f aca="false">F580-(G580+H580)/2</f>
        <v>273.339123641078</v>
      </c>
      <c r="J580" s="5" t="str">
        <f aca="false">IF(D580&lt;8,"LOW SAMPLE",IF(F580&gt;H580*(1+Assumptions!$B$10),"UNDERPAID",IF(F580&lt;G580*(1-Assumptions!$B$10),"OVERPAID","FAIR")))</f>
        <v>UNDERPAID</v>
      </c>
      <c r="K580" s="5" t="n">
        <v>10</v>
      </c>
    </row>
    <row r="581" customFormat="false" ht="15" hidden="false" customHeight="false" outlineLevel="0" collapsed="false">
      <c r="A581" s="5" t="n">
        <v>2021</v>
      </c>
      <c r="B581" s="5" t="s">
        <v>607</v>
      </c>
      <c r="C581" s="5" t="s">
        <v>628</v>
      </c>
      <c r="D581" s="5" t="n">
        <v>3</v>
      </c>
      <c r="E581" s="13" t="n">
        <v>0.49</v>
      </c>
      <c r="F581" s="14" t="n">
        <f aca="false">E581*Assumptions!$D$4</f>
        <v>63.532697230626</v>
      </c>
      <c r="G581" s="14" t="n">
        <v>215</v>
      </c>
      <c r="H581" s="14" t="n">
        <v>330</v>
      </c>
      <c r="I581" s="14" t="n">
        <f aca="false">F581-(G581+H581)/2</f>
        <v>-208.967302769374</v>
      </c>
      <c r="J581" s="5" t="str">
        <f aca="false">IF(D581&lt;8,"LOW SAMPLE",IF(F581&gt;H581*(1+Assumptions!$B$10),"UNDERPAID",IF(F581&lt;G581*(1-Assumptions!$B$10),"OVERPAID","FAIR")))</f>
        <v>LOW SAMPLE</v>
      </c>
      <c r="K581" s="5" t="n">
        <v>45</v>
      </c>
    </row>
    <row r="582" customFormat="false" ht="15" hidden="false" customHeight="false" outlineLevel="0" collapsed="false">
      <c r="A582" s="5" t="n">
        <v>2021</v>
      </c>
      <c r="B582" s="5" t="s">
        <v>607</v>
      </c>
      <c r="C582" s="5" t="s">
        <v>629</v>
      </c>
      <c r="D582" s="5" t="n">
        <v>18</v>
      </c>
      <c r="E582" s="13" t="n">
        <v>5.49</v>
      </c>
      <c r="F582" s="14" t="n">
        <f aca="false">E582*Assumptions!$D$4</f>
        <v>711.825526114565</v>
      </c>
      <c r="G582" s="14" t="n">
        <v>435</v>
      </c>
      <c r="H582" s="14" t="n">
        <v>590</v>
      </c>
      <c r="I582" s="14" t="n">
        <f aca="false">F582-(G582+H582)/2</f>
        <v>199.325526114565</v>
      </c>
      <c r="J582" s="5" t="str">
        <f aca="false">IF(D582&lt;8,"LOW SAMPLE",IF(F582&gt;H582*(1+Assumptions!$B$10),"UNDERPAID",IF(F582&lt;G582*(1-Assumptions!$B$10),"OVERPAID","FAIR")))</f>
        <v>UNDERPAID</v>
      </c>
      <c r="K582" s="5" t="n">
        <v>96</v>
      </c>
    </row>
    <row r="583" customFormat="false" ht="15" hidden="false" customHeight="false" outlineLevel="0" collapsed="false">
      <c r="A583" s="5" t="n">
        <v>2021</v>
      </c>
      <c r="B583" s="5" t="s">
        <v>607</v>
      </c>
      <c r="C583" s="5" t="s">
        <v>630</v>
      </c>
      <c r="D583" s="5" t="n">
        <v>6</v>
      </c>
      <c r="E583" s="13" t="n">
        <v>1.07</v>
      </c>
      <c r="F583" s="14" t="n">
        <f aca="false">E583*Assumptions!$D$4</f>
        <v>138.734665381163</v>
      </c>
      <c r="G583" s="14" t="n">
        <v>215</v>
      </c>
      <c r="H583" s="14" t="n">
        <v>330</v>
      </c>
      <c r="I583" s="14" t="n">
        <f aca="false">F583-(G583+H583)/2</f>
        <v>-133.765334618837</v>
      </c>
      <c r="J583" s="5" t="str">
        <f aca="false">IF(D583&lt;8,"LOW SAMPLE",IF(F583&gt;H583*(1+Assumptions!$B$10),"UNDERPAID",IF(F583&lt;G583*(1-Assumptions!$B$10),"OVERPAID","FAIR")))</f>
        <v>LOW SAMPLE</v>
      </c>
      <c r="K583" s="5" t="n">
        <v>46</v>
      </c>
    </row>
    <row r="584" customFormat="false" ht="15" hidden="false" customHeight="false" outlineLevel="0" collapsed="false">
      <c r="A584" s="5" t="n">
        <v>2021</v>
      </c>
      <c r="B584" s="5" t="s">
        <v>607</v>
      </c>
      <c r="C584" s="5" t="s">
        <v>631</v>
      </c>
      <c r="D584" s="5" t="n">
        <v>2</v>
      </c>
      <c r="E584" s="13" t="n">
        <v>0.05</v>
      </c>
      <c r="F584" s="14" t="n">
        <f aca="false">E584*Assumptions!$D$4</f>
        <v>6.48292828883939</v>
      </c>
      <c r="G584" s="14" t="n">
        <v>215</v>
      </c>
      <c r="H584" s="14" t="n">
        <v>330</v>
      </c>
      <c r="I584" s="14" t="n">
        <f aca="false">F584-(G584+H584)/2</f>
        <v>-266.017071711161</v>
      </c>
      <c r="J584" s="5" t="str">
        <f aca="false">IF(D584&lt;8,"LOW SAMPLE",IF(F584&gt;H584*(1+Assumptions!$B$10),"UNDERPAID",IF(F584&lt;G584*(1-Assumptions!$B$10),"OVERPAID","FAIR")))</f>
        <v>LOW SAMPLE</v>
      </c>
      <c r="K584" s="5" t="n">
        <v>99</v>
      </c>
    </row>
    <row r="585" customFormat="false" ht="15" hidden="false" customHeight="false" outlineLevel="0" collapsed="false">
      <c r="A585" s="5" t="n">
        <v>2021</v>
      </c>
      <c r="B585" s="5" t="s">
        <v>607</v>
      </c>
      <c r="C585" s="5" t="s">
        <v>632</v>
      </c>
      <c r="D585" s="5" t="n">
        <v>7</v>
      </c>
      <c r="E585" s="13" t="n">
        <v>1.17</v>
      </c>
      <c r="F585" s="14" t="n">
        <f aca="false">E585*Assumptions!$D$4</f>
        <v>151.700521958842</v>
      </c>
      <c r="G585" s="14" t="n">
        <v>215</v>
      </c>
      <c r="H585" s="14" t="n">
        <v>330</v>
      </c>
      <c r="I585" s="14" t="n">
        <f aca="false">F585-(G585+H585)/2</f>
        <v>-120.799478041158</v>
      </c>
      <c r="J585" s="5" t="str">
        <f aca="false">IF(D585&lt;8,"LOW SAMPLE",IF(F585&gt;H585*(1+Assumptions!$B$10),"UNDERPAID",IF(F585&lt;G585*(1-Assumptions!$B$10),"OVERPAID","FAIR")))</f>
        <v>LOW SAMPLE</v>
      </c>
      <c r="K585" s="5" t="n">
        <v>0</v>
      </c>
    </row>
    <row r="586" customFormat="false" ht="15" hidden="false" customHeight="false" outlineLevel="0" collapsed="false">
      <c r="A586" s="5" t="n">
        <v>2021</v>
      </c>
      <c r="B586" s="5" t="s">
        <v>607</v>
      </c>
      <c r="C586" s="5" t="s">
        <v>633</v>
      </c>
      <c r="D586" s="5" t="n">
        <v>23</v>
      </c>
      <c r="E586" s="13" t="n">
        <v>7.29</v>
      </c>
      <c r="F586" s="14" t="n">
        <f aca="false">E586*Assumptions!$D$4</f>
        <v>945.210944512783</v>
      </c>
      <c r="G586" s="14" t="n">
        <v>820</v>
      </c>
      <c r="H586" s="14" t="n">
        <v>1125</v>
      </c>
      <c r="I586" s="14" t="n">
        <f aca="false">F586-(G586+H586)/2</f>
        <v>-27.2890554872171</v>
      </c>
      <c r="J586" s="5" t="str">
        <f aca="false">IF(D586&lt;8,"LOW SAMPLE",IF(F586&gt;H586*(1+Assumptions!$B$10),"UNDERPAID",IF(F586&lt;G586*(1-Assumptions!$B$10),"OVERPAID","FAIR")))</f>
        <v>FAIR</v>
      </c>
      <c r="K586" s="5" t="n">
        <v>130</v>
      </c>
    </row>
    <row r="587" customFormat="false" ht="15" hidden="false" customHeight="false" outlineLevel="0" collapsed="false">
      <c r="A587" s="5" t="n">
        <v>2021</v>
      </c>
      <c r="B587" s="5" t="s">
        <v>607</v>
      </c>
      <c r="C587" s="5" t="s">
        <v>634</v>
      </c>
      <c r="D587" s="5" t="n">
        <v>1</v>
      </c>
      <c r="E587" s="13" t="n">
        <v>0</v>
      </c>
      <c r="F587" s="14" t="n">
        <f aca="false">E587*Assumptions!$D$4</f>
        <v>0</v>
      </c>
      <c r="G587" s="14" t="n">
        <v>120</v>
      </c>
      <c r="H587" s="14" t="n">
        <v>215</v>
      </c>
      <c r="I587" s="14" t="n">
        <f aca="false">F587-(G587+H587)/2</f>
        <v>-167.5</v>
      </c>
      <c r="J587" s="5" t="str">
        <f aca="false">IF(D587&lt;8,"LOW SAMPLE",IF(F587&gt;H587*(1+Assumptions!$B$10),"UNDERPAID",IF(F587&lt;G587*(1-Assumptions!$B$10),"OVERPAID","FAIR")))</f>
        <v>LOW SAMPLE</v>
      </c>
      <c r="K587" s="5" t="n">
        <v>3</v>
      </c>
    </row>
    <row r="588" customFormat="false" ht="15" hidden="false" customHeight="false" outlineLevel="0" collapsed="false">
      <c r="A588" s="5" t="n">
        <v>2021</v>
      </c>
      <c r="B588" s="5" t="s">
        <v>607</v>
      </c>
      <c r="C588" s="5" t="s">
        <v>635</v>
      </c>
      <c r="D588" s="5" t="n">
        <v>17</v>
      </c>
      <c r="E588" s="13" t="n">
        <v>2.39</v>
      </c>
      <c r="F588" s="14" t="n">
        <f aca="false">E588*Assumptions!$D$4</f>
        <v>309.883972206523</v>
      </c>
      <c r="G588" s="14" t="n">
        <v>330</v>
      </c>
      <c r="H588" s="14" t="n">
        <v>435</v>
      </c>
      <c r="I588" s="14" t="n">
        <f aca="false">F588-(G588+H588)/2</f>
        <v>-72.6160277934772</v>
      </c>
      <c r="J588" s="5" t="str">
        <f aca="false">IF(D588&lt;8,"LOW SAMPLE",IF(F588&gt;H588*(1+Assumptions!$B$10),"UNDERPAID",IF(F588&lt;G588*(1-Assumptions!$B$10),"OVERPAID","FAIR")))</f>
        <v>FAIR</v>
      </c>
      <c r="K588" s="5" t="n">
        <v>37</v>
      </c>
    </row>
    <row r="589" customFormat="false" ht="15" hidden="false" customHeight="false" outlineLevel="0" collapsed="false">
      <c r="A589" s="5" t="n">
        <v>2021</v>
      </c>
      <c r="B589" s="5" t="s">
        <v>607</v>
      </c>
      <c r="C589" s="5" t="s">
        <v>636</v>
      </c>
      <c r="D589" s="5" t="n">
        <v>23</v>
      </c>
      <c r="E589" s="13" t="n">
        <v>4.5</v>
      </c>
      <c r="F589" s="14" t="n">
        <f aca="false">E589*Assumptions!$D$4</f>
        <v>583.463545995545</v>
      </c>
      <c r="G589" s="14" t="n">
        <v>435</v>
      </c>
      <c r="H589" s="14" t="n">
        <v>590</v>
      </c>
      <c r="I589" s="14" t="n">
        <f aca="false">F589-(G589+H589)/2</f>
        <v>70.963545995545</v>
      </c>
      <c r="J589" s="5" t="str">
        <f aca="false">IF(D589&lt;8,"LOW SAMPLE",IF(F589&gt;H589*(1+Assumptions!$B$10),"UNDERPAID",IF(F589&lt;G589*(1-Assumptions!$B$10),"OVERPAID","FAIR")))</f>
        <v>FAIR</v>
      </c>
      <c r="K589" s="5" t="n">
        <v>70</v>
      </c>
    </row>
    <row r="590" customFormat="false" ht="15" hidden="false" customHeight="false" outlineLevel="0" collapsed="false">
      <c r="A590" s="5" t="n">
        <v>2021</v>
      </c>
      <c r="B590" s="5" t="s">
        <v>607</v>
      </c>
      <c r="C590" s="5" t="s">
        <v>637</v>
      </c>
      <c r="D590" s="5" t="n">
        <v>15</v>
      </c>
      <c r="E590" s="13" t="n">
        <v>2.14</v>
      </c>
      <c r="F590" s="14" t="n">
        <f aca="false">E590*Assumptions!$D$4</f>
        <v>277.469330762326</v>
      </c>
      <c r="G590" s="14" t="n">
        <v>330</v>
      </c>
      <c r="H590" s="14" t="n">
        <v>435</v>
      </c>
      <c r="I590" s="14" t="n">
        <f aca="false">F590-(G590+H590)/2</f>
        <v>-105.030669237674</v>
      </c>
      <c r="J590" s="5" t="str">
        <f aca="false">IF(D590&lt;8,"LOW SAMPLE",IF(F590&gt;H590*(1+Assumptions!$B$10),"UNDERPAID",IF(F590&lt;G590*(1-Assumptions!$B$10),"OVERPAID","FAIR")))</f>
        <v>OVERPAID</v>
      </c>
      <c r="K590" s="5" t="n">
        <v>38</v>
      </c>
    </row>
    <row r="591" customFormat="false" ht="15" hidden="false" customHeight="false" outlineLevel="0" collapsed="false">
      <c r="A591" s="5" t="n">
        <v>2021</v>
      </c>
      <c r="B591" s="5" t="s">
        <v>607</v>
      </c>
      <c r="C591" s="5" t="s">
        <v>638</v>
      </c>
      <c r="D591" s="5" t="n">
        <v>3</v>
      </c>
      <c r="E591" s="13" t="n">
        <v>0.09</v>
      </c>
      <c r="F591" s="14" t="n">
        <f aca="false">E591*Assumptions!$D$4</f>
        <v>11.6692709199109</v>
      </c>
      <c r="G591" s="14" t="n">
        <v>330</v>
      </c>
      <c r="H591" s="14" t="n">
        <v>435</v>
      </c>
      <c r="I591" s="14" t="n">
        <f aca="false">F591-(G591+H591)/2</f>
        <v>-370.830729080089</v>
      </c>
      <c r="J591" s="5" t="str">
        <f aca="false">IF(D591&lt;8,"LOW SAMPLE",IF(F591&gt;H591*(1+Assumptions!$B$10),"UNDERPAID",IF(F591&lt;G591*(1-Assumptions!$B$10),"OVERPAID","FAIR")))</f>
        <v>LOW SAMPLE</v>
      </c>
      <c r="K591" s="5" t="n">
        <v>64</v>
      </c>
    </row>
    <row r="592" customFormat="false" ht="15" hidden="false" customHeight="false" outlineLevel="0" collapsed="false">
      <c r="A592" s="5" t="n">
        <v>2021</v>
      </c>
      <c r="B592" s="5" t="s">
        <v>607</v>
      </c>
      <c r="C592" s="5" t="s">
        <v>293</v>
      </c>
      <c r="D592" s="5" t="n">
        <v>10</v>
      </c>
      <c r="E592" s="13" t="n">
        <v>2.32</v>
      </c>
      <c r="F592" s="14" t="n">
        <f aca="false">E592*Assumptions!$D$4</f>
        <v>300.807872602148</v>
      </c>
      <c r="G592" s="14" t="n">
        <v>435</v>
      </c>
      <c r="H592" s="14" t="n">
        <v>590</v>
      </c>
      <c r="I592" s="14" t="n">
        <f aca="false">F592-(G592+H592)/2</f>
        <v>-211.692127397852</v>
      </c>
      <c r="J592" s="5" t="str">
        <f aca="false">IF(D592&lt;8,"LOW SAMPLE",IF(F592&gt;H592*(1+Assumptions!$B$10),"UNDERPAID",IF(F592&lt;G592*(1-Assumptions!$B$10),"OVERPAID","FAIR")))</f>
        <v>OVERPAID</v>
      </c>
      <c r="K592" s="5" t="n">
        <v>146</v>
      </c>
    </row>
    <row r="593" customFormat="false" ht="15" hidden="false" customHeight="false" outlineLevel="0" collapsed="false">
      <c r="A593" s="5" t="n">
        <v>2021</v>
      </c>
      <c r="B593" s="5" t="s">
        <v>607</v>
      </c>
      <c r="C593" s="5" t="s">
        <v>639</v>
      </c>
      <c r="D593" s="5" t="n">
        <v>22</v>
      </c>
      <c r="E593" s="13" t="n">
        <v>3.34</v>
      </c>
      <c r="F593" s="14" t="n">
        <f aca="false">E593*Assumptions!$D$4</f>
        <v>433.059609694471</v>
      </c>
      <c r="G593" s="14" t="n">
        <v>120</v>
      </c>
      <c r="H593" s="14" t="n">
        <v>215</v>
      </c>
      <c r="I593" s="14" t="n">
        <f aca="false">F593-(G593+H593)/2</f>
        <v>265.559609694471</v>
      </c>
      <c r="J593" s="5" t="str">
        <f aca="false">IF(D593&lt;8,"LOW SAMPLE",IF(F593&gt;H593*(1+Assumptions!$B$10),"UNDERPAID",IF(F593&lt;G593*(1-Assumptions!$B$10),"OVERPAID","FAIR")))</f>
        <v>UNDERPAID</v>
      </c>
      <c r="K593" s="5" t="n">
        <v>7</v>
      </c>
    </row>
    <row r="594" customFormat="false" ht="15" hidden="false" customHeight="false" outlineLevel="0" collapsed="false">
      <c r="A594" s="5" t="n">
        <v>2021</v>
      </c>
      <c r="B594" s="5" t="s">
        <v>607</v>
      </c>
      <c r="C594" s="5" t="s">
        <v>640</v>
      </c>
      <c r="D594" s="5" t="n">
        <v>21</v>
      </c>
      <c r="E594" s="13" t="n">
        <v>6.07</v>
      </c>
      <c r="F594" s="14" t="n">
        <f aca="false">E594*Assumptions!$D$4</f>
        <v>787.027494265102</v>
      </c>
      <c r="G594" s="14" t="n">
        <v>215</v>
      </c>
      <c r="H594" s="14" t="n">
        <v>330</v>
      </c>
      <c r="I594" s="14" t="n">
        <f aca="false">F594-(G594+H594)/2</f>
        <v>514.527494265102</v>
      </c>
      <c r="J594" s="5" t="str">
        <f aca="false">IF(D594&lt;8,"LOW SAMPLE",IF(F594&gt;H594*(1+Assumptions!$B$10),"UNDERPAID",IF(F594&lt;G594*(1-Assumptions!$B$10),"OVERPAID","FAIR")))</f>
        <v>UNDERPAID</v>
      </c>
      <c r="K594" s="5" t="n">
        <v>72</v>
      </c>
    </row>
    <row r="595" customFormat="false" ht="15" hidden="false" customHeight="false" outlineLevel="0" collapsed="false">
      <c r="A595" s="5" t="n">
        <v>2021</v>
      </c>
      <c r="B595" s="5" t="s">
        <v>607</v>
      </c>
      <c r="C595" s="5" t="s">
        <v>641</v>
      </c>
      <c r="D595" s="5" t="n">
        <v>22</v>
      </c>
      <c r="E595" s="13" t="n">
        <v>4.33</v>
      </c>
      <c r="F595" s="14" t="n">
        <f aca="false">E595*Assumptions!$D$4</f>
        <v>561.421589813491</v>
      </c>
      <c r="G595" s="14" t="n">
        <v>330</v>
      </c>
      <c r="H595" s="14" t="n">
        <v>435</v>
      </c>
      <c r="I595" s="14" t="n">
        <f aca="false">F595-(G595+H595)/2</f>
        <v>178.921589813491</v>
      </c>
      <c r="J595" s="5" t="str">
        <f aca="false">IF(D595&lt;8,"LOW SAMPLE",IF(F595&gt;H595*(1+Assumptions!$B$10),"UNDERPAID",IF(F595&lt;G595*(1-Assumptions!$B$10),"OVERPAID","FAIR")))</f>
        <v>UNDERPAID</v>
      </c>
      <c r="K595" s="5" t="n">
        <v>48</v>
      </c>
    </row>
    <row r="596" customFormat="false" ht="15" hidden="false" customHeight="false" outlineLevel="0" collapsed="false">
      <c r="A596" s="5" t="n">
        <v>2021</v>
      </c>
      <c r="B596" s="5" t="s">
        <v>607</v>
      </c>
      <c r="C596" s="5" t="s">
        <v>642</v>
      </c>
      <c r="D596" s="5" t="n">
        <v>23</v>
      </c>
      <c r="E596" s="13" t="n">
        <v>5.28</v>
      </c>
      <c r="F596" s="14" t="n">
        <f aca="false">E596*Assumptions!$D$4</f>
        <v>684.59722730144</v>
      </c>
      <c r="G596" s="14" t="n">
        <v>590</v>
      </c>
      <c r="H596" s="14" t="n">
        <v>820</v>
      </c>
      <c r="I596" s="14" t="n">
        <f aca="false">F596-(G596+H596)/2</f>
        <v>-20.4027726985605</v>
      </c>
      <c r="J596" s="5" t="str">
        <f aca="false">IF(D596&lt;8,"LOW SAMPLE",IF(F596&gt;H596*(1+Assumptions!$B$10),"UNDERPAID",IF(F596&lt;G596*(1-Assumptions!$B$10),"OVERPAID","FAIR")))</f>
        <v>FAIR</v>
      </c>
      <c r="K596" s="5" t="n">
        <v>99</v>
      </c>
    </row>
    <row r="597" customFormat="false" ht="15" hidden="false" customHeight="false" outlineLevel="0" collapsed="false">
      <c r="A597" s="5" t="n">
        <v>2021</v>
      </c>
      <c r="B597" s="5" t="s">
        <v>607</v>
      </c>
      <c r="C597" s="5" t="s">
        <v>643</v>
      </c>
      <c r="D597" s="5" t="n">
        <v>20</v>
      </c>
      <c r="E597" s="13" t="n">
        <v>3.7</v>
      </c>
      <c r="F597" s="14" t="n">
        <f aca="false">E597*Assumptions!$D$4</f>
        <v>479.736693374115</v>
      </c>
      <c r="G597" s="14" t="n">
        <v>330</v>
      </c>
      <c r="H597" s="14" t="n">
        <v>435</v>
      </c>
      <c r="I597" s="14" t="n">
        <f aca="false">F597-(G597+H597)/2</f>
        <v>97.2366933741148</v>
      </c>
      <c r="J597" s="5" t="str">
        <f aca="false">IF(D597&lt;8,"LOW SAMPLE",IF(F597&gt;H597*(1+Assumptions!$B$10),"UNDERPAID",IF(F597&lt;G597*(1-Assumptions!$B$10),"OVERPAID","FAIR")))</f>
        <v>FAIR</v>
      </c>
      <c r="K597" s="5" t="n">
        <v>69</v>
      </c>
    </row>
    <row r="598" customFormat="false" ht="15" hidden="false" customHeight="false" outlineLevel="0" collapsed="false">
      <c r="A598" s="5" t="n">
        <v>2021</v>
      </c>
      <c r="B598" s="5" t="s">
        <v>644</v>
      </c>
      <c r="C598" s="5" t="s">
        <v>645</v>
      </c>
      <c r="D598" s="5" t="n">
        <v>9</v>
      </c>
      <c r="E598" s="13" t="n">
        <v>1.77</v>
      </c>
      <c r="F598" s="14" t="n">
        <f aca="false">E598*Assumptions!$D$4</f>
        <v>229.495661424914</v>
      </c>
      <c r="G598" s="14" t="n">
        <v>330</v>
      </c>
      <c r="H598" s="14" t="n">
        <v>435</v>
      </c>
      <c r="I598" s="14" t="n">
        <f aca="false">F598-(G598+H598)/2</f>
        <v>-153.004338575086</v>
      </c>
      <c r="J598" s="5" t="str">
        <f aca="false">IF(D598&lt;8,"LOW SAMPLE",IF(F598&gt;H598*(1+Assumptions!$B$10),"UNDERPAID",IF(F598&lt;G598*(1-Assumptions!$B$10),"OVERPAID","FAIR")))</f>
        <v>OVERPAID</v>
      </c>
      <c r="K598" s="5" t="n">
        <v>59</v>
      </c>
    </row>
    <row r="599" customFormat="false" ht="15" hidden="false" customHeight="false" outlineLevel="0" collapsed="false">
      <c r="A599" s="5" t="n">
        <v>2021</v>
      </c>
      <c r="B599" s="5" t="s">
        <v>644</v>
      </c>
      <c r="C599" s="5" t="s">
        <v>646</v>
      </c>
      <c r="D599" s="5" t="n">
        <v>21</v>
      </c>
      <c r="E599" s="13" t="n">
        <v>4.32</v>
      </c>
      <c r="F599" s="14" t="n">
        <f aca="false">E599*Assumptions!$D$4</f>
        <v>560.125004155723</v>
      </c>
      <c r="G599" s="14" t="n">
        <v>590</v>
      </c>
      <c r="H599" s="14" t="n">
        <v>820</v>
      </c>
      <c r="I599" s="14" t="n">
        <f aca="false">F599-(G599+H599)/2</f>
        <v>-144.874995844277</v>
      </c>
      <c r="J599" s="5" t="str">
        <f aca="false">IF(D599&lt;8,"LOW SAMPLE",IF(F599&gt;H599*(1+Assumptions!$B$10),"UNDERPAID",IF(F599&lt;G599*(1-Assumptions!$B$10),"OVERPAID","FAIR")))</f>
        <v>FAIR</v>
      </c>
      <c r="K599" s="5" t="n">
        <v>130</v>
      </c>
    </row>
    <row r="600" customFormat="false" ht="15" hidden="false" customHeight="false" outlineLevel="0" collapsed="false">
      <c r="A600" s="5" t="n">
        <v>2021</v>
      </c>
      <c r="B600" s="5" t="s">
        <v>644</v>
      </c>
      <c r="C600" s="5" t="s">
        <v>647</v>
      </c>
      <c r="D600" s="5" t="n">
        <v>6</v>
      </c>
      <c r="E600" s="13" t="n">
        <v>0.83</v>
      </c>
      <c r="F600" s="14" t="n">
        <f aca="false">E600*Assumptions!$D$4</f>
        <v>107.616609594734</v>
      </c>
      <c r="G600" s="14" t="n">
        <v>435</v>
      </c>
      <c r="H600" s="14" t="n">
        <v>590</v>
      </c>
      <c r="I600" s="14" t="n">
        <f aca="false">F600-(G600+H600)/2</f>
        <v>-404.883390405266</v>
      </c>
      <c r="J600" s="5" t="str">
        <f aca="false">IF(D600&lt;8,"LOW SAMPLE",IF(F600&gt;H600*(1+Assumptions!$B$10),"UNDERPAID",IF(F600&lt;G600*(1-Assumptions!$B$10),"OVERPAID","FAIR")))</f>
        <v>LOW SAMPLE</v>
      </c>
      <c r="K600" s="5" t="n">
        <v>62</v>
      </c>
    </row>
    <row r="601" customFormat="false" ht="15" hidden="false" customHeight="false" outlineLevel="0" collapsed="false">
      <c r="A601" s="5" t="n">
        <v>2021</v>
      </c>
      <c r="B601" s="5" t="s">
        <v>644</v>
      </c>
      <c r="C601" s="5" t="s">
        <v>648</v>
      </c>
      <c r="D601" s="5" t="n">
        <v>20</v>
      </c>
      <c r="E601" s="13" t="n">
        <v>2.8</v>
      </c>
      <c r="F601" s="14" t="n">
        <f aca="false">E601*Assumptions!$D$4</f>
        <v>363.043984175006</v>
      </c>
      <c r="G601" s="14" t="n">
        <v>435</v>
      </c>
      <c r="H601" s="14" t="n">
        <v>590</v>
      </c>
      <c r="I601" s="14" t="n">
        <f aca="false">F601-(G601+H601)/2</f>
        <v>-149.456015824994</v>
      </c>
      <c r="J601" s="5" t="str">
        <f aca="false">IF(D601&lt;8,"LOW SAMPLE",IF(F601&gt;H601*(1+Assumptions!$B$10),"UNDERPAID",IF(F601&lt;G601*(1-Assumptions!$B$10),"OVERPAID","FAIR")))</f>
        <v>OVERPAID</v>
      </c>
      <c r="K601" s="5" t="n">
        <v>137</v>
      </c>
    </row>
    <row r="602" customFormat="false" ht="15" hidden="false" customHeight="false" outlineLevel="0" collapsed="false">
      <c r="A602" s="5" t="n">
        <v>2021</v>
      </c>
      <c r="B602" s="5" t="s">
        <v>644</v>
      </c>
      <c r="C602" s="5" t="s">
        <v>649</v>
      </c>
      <c r="D602" s="5" t="n">
        <v>2</v>
      </c>
      <c r="E602" s="13" t="n">
        <v>0.04</v>
      </c>
      <c r="F602" s="14" t="n">
        <f aca="false">E602*Assumptions!$D$4</f>
        <v>5.18634263107151</v>
      </c>
      <c r="G602" s="14" t="n">
        <v>120</v>
      </c>
      <c r="H602" s="14" t="n">
        <v>215</v>
      </c>
      <c r="I602" s="14" t="n">
        <f aca="false">F602-(G602+H602)/2</f>
        <v>-162.313657368929</v>
      </c>
      <c r="J602" s="5" t="str">
        <f aca="false">IF(D602&lt;8,"LOW SAMPLE",IF(F602&gt;H602*(1+Assumptions!$B$10),"UNDERPAID",IF(F602&lt;G602*(1-Assumptions!$B$10),"OVERPAID","FAIR")))</f>
        <v>LOW SAMPLE</v>
      </c>
      <c r="K602" s="5" t="n">
        <v>12</v>
      </c>
    </row>
    <row r="603" customFormat="false" ht="15" hidden="false" customHeight="false" outlineLevel="0" collapsed="false">
      <c r="A603" s="5" t="n">
        <v>2021</v>
      </c>
      <c r="B603" s="5" t="s">
        <v>644</v>
      </c>
      <c r="C603" s="5" t="s">
        <v>650</v>
      </c>
      <c r="D603" s="5" t="n">
        <v>6</v>
      </c>
      <c r="E603" s="13" t="n">
        <v>1.01</v>
      </c>
      <c r="F603" s="14" t="n">
        <f aca="false">E603*Assumptions!$D$4</f>
        <v>130.955151434556</v>
      </c>
      <c r="G603" s="14" t="n">
        <v>215</v>
      </c>
      <c r="H603" s="14" t="n">
        <v>330</v>
      </c>
      <c r="I603" s="14" t="n">
        <f aca="false">F603-(G603+H603)/2</f>
        <v>-141.544848565444</v>
      </c>
      <c r="J603" s="5" t="str">
        <f aca="false">IF(D603&lt;8,"LOW SAMPLE",IF(F603&gt;H603*(1+Assumptions!$B$10),"UNDERPAID",IF(F603&lt;G603*(1-Assumptions!$B$10),"OVERPAID","FAIR")))</f>
        <v>LOW SAMPLE</v>
      </c>
      <c r="K603" s="5" t="n">
        <v>52</v>
      </c>
    </row>
    <row r="604" customFormat="false" ht="15" hidden="false" customHeight="false" outlineLevel="0" collapsed="false">
      <c r="A604" s="5" t="n">
        <v>2021</v>
      </c>
      <c r="B604" s="5" t="s">
        <v>644</v>
      </c>
      <c r="C604" s="5" t="s">
        <v>651</v>
      </c>
      <c r="D604" s="5" t="n">
        <v>5</v>
      </c>
      <c r="E604" s="13" t="n">
        <v>0.71</v>
      </c>
      <c r="F604" s="14" t="n">
        <f aca="false">E604*Assumptions!$D$4</f>
        <v>92.0575817015193</v>
      </c>
      <c r="G604" s="14" t="n">
        <v>215</v>
      </c>
      <c r="H604" s="14" t="n">
        <v>330</v>
      </c>
      <c r="I604" s="14" t="n">
        <f aca="false">F604-(G604+H604)/2</f>
        <v>-180.442418298481</v>
      </c>
      <c r="J604" s="5" t="str">
        <f aca="false">IF(D604&lt;8,"LOW SAMPLE",IF(F604&gt;H604*(1+Assumptions!$B$10),"UNDERPAID",IF(F604&lt;G604*(1-Assumptions!$B$10),"OVERPAID","FAIR")))</f>
        <v>LOW SAMPLE</v>
      </c>
      <c r="K604" s="5" t="n">
        <v>0</v>
      </c>
    </row>
    <row r="605" customFormat="false" ht="15" hidden="false" customHeight="false" outlineLevel="0" collapsed="false">
      <c r="A605" s="5" t="n">
        <v>2021</v>
      </c>
      <c r="B605" s="5" t="s">
        <v>644</v>
      </c>
      <c r="C605" s="5" t="s">
        <v>652</v>
      </c>
      <c r="D605" s="5" t="n">
        <v>22</v>
      </c>
      <c r="E605" s="13" t="n">
        <v>5.48</v>
      </c>
      <c r="F605" s="14" t="n">
        <f aca="false">E605*Assumptions!$D$4</f>
        <v>710.528940456797</v>
      </c>
      <c r="G605" s="14" t="n">
        <v>590</v>
      </c>
      <c r="H605" s="14" t="n">
        <v>820</v>
      </c>
      <c r="I605" s="14" t="n">
        <f aca="false">F605-(G605+H605)/2</f>
        <v>5.52894045679705</v>
      </c>
      <c r="J605" s="5" t="str">
        <f aca="false">IF(D605&lt;8,"LOW SAMPLE",IF(F605&gt;H605*(1+Assumptions!$B$10),"UNDERPAID",IF(F605&lt;G605*(1-Assumptions!$B$10),"OVERPAID","FAIR")))</f>
        <v>FAIR</v>
      </c>
      <c r="K605" s="5" t="n">
        <v>109</v>
      </c>
    </row>
    <row r="606" customFormat="false" ht="15" hidden="false" customHeight="false" outlineLevel="0" collapsed="false">
      <c r="A606" s="5" t="n">
        <v>2021</v>
      </c>
      <c r="B606" s="5" t="s">
        <v>644</v>
      </c>
      <c r="C606" s="5" t="s">
        <v>653</v>
      </c>
      <c r="D606" s="5" t="n">
        <v>12</v>
      </c>
      <c r="E606" s="13" t="n">
        <v>3.42</v>
      </c>
      <c r="F606" s="14" t="n">
        <f aca="false">E606*Assumptions!$D$4</f>
        <v>443.432294956614</v>
      </c>
      <c r="G606" s="14" t="n">
        <v>590</v>
      </c>
      <c r="H606" s="14" t="n">
        <v>820</v>
      </c>
      <c r="I606" s="14" t="n">
        <f aca="false">F606-(G606+H606)/2</f>
        <v>-261.567705043386</v>
      </c>
      <c r="J606" s="5" t="str">
        <f aca="false">IF(D606&lt;8,"LOW SAMPLE",IF(F606&gt;H606*(1+Assumptions!$B$10),"UNDERPAID",IF(F606&lt;G606*(1-Assumptions!$B$10),"OVERPAID","FAIR")))</f>
        <v>OVERPAID</v>
      </c>
      <c r="K606" s="5" t="n">
        <v>125</v>
      </c>
    </row>
    <row r="607" customFormat="false" ht="15" hidden="false" customHeight="false" outlineLevel="0" collapsed="false">
      <c r="A607" s="5" t="n">
        <v>2021</v>
      </c>
      <c r="B607" s="5" t="s">
        <v>644</v>
      </c>
      <c r="C607" s="5" t="s">
        <v>654</v>
      </c>
      <c r="D607" s="5" t="n">
        <v>10</v>
      </c>
      <c r="E607" s="13" t="n">
        <v>1.76</v>
      </c>
      <c r="F607" s="14" t="n">
        <f aca="false">E607*Assumptions!$D$4</f>
        <v>228.199075767147</v>
      </c>
      <c r="G607" s="14" t="n">
        <v>120</v>
      </c>
      <c r="H607" s="14" t="n">
        <v>215</v>
      </c>
      <c r="I607" s="14" t="n">
        <f aca="false">F607-(G607+H607)/2</f>
        <v>60.6990757671465</v>
      </c>
      <c r="J607" s="5" t="str">
        <f aca="false">IF(D607&lt;8,"LOW SAMPLE",IF(F607&gt;H607*(1+Assumptions!$B$10),"UNDERPAID",IF(F607&lt;G607*(1-Assumptions!$B$10),"OVERPAID","FAIR")))</f>
        <v>FAIR</v>
      </c>
      <c r="K607" s="5" t="n">
        <v>1</v>
      </c>
    </row>
    <row r="608" customFormat="false" ht="15" hidden="false" customHeight="false" outlineLevel="0" collapsed="false">
      <c r="A608" s="5" t="n">
        <v>2021</v>
      </c>
      <c r="B608" s="5" t="s">
        <v>644</v>
      </c>
      <c r="C608" s="5" t="s">
        <v>655</v>
      </c>
      <c r="D608" s="5" t="n">
        <v>1</v>
      </c>
      <c r="E608" s="13" t="n">
        <v>0.08</v>
      </c>
      <c r="F608" s="14" t="n">
        <f aca="false">E608*Assumptions!$D$4</f>
        <v>10.372685262143</v>
      </c>
      <c r="G608" s="14" t="n">
        <v>215</v>
      </c>
      <c r="H608" s="14" t="n">
        <v>330</v>
      </c>
      <c r="I608" s="14" t="n">
        <f aca="false">F608-(G608+H608)/2</f>
        <v>-262.127314737857</v>
      </c>
      <c r="J608" s="5" t="str">
        <f aca="false">IF(D608&lt;8,"LOW SAMPLE",IF(F608&gt;H608*(1+Assumptions!$B$10),"UNDERPAID",IF(F608&lt;G608*(1-Assumptions!$B$10),"OVERPAID","FAIR")))</f>
        <v>LOW SAMPLE</v>
      </c>
      <c r="K608" s="5" t="n">
        <v>0</v>
      </c>
    </row>
    <row r="609" customFormat="false" ht="15" hidden="false" customHeight="false" outlineLevel="0" collapsed="false">
      <c r="A609" s="5" t="n">
        <v>2021</v>
      </c>
      <c r="B609" s="5" t="s">
        <v>644</v>
      </c>
      <c r="C609" s="5" t="s">
        <v>656</v>
      </c>
      <c r="D609" s="5" t="n">
        <v>22</v>
      </c>
      <c r="E609" s="13" t="n">
        <v>5.79</v>
      </c>
      <c r="F609" s="14" t="n">
        <f aca="false">E609*Assumptions!$D$4</f>
        <v>750.723095847601</v>
      </c>
      <c r="G609" s="14" t="n">
        <v>820</v>
      </c>
      <c r="H609" s="14" t="n">
        <v>1125</v>
      </c>
      <c r="I609" s="14" t="n">
        <f aca="false">F609-(G609+H609)/2</f>
        <v>-221.776904152399</v>
      </c>
      <c r="J609" s="5" t="str">
        <f aca="false">IF(D609&lt;8,"LOW SAMPLE",IF(F609&gt;H609*(1+Assumptions!$B$10),"UNDERPAID",IF(F609&lt;G609*(1-Assumptions!$B$10),"OVERPAID","FAIR")))</f>
        <v>FAIR</v>
      </c>
      <c r="K609" s="5" t="n">
        <v>124</v>
      </c>
    </row>
    <row r="610" customFormat="false" ht="15" hidden="false" customHeight="false" outlineLevel="0" collapsed="false">
      <c r="A610" s="5" t="n">
        <v>2021</v>
      </c>
      <c r="B610" s="5" t="s">
        <v>644</v>
      </c>
      <c r="C610" s="5" t="s">
        <v>657</v>
      </c>
      <c r="D610" s="5" t="n">
        <v>17</v>
      </c>
      <c r="E610" s="13" t="n">
        <v>2.5</v>
      </c>
      <c r="F610" s="14" t="n">
        <f aca="false">E610*Assumptions!$D$4</f>
        <v>324.146414441969</v>
      </c>
      <c r="G610" s="14" t="n">
        <v>120</v>
      </c>
      <c r="H610" s="14" t="n">
        <v>215</v>
      </c>
      <c r="I610" s="14" t="n">
        <f aca="false">F610-(G610+H610)/2</f>
        <v>156.646414441969</v>
      </c>
      <c r="J610" s="5" t="str">
        <f aca="false">IF(D610&lt;8,"LOW SAMPLE",IF(F610&gt;H610*(1+Assumptions!$B$10),"UNDERPAID",IF(F610&lt;G610*(1-Assumptions!$B$10),"OVERPAID","FAIR")))</f>
        <v>UNDERPAID</v>
      </c>
      <c r="K610" s="5" t="n">
        <v>29</v>
      </c>
    </row>
    <row r="611" customFormat="false" ht="15" hidden="false" customHeight="false" outlineLevel="0" collapsed="false">
      <c r="A611" s="5" t="n">
        <v>2021</v>
      </c>
      <c r="B611" s="5" t="s">
        <v>644</v>
      </c>
      <c r="C611" s="5" t="s">
        <v>658</v>
      </c>
      <c r="D611" s="5" t="n">
        <v>18</v>
      </c>
      <c r="E611" s="13" t="n">
        <v>3.81</v>
      </c>
      <c r="F611" s="14" t="n">
        <f aca="false">E611*Assumptions!$D$4</f>
        <v>493.999135609561</v>
      </c>
      <c r="G611" s="14" t="n">
        <v>435</v>
      </c>
      <c r="H611" s="14" t="n">
        <v>590</v>
      </c>
      <c r="I611" s="14" t="n">
        <f aca="false">F611-(G611+H611)/2</f>
        <v>-18.5008643904386</v>
      </c>
      <c r="J611" s="5" t="str">
        <f aca="false">IF(D611&lt;8,"LOW SAMPLE",IF(F611&gt;H611*(1+Assumptions!$B$10),"UNDERPAID",IF(F611&lt;G611*(1-Assumptions!$B$10),"OVERPAID","FAIR")))</f>
        <v>FAIR</v>
      </c>
      <c r="K611" s="5" t="n">
        <v>112</v>
      </c>
    </row>
    <row r="612" customFormat="false" ht="15" hidden="false" customHeight="false" outlineLevel="0" collapsed="false">
      <c r="A612" s="5" t="n">
        <v>2021</v>
      </c>
      <c r="B612" s="5" t="s">
        <v>644</v>
      </c>
      <c r="C612" s="5" t="s">
        <v>659</v>
      </c>
      <c r="D612" s="5" t="n">
        <v>19</v>
      </c>
      <c r="E612" s="13" t="n">
        <v>2.28</v>
      </c>
      <c r="F612" s="14" t="n">
        <f aca="false">E612*Assumptions!$D$4</f>
        <v>295.621529971076</v>
      </c>
      <c r="G612" s="14" t="n">
        <v>215</v>
      </c>
      <c r="H612" s="14" t="n">
        <v>330</v>
      </c>
      <c r="I612" s="14" t="n">
        <f aca="false">F612-(G612+H612)/2</f>
        <v>23.1215299710761</v>
      </c>
      <c r="J612" s="5" t="str">
        <f aca="false">IF(D612&lt;8,"LOW SAMPLE",IF(F612&gt;H612*(1+Assumptions!$B$10),"UNDERPAID",IF(F612&lt;G612*(1-Assumptions!$B$10),"OVERPAID","FAIR")))</f>
        <v>FAIR</v>
      </c>
      <c r="K612" s="5" t="n">
        <v>70</v>
      </c>
    </row>
    <row r="613" customFormat="false" ht="15" hidden="false" customHeight="false" outlineLevel="0" collapsed="false">
      <c r="A613" s="5" t="n">
        <v>2021</v>
      </c>
      <c r="B613" s="5" t="s">
        <v>644</v>
      </c>
      <c r="C613" s="5" t="s">
        <v>660</v>
      </c>
      <c r="D613" s="5" t="n">
        <v>14</v>
      </c>
      <c r="E613" s="13" t="n">
        <v>2.37</v>
      </c>
      <c r="F613" s="14" t="n">
        <f aca="false">E613*Assumptions!$D$4</f>
        <v>307.290800890987</v>
      </c>
      <c r="G613" s="14" t="n">
        <v>215</v>
      </c>
      <c r="H613" s="14" t="n">
        <v>330</v>
      </c>
      <c r="I613" s="14" t="n">
        <f aca="false">F613-(G613+H613)/2</f>
        <v>34.790800890987</v>
      </c>
      <c r="J613" s="5" t="str">
        <f aca="false">IF(D613&lt;8,"LOW SAMPLE",IF(F613&gt;H613*(1+Assumptions!$B$10),"UNDERPAID",IF(F613&lt;G613*(1-Assumptions!$B$10),"OVERPAID","FAIR")))</f>
        <v>FAIR</v>
      </c>
      <c r="K613" s="5" t="n">
        <v>39</v>
      </c>
    </row>
    <row r="614" customFormat="false" ht="15" hidden="false" customHeight="false" outlineLevel="0" collapsed="false">
      <c r="A614" s="5" t="n">
        <v>2021</v>
      </c>
      <c r="B614" s="5" t="s">
        <v>644</v>
      </c>
      <c r="C614" s="5" t="s">
        <v>661</v>
      </c>
      <c r="D614" s="5" t="n">
        <v>15</v>
      </c>
      <c r="E614" s="13" t="n">
        <v>1.88</v>
      </c>
      <c r="F614" s="14" t="n">
        <f aca="false">E614*Assumptions!$D$4</f>
        <v>243.758103660361</v>
      </c>
      <c r="G614" s="14" t="n">
        <v>120</v>
      </c>
      <c r="H614" s="14" t="n">
        <v>215</v>
      </c>
      <c r="I614" s="14" t="n">
        <f aca="false">F614-(G614+H614)/2</f>
        <v>76.258103660361</v>
      </c>
      <c r="J614" s="5" t="str">
        <f aca="false">IF(D614&lt;8,"LOW SAMPLE",IF(F614&gt;H614*(1+Assumptions!$B$10),"UNDERPAID",IF(F614&lt;G614*(1-Assumptions!$B$10),"OVERPAID","FAIR")))</f>
        <v>FAIR</v>
      </c>
      <c r="K614" s="5" t="n">
        <v>9</v>
      </c>
    </row>
    <row r="615" customFormat="false" ht="15" hidden="false" customHeight="false" outlineLevel="0" collapsed="false">
      <c r="A615" s="5" t="n">
        <v>2021</v>
      </c>
      <c r="B615" s="5" t="s">
        <v>644</v>
      </c>
      <c r="C615" s="5" t="s">
        <v>662</v>
      </c>
      <c r="D615" s="5" t="n">
        <v>22</v>
      </c>
      <c r="E615" s="13" t="n">
        <v>4.66</v>
      </c>
      <c r="F615" s="14" t="n">
        <f aca="false">E615*Assumptions!$D$4</f>
        <v>604.208916519831</v>
      </c>
      <c r="G615" s="14" t="n">
        <v>435</v>
      </c>
      <c r="H615" s="14" t="n">
        <v>590</v>
      </c>
      <c r="I615" s="14" t="n">
        <f aca="false">F615-(G615+H615)/2</f>
        <v>91.7089165198311</v>
      </c>
      <c r="J615" s="5" t="str">
        <f aca="false">IF(D615&lt;8,"LOW SAMPLE",IF(F615&gt;H615*(1+Assumptions!$B$10),"UNDERPAID",IF(F615&lt;G615*(1-Assumptions!$B$10),"OVERPAID","FAIR")))</f>
        <v>FAIR</v>
      </c>
      <c r="K615" s="5" t="n">
        <v>127</v>
      </c>
    </row>
    <row r="616" customFormat="false" ht="15" hidden="false" customHeight="false" outlineLevel="0" collapsed="false">
      <c r="A616" s="5" t="n">
        <v>2021</v>
      </c>
      <c r="B616" s="5" t="s">
        <v>644</v>
      </c>
      <c r="C616" s="5" t="s">
        <v>663</v>
      </c>
      <c r="D616" s="5" t="n">
        <v>11</v>
      </c>
      <c r="E616" s="13" t="n">
        <v>1.6</v>
      </c>
      <c r="F616" s="14" t="n">
        <f aca="false">E616*Assumptions!$D$4</f>
        <v>207.45370524286</v>
      </c>
      <c r="G616" s="14" t="n">
        <v>120</v>
      </c>
      <c r="H616" s="14" t="n">
        <v>215</v>
      </c>
      <c r="I616" s="14" t="n">
        <f aca="false">F616-(G616+H616)/2</f>
        <v>39.9537052428605</v>
      </c>
      <c r="J616" s="5" t="str">
        <f aca="false">IF(D616&lt;8,"LOW SAMPLE",IF(F616&gt;H616*(1+Assumptions!$B$10),"UNDERPAID",IF(F616&lt;G616*(1-Assumptions!$B$10),"OVERPAID","FAIR")))</f>
        <v>FAIR</v>
      </c>
      <c r="K616" s="5" t="n">
        <v>11</v>
      </c>
    </row>
    <row r="617" customFormat="false" ht="15" hidden="false" customHeight="false" outlineLevel="0" collapsed="false">
      <c r="A617" s="5" t="n">
        <v>2021</v>
      </c>
      <c r="B617" s="5" t="s">
        <v>644</v>
      </c>
      <c r="C617" s="5" t="s">
        <v>664</v>
      </c>
      <c r="D617" s="5" t="n">
        <v>15</v>
      </c>
      <c r="E617" s="13" t="n">
        <v>3.48</v>
      </c>
      <c r="F617" s="14" t="n">
        <f aca="false">E617*Assumptions!$D$4</f>
        <v>451.211808903222</v>
      </c>
      <c r="G617" s="14" t="n">
        <v>435</v>
      </c>
      <c r="H617" s="14" t="n">
        <v>590</v>
      </c>
      <c r="I617" s="14" t="n">
        <f aca="false">F617-(G617+H617)/2</f>
        <v>-61.2881910967785</v>
      </c>
      <c r="J617" s="5" t="str">
        <f aca="false">IF(D617&lt;8,"LOW SAMPLE",IF(F617&gt;H617*(1+Assumptions!$B$10),"UNDERPAID",IF(F617&lt;G617*(1-Assumptions!$B$10),"OVERPAID","FAIR")))</f>
        <v>FAIR</v>
      </c>
      <c r="K617" s="5" t="n">
        <v>125</v>
      </c>
    </row>
    <row r="618" customFormat="false" ht="15" hidden="false" customHeight="false" outlineLevel="0" collapsed="false">
      <c r="A618" s="5" t="n">
        <v>2021</v>
      </c>
      <c r="B618" s="5" t="s">
        <v>644</v>
      </c>
      <c r="C618" s="5" t="s">
        <v>626</v>
      </c>
      <c r="D618" s="5" t="n">
        <v>18</v>
      </c>
      <c r="E618" s="13" t="n">
        <v>4.67</v>
      </c>
      <c r="F618" s="14" t="n">
        <f aca="false">E618*Assumptions!$D$4</f>
        <v>605.505502177599</v>
      </c>
      <c r="G618" s="14" t="n">
        <v>1125</v>
      </c>
      <c r="H618" s="14" t="n">
        <v>1470</v>
      </c>
      <c r="I618" s="14" t="n">
        <f aca="false">F618-(G618+H618)/2</f>
        <v>-691.994497822401</v>
      </c>
      <c r="J618" s="5" t="str">
        <f aca="false">IF(D618&lt;8,"LOW SAMPLE",IF(F618&gt;H618*(1+Assumptions!$B$10),"UNDERPAID",IF(F618&lt;G618*(1-Assumptions!$B$10),"OVERPAID","FAIR")))</f>
        <v>OVERPAID</v>
      </c>
      <c r="K618" s="5" t="n">
        <v>244</v>
      </c>
    </row>
    <row r="619" customFormat="false" ht="15" hidden="false" customHeight="false" outlineLevel="0" collapsed="false">
      <c r="A619" s="5" t="n">
        <v>2021</v>
      </c>
      <c r="B619" s="5" t="s">
        <v>644</v>
      </c>
      <c r="C619" s="5" t="s">
        <v>665</v>
      </c>
      <c r="D619" s="5" t="n">
        <v>19</v>
      </c>
      <c r="E619" s="13" t="n">
        <v>3.04</v>
      </c>
      <c r="F619" s="14" t="n">
        <f aca="false">E619*Assumptions!$D$4</f>
        <v>394.162039961435</v>
      </c>
      <c r="G619" s="14" t="n">
        <v>120</v>
      </c>
      <c r="H619" s="14" t="n">
        <v>215</v>
      </c>
      <c r="I619" s="14" t="n">
        <f aca="false">F619-(G619+H619)/2</f>
        <v>226.662039961435</v>
      </c>
      <c r="J619" s="5" t="str">
        <f aca="false">IF(D619&lt;8,"LOW SAMPLE",IF(F619&gt;H619*(1+Assumptions!$B$10),"UNDERPAID",IF(F619&lt;G619*(1-Assumptions!$B$10),"OVERPAID","FAIR")))</f>
        <v>UNDERPAID</v>
      </c>
      <c r="K619" s="5" t="n">
        <v>14</v>
      </c>
    </row>
    <row r="620" customFormat="false" ht="15" hidden="false" customHeight="false" outlineLevel="0" collapsed="false">
      <c r="A620" s="5" t="n">
        <v>2021</v>
      </c>
      <c r="B620" s="5" t="s">
        <v>644</v>
      </c>
      <c r="C620" s="5" t="s">
        <v>666</v>
      </c>
      <c r="D620" s="5" t="n">
        <v>14</v>
      </c>
      <c r="E620" s="13" t="n">
        <v>2.27</v>
      </c>
      <c r="F620" s="14" t="n">
        <f aca="false">E620*Assumptions!$D$4</f>
        <v>294.324944313308</v>
      </c>
      <c r="G620" s="14" t="n">
        <v>330</v>
      </c>
      <c r="H620" s="14" t="n">
        <v>435</v>
      </c>
      <c r="I620" s="14" t="n">
        <f aca="false">F620-(G620+H620)/2</f>
        <v>-88.1750556866917</v>
      </c>
      <c r="J620" s="5" t="str">
        <f aca="false">IF(D620&lt;8,"LOW SAMPLE",IF(F620&gt;H620*(1+Assumptions!$B$10),"UNDERPAID",IF(F620&lt;G620*(1-Assumptions!$B$10),"OVERPAID","FAIR")))</f>
        <v>FAIR</v>
      </c>
      <c r="K620" s="5" t="n">
        <v>102</v>
      </c>
    </row>
    <row r="621" customFormat="false" ht="15" hidden="false" customHeight="false" outlineLevel="0" collapsed="false">
      <c r="A621" s="5" t="n">
        <v>2021</v>
      </c>
      <c r="B621" s="5" t="s">
        <v>644</v>
      </c>
      <c r="C621" s="5" t="s">
        <v>667</v>
      </c>
      <c r="D621" s="5" t="n">
        <v>14</v>
      </c>
      <c r="E621" s="13" t="n">
        <v>2.98</v>
      </c>
      <c r="F621" s="14" t="n">
        <f aca="false">E621*Assumptions!$D$4</f>
        <v>386.382526014828</v>
      </c>
      <c r="G621" s="14" t="n">
        <v>590</v>
      </c>
      <c r="H621" s="14" t="n">
        <v>820</v>
      </c>
      <c r="I621" s="14" t="n">
        <f aca="false">F621-(G621+H621)/2</f>
        <v>-318.617473985172</v>
      </c>
      <c r="J621" s="5" t="str">
        <f aca="false">IF(D621&lt;8,"LOW SAMPLE",IF(F621&gt;H621*(1+Assumptions!$B$10),"UNDERPAID",IF(F621&lt;G621*(1-Assumptions!$B$10),"OVERPAID","FAIR")))</f>
        <v>OVERPAID</v>
      </c>
      <c r="K621" s="5" t="n">
        <v>55</v>
      </c>
    </row>
    <row r="622" customFormat="false" ht="15" hidden="false" customHeight="false" outlineLevel="0" collapsed="false">
      <c r="A622" s="5" t="n">
        <v>2021</v>
      </c>
      <c r="B622" s="5" t="s">
        <v>644</v>
      </c>
      <c r="C622" s="5" t="s">
        <v>668</v>
      </c>
      <c r="D622" s="5" t="n">
        <v>8</v>
      </c>
      <c r="E622" s="13" t="n">
        <v>0.69</v>
      </c>
      <c r="F622" s="14" t="n">
        <f aca="false">E622*Assumptions!$D$4</f>
        <v>89.4644103859836</v>
      </c>
      <c r="G622" s="14" t="n">
        <v>215</v>
      </c>
      <c r="H622" s="14" t="n">
        <v>330</v>
      </c>
      <c r="I622" s="14" t="n">
        <f aca="false">F622-(G622+H622)/2</f>
        <v>-183.035589614016</v>
      </c>
      <c r="J622" s="5" t="str">
        <f aca="false">IF(D622&lt;8,"LOW SAMPLE",IF(F622&gt;H622*(1+Assumptions!$B$10),"UNDERPAID",IF(F622&lt;G622*(1-Assumptions!$B$10),"OVERPAID","FAIR")))</f>
        <v>OVERPAID</v>
      </c>
      <c r="K622" s="5" t="n">
        <v>0</v>
      </c>
    </row>
    <row r="623" customFormat="false" ht="15" hidden="false" customHeight="false" outlineLevel="0" collapsed="false">
      <c r="A623" s="5" t="n">
        <v>2021</v>
      </c>
      <c r="B623" s="5" t="s">
        <v>644</v>
      </c>
      <c r="C623" s="5" t="s">
        <v>669</v>
      </c>
      <c r="D623" s="5" t="n">
        <v>6</v>
      </c>
      <c r="E623" s="13" t="n">
        <v>0.85</v>
      </c>
      <c r="F623" s="14" t="n">
        <f aca="false">E623*Assumptions!$D$4</f>
        <v>110.20978091027</v>
      </c>
      <c r="G623" s="14" t="n">
        <v>120</v>
      </c>
      <c r="H623" s="14" t="n">
        <v>215</v>
      </c>
      <c r="I623" s="14" t="n">
        <f aca="false">F623-(G623+H623)/2</f>
        <v>-57.2902190897304</v>
      </c>
      <c r="J623" s="5" t="str">
        <f aca="false">IF(D623&lt;8,"LOW SAMPLE",IF(F623&gt;H623*(1+Assumptions!$B$10),"UNDERPAID",IF(F623&lt;G623*(1-Assumptions!$B$10),"OVERPAID","FAIR")))</f>
        <v>LOW SAMPLE</v>
      </c>
      <c r="K623" s="5" t="n">
        <v>1</v>
      </c>
    </row>
    <row r="624" customFormat="false" ht="15" hidden="false" customHeight="false" outlineLevel="0" collapsed="false">
      <c r="A624" s="5" t="n">
        <v>2021</v>
      </c>
      <c r="B624" s="5" t="s">
        <v>644</v>
      </c>
      <c r="C624" s="5" t="s">
        <v>670</v>
      </c>
      <c r="D624" s="5" t="n">
        <v>7</v>
      </c>
      <c r="E624" s="13" t="n">
        <v>1.81</v>
      </c>
      <c r="F624" s="14" t="n">
        <f aca="false">E624*Assumptions!$D$4</f>
        <v>234.682004055986</v>
      </c>
      <c r="G624" s="14" t="n">
        <v>590</v>
      </c>
      <c r="H624" s="14" t="n">
        <v>820</v>
      </c>
      <c r="I624" s="14" t="n">
        <f aca="false">F624-(G624+H624)/2</f>
        <v>-470.317995944014</v>
      </c>
      <c r="J624" s="5" t="str">
        <f aca="false">IF(D624&lt;8,"LOW SAMPLE",IF(F624&gt;H624*(1+Assumptions!$B$10),"UNDERPAID",IF(F624&lt;G624*(1-Assumptions!$B$10),"OVERPAID","FAIR")))</f>
        <v>LOW SAMPLE</v>
      </c>
      <c r="K624" s="5" t="n">
        <v>128</v>
      </c>
    </row>
    <row r="625" customFormat="false" ht="15" hidden="false" customHeight="false" outlineLevel="0" collapsed="false">
      <c r="A625" s="5" t="n">
        <v>2021</v>
      </c>
      <c r="B625" s="5" t="s">
        <v>644</v>
      </c>
      <c r="C625" s="5" t="s">
        <v>671</v>
      </c>
      <c r="D625" s="5" t="n">
        <v>4</v>
      </c>
      <c r="E625" s="13" t="n">
        <v>0.35</v>
      </c>
      <c r="F625" s="14" t="n">
        <f aca="false">E625*Assumptions!$D$4</f>
        <v>45.3804980218757</v>
      </c>
      <c r="G625" s="14" t="n">
        <v>215</v>
      </c>
      <c r="H625" s="14" t="n">
        <v>330</v>
      </c>
      <c r="I625" s="14" t="n">
        <f aca="false">F625-(G625+H625)/2</f>
        <v>-227.119501978124</v>
      </c>
      <c r="J625" s="5" t="str">
        <f aca="false">IF(D625&lt;8,"LOW SAMPLE",IF(F625&gt;H625*(1+Assumptions!$B$10),"UNDERPAID",IF(F625&lt;G625*(1-Assumptions!$B$10),"OVERPAID","FAIR")))</f>
        <v>LOW SAMPLE</v>
      </c>
      <c r="K625" s="5" t="n">
        <v>91</v>
      </c>
    </row>
    <row r="626" customFormat="false" ht="15" hidden="false" customHeight="false" outlineLevel="0" collapsed="false">
      <c r="A626" s="5" t="n">
        <v>2021</v>
      </c>
      <c r="B626" s="5" t="s">
        <v>644</v>
      </c>
      <c r="C626" s="5" t="s">
        <v>672</v>
      </c>
      <c r="D626" s="5" t="n">
        <v>9</v>
      </c>
      <c r="E626" s="13" t="n">
        <v>1.16</v>
      </c>
      <c r="F626" s="14" t="n">
        <f aca="false">E626*Assumptions!$D$4</f>
        <v>150.403936301074</v>
      </c>
      <c r="G626" s="14" t="n">
        <v>215</v>
      </c>
      <c r="H626" s="14" t="n">
        <v>330</v>
      </c>
      <c r="I626" s="14" t="n">
        <f aca="false">F626-(G626+H626)/2</f>
        <v>-122.096063698926</v>
      </c>
      <c r="J626" s="5" t="str">
        <f aca="false">IF(D626&lt;8,"LOW SAMPLE",IF(F626&gt;H626*(1+Assumptions!$B$10),"UNDERPAID",IF(F626&lt;G626*(1-Assumptions!$B$10),"OVERPAID","FAIR")))</f>
        <v>OVERPAID</v>
      </c>
      <c r="K626" s="5" t="n">
        <v>47</v>
      </c>
    </row>
    <row r="627" customFormat="false" ht="15" hidden="false" customHeight="false" outlineLevel="0" collapsed="false">
      <c r="A627" s="5" t="n">
        <v>2021</v>
      </c>
      <c r="B627" s="5" t="s">
        <v>644</v>
      </c>
      <c r="C627" s="5" t="s">
        <v>673</v>
      </c>
      <c r="D627" s="5" t="n">
        <v>22</v>
      </c>
      <c r="E627" s="13" t="n">
        <v>6.86</v>
      </c>
      <c r="F627" s="14" t="n">
        <f aca="false">E627*Assumptions!$D$4</f>
        <v>889.457761228764</v>
      </c>
      <c r="G627" s="14" t="n">
        <v>435</v>
      </c>
      <c r="H627" s="14" t="n">
        <v>590</v>
      </c>
      <c r="I627" s="14" t="n">
        <f aca="false">F627-(G627+H627)/2</f>
        <v>376.957761228764</v>
      </c>
      <c r="J627" s="5" t="str">
        <f aca="false">IF(D627&lt;8,"LOW SAMPLE",IF(F627&gt;H627*(1+Assumptions!$B$10),"UNDERPAID",IF(F627&lt;G627*(1-Assumptions!$B$10),"OVERPAID","FAIR")))</f>
        <v>UNDERPAID</v>
      </c>
      <c r="K627" s="5" t="n">
        <v>75</v>
      </c>
    </row>
    <row r="628" customFormat="false" ht="15" hidden="false" customHeight="false" outlineLevel="0" collapsed="false">
      <c r="A628" s="5" t="n">
        <v>2021</v>
      </c>
      <c r="B628" s="5" t="s">
        <v>644</v>
      </c>
      <c r="C628" s="5" t="s">
        <v>674</v>
      </c>
      <c r="D628" s="5" t="n">
        <v>21</v>
      </c>
      <c r="E628" s="13" t="n">
        <v>4.87</v>
      </c>
      <c r="F628" s="14" t="n">
        <f aca="false">E628*Assumptions!$D$4</f>
        <v>631.437215332957</v>
      </c>
      <c r="G628" s="14" t="n">
        <v>330</v>
      </c>
      <c r="H628" s="14" t="n">
        <v>435</v>
      </c>
      <c r="I628" s="14" t="n">
        <f aca="false">F628-(G628+H628)/2</f>
        <v>248.937215332957</v>
      </c>
      <c r="J628" s="5" t="str">
        <f aca="false">IF(D628&lt;8,"LOW SAMPLE",IF(F628&gt;H628*(1+Assumptions!$B$10),"UNDERPAID",IF(F628&lt;G628*(1-Assumptions!$B$10),"OVERPAID","FAIR")))</f>
        <v>UNDERPAID</v>
      </c>
      <c r="K628" s="5" t="n">
        <v>38</v>
      </c>
    </row>
    <row r="629" customFormat="false" ht="15" hidden="false" customHeight="false" outlineLevel="0" collapsed="false">
      <c r="A629" s="5" t="n">
        <v>2021</v>
      </c>
      <c r="B629" s="5" t="s">
        <v>644</v>
      </c>
      <c r="C629" s="5" t="s">
        <v>675</v>
      </c>
      <c r="D629" s="5" t="n">
        <v>15</v>
      </c>
      <c r="E629" s="13" t="n">
        <v>3.06</v>
      </c>
      <c r="F629" s="14" t="n">
        <f aca="false">E629*Assumptions!$D$4</f>
        <v>396.755211276971</v>
      </c>
      <c r="G629" s="14" t="n">
        <v>435</v>
      </c>
      <c r="H629" s="14" t="n">
        <v>590</v>
      </c>
      <c r="I629" s="14" t="n">
        <f aca="false">F629-(G629+H629)/2</f>
        <v>-115.744788723029</v>
      </c>
      <c r="J629" s="5" t="str">
        <f aca="false">IF(D629&lt;8,"LOW SAMPLE",IF(F629&gt;H629*(1+Assumptions!$B$10),"UNDERPAID",IF(F629&lt;G629*(1-Assumptions!$B$10),"OVERPAID","FAIR")))</f>
        <v>FAIR</v>
      </c>
      <c r="K629" s="5" t="n">
        <v>134</v>
      </c>
    </row>
    <row r="630" customFormat="false" ht="15" hidden="false" customHeight="false" outlineLevel="0" collapsed="false">
      <c r="A630" s="5" t="n">
        <v>2021</v>
      </c>
      <c r="B630" s="5" t="s">
        <v>644</v>
      </c>
      <c r="C630" s="5" t="s">
        <v>676</v>
      </c>
      <c r="D630" s="5" t="n">
        <v>19</v>
      </c>
      <c r="E630" s="13" t="n">
        <v>4.8</v>
      </c>
      <c r="F630" s="14" t="n">
        <f aca="false">E630*Assumptions!$D$4</f>
        <v>622.361115728581</v>
      </c>
      <c r="G630" s="14" t="n">
        <v>820</v>
      </c>
      <c r="H630" s="14" t="n">
        <v>1125</v>
      </c>
      <c r="I630" s="14" t="n">
        <f aca="false">F630-(G630+H630)/2</f>
        <v>-350.138884271419</v>
      </c>
      <c r="J630" s="5" t="str">
        <f aca="false">IF(D630&lt;8,"LOW SAMPLE",IF(F630&gt;H630*(1+Assumptions!$B$10),"UNDERPAID",IF(F630&lt;G630*(1-Assumptions!$B$10),"OVERPAID","FAIR")))</f>
        <v>OVERPAID</v>
      </c>
      <c r="K630" s="5" t="n">
        <v>66</v>
      </c>
    </row>
    <row r="631" customFormat="false" ht="15" hidden="false" customHeight="false" outlineLevel="0" collapsed="false">
      <c r="A631" s="5" t="n">
        <v>2021</v>
      </c>
      <c r="B631" s="5" t="s">
        <v>644</v>
      </c>
      <c r="C631" s="5" t="s">
        <v>677</v>
      </c>
      <c r="D631" s="5" t="n">
        <v>16</v>
      </c>
      <c r="E631" s="13" t="n">
        <v>3.23</v>
      </c>
      <c r="F631" s="14" t="n">
        <f aca="false">E631*Assumptions!$D$4</f>
        <v>418.797167459025</v>
      </c>
      <c r="G631" s="14" t="n">
        <v>435</v>
      </c>
      <c r="H631" s="14" t="n">
        <v>590</v>
      </c>
      <c r="I631" s="14" t="n">
        <f aca="false">F631-(G631+H631)/2</f>
        <v>-93.7028325409755</v>
      </c>
      <c r="J631" s="5" t="str">
        <f aca="false">IF(D631&lt;8,"LOW SAMPLE",IF(F631&gt;H631*(1+Assumptions!$B$10),"UNDERPAID",IF(F631&lt;G631*(1-Assumptions!$B$10),"OVERPAID","FAIR")))</f>
        <v>FAIR</v>
      </c>
      <c r="K631" s="5" t="n">
        <v>83</v>
      </c>
    </row>
    <row r="632" customFormat="false" ht="15" hidden="false" customHeight="false" outlineLevel="0" collapsed="false">
      <c r="A632" s="5" t="n">
        <v>2021</v>
      </c>
      <c r="B632" s="5" t="s">
        <v>644</v>
      </c>
      <c r="C632" s="5" t="s">
        <v>678</v>
      </c>
      <c r="D632" s="5" t="n">
        <v>22</v>
      </c>
      <c r="E632" s="13" t="n">
        <v>2.82</v>
      </c>
      <c r="F632" s="14" t="n">
        <f aca="false">E632*Assumptions!$D$4</f>
        <v>365.637155490542</v>
      </c>
      <c r="G632" s="14" t="n">
        <v>330</v>
      </c>
      <c r="H632" s="14" t="n">
        <v>435</v>
      </c>
      <c r="I632" s="14" t="n">
        <f aca="false">F632-(G632+H632)/2</f>
        <v>-16.8628445094585</v>
      </c>
      <c r="J632" s="5" t="str">
        <f aca="false">IF(D632&lt;8,"LOW SAMPLE",IF(F632&gt;H632*(1+Assumptions!$B$10),"UNDERPAID",IF(F632&lt;G632*(1-Assumptions!$B$10),"OVERPAID","FAIR")))</f>
        <v>FAIR</v>
      </c>
      <c r="K632" s="5" t="n">
        <v>56</v>
      </c>
    </row>
    <row r="633" customFormat="false" ht="15" hidden="false" customHeight="false" outlineLevel="0" collapsed="false">
      <c r="A633" s="5" t="n">
        <v>2021</v>
      </c>
      <c r="B633" s="5" t="s">
        <v>644</v>
      </c>
      <c r="C633" s="5" t="s">
        <v>679</v>
      </c>
      <c r="D633" s="5" t="n">
        <v>8</v>
      </c>
      <c r="E633" s="13" t="n">
        <v>0.85</v>
      </c>
      <c r="F633" s="14" t="n">
        <f aca="false">E633*Assumptions!$D$4</f>
        <v>110.20978091027</v>
      </c>
      <c r="G633" s="14" t="n">
        <v>120</v>
      </c>
      <c r="H633" s="14" t="n">
        <v>215</v>
      </c>
      <c r="I633" s="14" t="n">
        <f aca="false">F633-(G633+H633)/2</f>
        <v>-57.2902190897304</v>
      </c>
      <c r="J633" s="5" t="str">
        <f aca="false">IF(D633&lt;8,"LOW SAMPLE",IF(F633&gt;H633*(1+Assumptions!$B$10),"UNDERPAID",IF(F633&lt;G633*(1-Assumptions!$B$10),"OVERPAID","FAIR")))</f>
        <v>FAIR</v>
      </c>
      <c r="K633" s="5" t="n">
        <v>5</v>
      </c>
    </row>
    <row r="634" customFormat="false" ht="15" hidden="false" customHeight="false" outlineLevel="0" collapsed="false">
      <c r="A634" s="5" t="n">
        <v>2021</v>
      </c>
      <c r="B634" s="5" t="s">
        <v>644</v>
      </c>
      <c r="C634" s="5" t="s">
        <v>680</v>
      </c>
      <c r="D634" s="5" t="n">
        <v>17</v>
      </c>
      <c r="E634" s="13" t="n">
        <v>1.9</v>
      </c>
      <c r="F634" s="14" t="n">
        <f aca="false">E634*Assumptions!$D$4</f>
        <v>246.351274975897</v>
      </c>
      <c r="G634" s="14" t="n">
        <v>215</v>
      </c>
      <c r="H634" s="14" t="n">
        <v>330</v>
      </c>
      <c r="I634" s="14" t="n">
        <f aca="false">F634-(G634+H634)/2</f>
        <v>-26.1487250241032</v>
      </c>
      <c r="J634" s="5" t="str">
        <f aca="false">IF(D634&lt;8,"LOW SAMPLE",IF(F634&gt;H634*(1+Assumptions!$B$10),"UNDERPAID",IF(F634&lt;G634*(1-Assumptions!$B$10),"OVERPAID","FAIR")))</f>
        <v>FAIR</v>
      </c>
      <c r="K634" s="5" t="n">
        <v>31</v>
      </c>
    </row>
    <row r="635" customFormat="false" ht="15" hidden="false" customHeight="false" outlineLevel="0" collapsed="false">
      <c r="A635" s="5" t="n">
        <v>2021</v>
      </c>
      <c r="B635" s="5" t="s">
        <v>681</v>
      </c>
      <c r="C635" s="5" t="s">
        <v>682</v>
      </c>
      <c r="D635" s="5" t="n">
        <v>25</v>
      </c>
      <c r="E635" s="13" t="n">
        <v>5.9</v>
      </c>
      <c r="F635" s="14" t="n">
        <f aca="false">E635*Assumptions!$D$4</f>
        <v>764.985538083048</v>
      </c>
      <c r="G635" s="14" t="n">
        <v>435</v>
      </c>
      <c r="H635" s="14" t="n">
        <v>590</v>
      </c>
      <c r="I635" s="14" t="n">
        <f aca="false">F635-(G635+H635)/2</f>
        <v>252.485538083048</v>
      </c>
      <c r="J635" s="5" t="str">
        <f aca="false">IF(D635&lt;8,"LOW SAMPLE",IF(F635&gt;H635*(1+Assumptions!$B$10),"UNDERPAID",IF(F635&lt;G635*(1-Assumptions!$B$10),"OVERPAID","FAIR")))</f>
        <v>UNDERPAID</v>
      </c>
      <c r="K635" s="5" t="n">
        <v>53</v>
      </c>
    </row>
    <row r="636" customFormat="false" ht="15" hidden="false" customHeight="false" outlineLevel="0" collapsed="false">
      <c r="A636" s="5" t="n">
        <v>2021</v>
      </c>
      <c r="B636" s="5" t="s">
        <v>681</v>
      </c>
      <c r="C636" s="5" t="s">
        <v>683</v>
      </c>
      <c r="D636" s="5" t="n">
        <v>17</v>
      </c>
      <c r="E636" s="13" t="n">
        <v>3.67</v>
      </c>
      <c r="F636" s="14" t="n">
        <f aca="false">E636*Assumptions!$D$4</f>
        <v>475.846936400811</v>
      </c>
      <c r="G636" s="14" t="n">
        <v>435</v>
      </c>
      <c r="H636" s="14" t="n">
        <v>590</v>
      </c>
      <c r="I636" s="14" t="n">
        <f aca="false">F636-(G636+H636)/2</f>
        <v>-36.6530635991888</v>
      </c>
      <c r="J636" s="5" t="str">
        <f aca="false">IF(D636&lt;8,"LOW SAMPLE",IF(F636&gt;H636*(1+Assumptions!$B$10),"UNDERPAID",IF(F636&lt;G636*(1-Assumptions!$B$10),"OVERPAID","FAIR")))</f>
        <v>FAIR</v>
      </c>
      <c r="K636" s="5" t="n">
        <v>115</v>
      </c>
    </row>
    <row r="637" customFormat="false" ht="15" hidden="false" customHeight="false" outlineLevel="0" collapsed="false">
      <c r="A637" s="5" t="n">
        <v>2021</v>
      </c>
      <c r="B637" s="5" t="s">
        <v>681</v>
      </c>
      <c r="C637" s="5" t="s">
        <v>684</v>
      </c>
      <c r="D637" s="5" t="n">
        <v>23</v>
      </c>
      <c r="E637" s="13" t="n">
        <v>3.59</v>
      </c>
      <c r="F637" s="14" t="n">
        <f aca="false">E637*Assumptions!$D$4</f>
        <v>465.474251138668</v>
      </c>
      <c r="G637" s="14" t="n">
        <v>330</v>
      </c>
      <c r="H637" s="14" t="n">
        <v>435</v>
      </c>
      <c r="I637" s="14" t="n">
        <f aca="false">F637-(G637+H637)/2</f>
        <v>82.9742511386681</v>
      </c>
      <c r="J637" s="5" t="str">
        <f aca="false">IF(D637&lt;8,"LOW SAMPLE",IF(F637&gt;H637*(1+Assumptions!$B$10),"UNDERPAID",IF(F637&lt;G637*(1-Assumptions!$B$10),"OVERPAID","FAIR")))</f>
        <v>FAIR</v>
      </c>
      <c r="K637" s="5" t="n">
        <v>48</v>
      </c>
    </row>
    <row r="638" customFormat="false" ht="15" hidden="false" customHeight="false" outlineLevel="0" collapsed="false">
      <c r="A638" s="5" t="n">
        <v>2021</v>
      </c>
      <c r="B638" s="5" t="s">
        <v>681</v>
      </c>
      <c r="C638" s="5" t="s">
        <v>685</v>
      </c>
      <c r="D638" s="5" t="n">
        <v>21</v>
      </c>
      <c r="E638" s="13" t="n">
        <v>2.15</v>
      </c>
      <c r="F638" s="14" t="n">
        <f aca="false">E638*Assumptions!$D$4</f>
        <v>278.765916420094</v>
      </c>
      <c r="G638" s="14" t="n">
        <v>215</v>
      </c>
      <c r="H638" s="14" t="n">
        <v>330</v>
      </c>
      <c r="I638" s="14" t="n">
        <f aca="false">F638-(G638+H638)/2</f>
        <v>6.26591642009373</v>
      </c>
      <c r="J638" s="5" t="str">
        <f aca="false">IF(D638&lt;8,"LOW SAMPLE",IF(F638&gt;H638*(1+Assumptions!$B$10),"UNDERPAID",IF(F638&lt;G638*(1-Assumptions!$B$10),"OVERPAID","FAIR")))</f>
        <v>FAIR</v>
      </c>
      <c r="K638" s="5" t="n">
        <v>0</v>
      </c>
    </row>
    <row r="639" customFormat="false" ht="15" hidden="false" customHeight="false" outlineLevel="0" collapsed="false">
      <c r="A639" s="5" t="n">
        <v>2021</v>
      </c>
      <c r="B639" s="5" t="s">
        <v>681</v>
      </c>
      <c r="C639" s="5" t="s">
        <v>686</v>
      </c>
      <c r="D639" s="5" t="n">
        <v>26</v>
      </c>
      <c r="E639" s="13" t="n">
        <v>5.81</v>
      </c>
      <c r="F639" s="14" t="n">
        <f aca="false">E639*Assumptions!$D$4</f>
        <v>753.316267163137</v>
      </c>
      <c r="G639" s="14" t="n">
        <v>215</v>
      </c>
      <c r="H639" s="14" t="n">
        <v>330</v>
      </c>
      <c r="I639" s="14" t="n">
        <f aca="false">F639-(G639+H639)/2</f>
        <v>480.816267163137</v>
      </c>
      <c r="J639" s="5" t="str">
        <f aca="false">IF(D639&lt;8,"LOW SAMPLE",IF(F639&gt;H639*(1+Assumptions!$B$10),"UNDERPAID",IF(F639&lt;G639*(1-Assumptions!$B$10),"OVERPAID","FAIR")))</f>
        <v>UNDERPAID</v>
      </c>
      <c r="K639" s="5" t="n">
        <v>59</v>
      </c>
    </row>
    <row r="640" customFormat="false" ht="15" hidden="false" customHeight="false" outlineLevel="0" collapsed="false">
      <c r="A640" s="5" t="n">
        <v>2021</v>
      </c>
      <c r="B640" s="5" t="s">
        <v>681</v>
      </c>
      <c r="C640" s="5" t="s">
        <v>687</v>
      </c>
      <c r="D640" s="5" t="n">
        <v>26</v>
      </c>
      <c r="E640" s="13" t="n">
        <v>5.36</v>
      </c>
      <c r="F640" s="14" t="n">
        <f aca="false">E640*Assumptions!$D$4</f>
        <v>694.969912563583</v>
      </c>
      <c r="G640" s="14" t="n">
        <v>435</v>
      </c>
      <c r="H640" s="14" t="n">
        <v>590</v>
      </c>
      <c r="I640" s="14" t="n">
        <f aca="false">F640-(G640+H640)/2</f>
        <v>182.469912563583</v>
      </c>
      <c r="J640" s="5" t="str">
        <f aca="false">IF(D640&lt;8,"LOW SAMPLE",IF(F640&gt;H640*(1+Assumptions!$B$10),"UNDERPAID",IF(F640&lt;G640*(1-Assumptions!$B$10),"OVERPAID","FAIR")))</f>
        <v>UNDERPAID</v>
      </c>
      <c r="K640" s="5" t="n">
        <v>41</v>
      </c>
    </row>
    <row r="641" customFormat="false" ht="15" hidden="false" customHeight="false" outlineLevel="0" collapsed="false">
      <c r="A641" s="5" t="n">
        <v>2021</v>
      </c>
      <c r="B641" s="5" t="s">
        <v>681</v>
      </c>
      <c r="C641" s="5" t="s">
        <v>647</v>
      </c>
      <c r="D641" s="5" t="n">
        <v>23</v>
      </c>
      <c r="E641" s="13" t="n">
        <v>4.01</v>
      </c>
      <c r="F641" s="14" t="n">
        <f aca="false">E641*Assumptions!$D$4</f>
        <v>519.930848764919</v>
      </c>
      <c r="G641" s="14" t="n">
        <v>435</v>
      </c>
      <c r="H641" s="14" t="n">
        <v>590</v>
      </c>
      <c r="I641" s="14" t="n">
        <f aca="false">F641-(G641+H641)/2</f>
        <v>7.43084876491901</v>
      </c>
      <c r="J641" s="5" t="str">
        <f aca="false">IF(D641&lt;8,"LOW SAMPLE",IF(F641&gt;H641*(1+Assumptions!$B$10),"UNDERPAID",IF(F641&lt;G641*(1-Assumptions!$B$10),"OVERPAID","FAIR")))</f>
        <v>FAIR</v>
      </c>
      <c r="K641" s="5" t="n">
        <v>62</v>
      </c>
    </row>
    <row r="642" customFormat="false" ht="15" hidden="false" customHeight="false" outlineLevel="0" collapsed="false">
      <c r="A642" s="5" t="n">
        <v>2021</v>
      </c>
      <c r="B642" s="5" t="s">
        <v>681</v>
      </c>
      <c r="C642" s="5" t="s">
        <v>688</v>
      </c>
      <c r="D642" s="5" t="n">
        <v>1</v>
      </c>
      <c r="E642" s="13" t="n">
        <v>0.02</v>
      </c>
      <c r="F642" s="14" t="n">
        <f aca="false">E642*Assumptions!$D$4</f>
        <v>2.59317131553576</v>
      </c>
      <c r="G642" s="14" t="n">
        <v>120</v>
      </c>
      <c r="H642" s="14" t="n">
        <v>215</v>
      </c>
      <c r="I642" s="14" t="n">
        <f aca="false">F642-(G642+H642)/2</f>
        <v>-164.906828684464</v>
      </c>
      <c r="J642" s="5" t="str">
        <f aca="false">IF(D642&lt;8,"LOW SAMPLE",IF(F642&gt;H642*(1+Assumptions!$B$10),"UNDERPAID",IF(F642&lt;G642*(1-Assumptions!$B$10),"OVERPAID","FAIR")))</f>
        <v>LOW SAMPLE</v>
      </c>
      <c r="K642" s="5" t="n">
        <v>3</v>
      </c>
    </row>
    <row r="643" customFormat="false" ht="15" hidden="false" customHeight="false" outlineLevel="0" collapsed="false">
      <c r="A643" s="5" t="n">
        <v>2021</v>
      </c>
      <c r="B643" s="5" t="s">
        <v>681</v>
      </c>
      <c r="C643" s="5" t="s">
        <v>689</v>
      </c>
      <c r="D643" s="5" t="n">
        <v>1</v>
      </c>
      <c r="E643" s="13" t="n">
        <v>0.1</v>
      </c>
      <c r="F643" s="14" t="n">
        <f aca="false">E643*Assumptions!$D$4</f>
        <v>12.9658565776788</v>
      </c>
      <c r="G643" s="14" t="n">
        <v>215</v>
      </c>
      <c r="H643" s="14" t="n">
        <v>330</v>
      </c>
      <c r="I643" s="14" t="n">
        <f aca="false">F643-(G643+H643)/2</f>
        <v>-259.534143422321</v>
      </c>
      <c r="J643" s="5" t="str">
        <f aca="false">IF(D643&lt;8,"LOW SAMPLE",IF(F643&gt;H643*(1+Assumptions!$B$10),"UNDERPAID",IF(F643&lt;G643*(1-Assumptions!$B$10),"OVERPAID","FAIR")))</f>
        <v>LOW SAMPLE</v>
      </c>
      <c r="K643" s="5" t="n">
        <v>0</v>
      </c>
    </row>
    <row r="644" customFormat="false" ht="15" hidden="false" customHeight="false" outlineLevel="0" collapsed="false">
      <c r="A644" s="5" t="n">
        <v>2021</v>
      </c>
      <c r="B644" s="5" t="s">
        <v>681</v>
      </c>
      <c r="C644" s="5" t="s">
        <v>690</v>
      </c>
      <c r="D644" s="5" t="n">
        <v>25</v>
      </c>
      <c r="E644" s="13" t="n">
        <v>5.43</v>
      </c>
      <c r="F644" s="14" t="n">
        <f aca="false">E644*Assumptions!$D$4</f>
        <v>704.046012167958</v>
      </c>
      <c r="G644" s="14" t="n">
        <v>435</v>
      </c>
      <c r="H644" s="14" t="n">
        <v>590</v>
      </c>
      <c r="I644" s="14" t="n">
        <f aca="false">F644-(G644+H644)/2</f>
        <v>191.546012167958</v>
      </c>
      <c r="J644" s="5" t="str">
        <f aca="false">IF(D644&lt;8,"LOW SAMPLE",IF(F644&gt;H644*(1+Assumptions!$B$10),"UNDERPAID",IF(F644&lt;G644*(1-Assumptions!$B$10),"OVERPAID","FAIR")))</f>
        <v>UNDERPAID</v>
      </c>
      <c r="K644" s="5" t="n">
        <v>109</v>
      </c>
    </row>
    <row r="645" customFormat="false" ht="15" hidden="false" customHeight="false" outlineLevel="0" collapsed="false">
      <c r="A645" s="5" t="n">
        <v>2021</v>
      </c>
      <c r="B645" s="5" t="s">
        <v>681</v>
      </c>
      <c r="C645" s="5" t="s">
        <v>691</v>
      </c>
      <c r="D645" s="5" t="n">
        <v>16</v>
      </c>
      <c r="E645" s="13" t="n">
        <v>2.96</v>
      </c>
      <c r="F645" s="14" t="n">
        <f aca="false">E645*Assumptions!$D$4</f>
        <v>383.789354699292</v>
      </c>
      <c r="G645" s="14" t="n">
        <v>120</v>
      </c>
      <c r="H645" s="14" t="n">
        <v>215</v>
      </c>
      <c r="I645" s="14" t="n">
        <f aca="false">F645-(G645+H645)/2</f>
        <v>216.289354699292</v>
      </c>
      <c r="J645" s="5" t="str">
        <f aca="false">IF(D645&lt;8,"LOW SAMPLE",IF(F645&gt;H645*(1+Assumptions!$B$10),"UNDERPAID",IF(F645&lt;G645*(1-Assumptions!$B$10),"OVERPAID","FAIR")))</f>
        <v>UNDERPAID</v>
      </c>
      <c r="K645" s="5" t="n">
        <v>3</v>
      </c>
    </row>
    <row r="646" customFormat="false" ht="15" hidden="false" customHeight="false" outlineLevel="0" collapsed="false">
      <c r="A646" s="5" t="n">
        <v>2021</v>
      </c>
      <c r="B646" s="5" t="s">
        <v>681</v>
      </c>
      <c r="C646" s="5" t="s">
        <v>692</v>
      </c>
      <c r="D646" s="5" t="n">
        <v>15</v>
      </c>
      <c r="E646" s="13" t="n">
        <v>1.84</v>
      </c>
      <c r="F646" s="14" t="n">
        <f aca="false">E646*Assumptions!$D$4</f>
        <v>238.57176102929</v>
      </c>
      <c r="G646" s="14" t="n">
        <v>330</v>
      </c>
      <c r="H646" s="14" t="n">
        <v>435</v>
      </c>
      <c r="I646" s="14" t="n">
        <f aca="false">F646-(G646+H646)/2</f>
        <v>-143.92823897071</v>
      </c>
      <c r="J646" s="5" t="str">
        <f aca="false">IF(D646&lt;8,"LOW SAMPLE",IF(F646&gt;H646*(1+Assumptions!$B$10),"UNDERPAID",IF(F646&lt;G646*(1-Assumptions!$B$10),"OVERPAID","FAIR")))</f>
        <v>OVERPAID</v>
      </c>
      <c r="K646" s="5" t="n">
        <v>108</v>
      </c>
    </row>
    <row r="647" customFormat="false" ht="15" hidden="false" customHeight="false" outlineLevel="0" collapsed="false">
      <c r="A647" s="5" t="n">
        <v>2021</v>
      </c>
      <c r="B647" s="5" t="s">
        <v>681</v>
      </c>
      <c r="C647" s="5" t="s">
        <v>693</v>
      </c>
      <c r="D647" s="5" t="n">
        <v>5</v>
      </c>
      <c r="E647" s="13" t="n">
        <v>0.65</v>
      </c>
      <c r="F647" s="14" t="n">
        <f aca="false">E647*Assumptions!$D$4</f>
        <v>84.2780677549121</v>
      </c>
      <c r="G647" s="14" t="n">
        <v>330</v>
      </c>
      <c r="H647" s="14" t="n">
        <v>435</v>
      </c>
      <c r="I647" s="14" t="n">
        <f aca="false">F647-(G647+H647)/2</f>
        <v>-298.221932245088</v>
      </c>
      <c r="J647" s="5" t="str">
        <f aca="false">IF(D647&lt;8,"LOW SAMPLE",IF(F647&gt;H647*(1+Assumptions!$B$10),"UNDERPAID",IF(F647&lt;G647*(1-Assumptions!$B$10),"OVERPAID","FAIR")))</f>
        <v>LOW SAMPLE</v>
      </c>
      <c r="K647" s="5" t="n">
        <v>58</v>
      </c>
    </row>
    <row r="648" customFormat="false" ht="15" hidden="false" customHeight="false" outlineLevel="0" collapsed="false">
      <c r="A648" s="5" t="n">
        <v>2021</v>
      </c>
      <c r="B648" s="5" t="s">
        <v>681</v>
      </c>
      <c r="C648" s="5" t="s">
        <v>694</v>
      </c>
      <c r="D648" s="5" t="n">
        <v>10</v>
      </c>
      <c r="E648" s="13" t="n">
        <v>1.51</v>
      </c>
      <c r="F648" s="14" t="n">
        <f aca="false">E648*Assumptions!$D$4</f>
        <v>195.78443432295</v>
      </c>
      <c r="G648" s="14" t="n">
        <v>330</v>
      </c>
      <c r="H648" s="14" t="n">
        <v>435</v>
      </c>
      <c r="I648" s="14" t="n">
        <f aca="false">F648-(G648+H648)/2</f>
        <v>-186.71556567705</v>
      </c>
      <c r="J648" s="5" t="str">
        <f aca="false">IF(D648&lt;8,"LOW SAMPLE",IF(F648&gt;H648*(1+Assumptions!$B$10),"UNDERPAID",IF(F648&lt;G648*(1-Assumptions!$B$10),"OVERPAID","FAIR")))</f>
        <v>OVERPAID</v>
      </c>
      <c r="K648" s="5" t="n">
        <v>100</v>
      </c>
    </row>
    <row r="649" customFormat="false" ht="15" hidden="false" customHeight="false" outlineLevel="0" collapsed="false">
      <c r="A649" s="5" t="n">
        <v>2021</v>
      </c>
      <c r="B649" s="5" t="s">
        <v>681</v>
      </c>
      <c r="C649" s="5" t="s">
        <v>695</v>
      </c>
      <c r="D649" s="5" t="n">
        <v>26</v>
      </c>
      <c r="E649" s="13" t="n">
        <v>7.69</v>
      </c>
      <c r="F649" s="14" t="n">
        <f aca="false">E649*Assumptions!$D$4</f>
        <v>997.074370823498</v>
      </c>
      <c r="G649" s="14" t="n">
        <v>820</v>
      </c>
      <c r="H649" s="14" t="n">
        <v>1125</v>
      </c>
      <c r="I649" s="14" t="n">
        <f aca="false">F649-(G649+H649)/2</f>
        <v>24.574370823498</v>
      </c>
      <c r="J649" s="5" t="str">
        <f aca="false">IF(D649&lt;8,"LOW SAMPLE",IF(F649&gt;H649*(1+Assumptions!$B$10),"UNDERPAID",IF(F649&lt;G649*(1-Assumptions!$B$10),"OVERPAID","FAIR")))</f>
        <v>FAIR</v>
      </c>
      <c r="K649" s="5" t="n">
        <v>125</v>
      </c>
    </row>
    <row r="650" customFormat="false" ht="15" hidden="false" customHeight="false" outlineLevel="0" collapsed="false">
      <c r="A650" s="5" t="n">
        <v>2021</v>
      </c>
      <c r="B650" s="5" t="s">
        <v>681</v>
      </c>
      <c r="C650" s="5" t="s">
        <v>696</v>
      </c>
      <c r="D650" s="5" t="n">
        <v>5</v>
      </c>
      <c r="E650" s="13" t="n">
        <v>0.71</v>
      </c>
      <c r="F650" s="14" t="n">
        <f aca="false">E650*Assumptions!$D$4</f>
        <v>92.0575817015193</v>
      </c>
      <c r="G650" s="14" t="n">
        <v>215</v>
      </c>
      <c r="H650" s="14" t="n">
        <v>330</v>
      </c>
      <c r="I650" s="14" t="n">
        <f aca="false">F650-(G650+H650)/2</f>
        <v>-180.442418298481</v>
      </c>
      <c r="J650" s="5" t="str">
        <f aca="false">IF(D650&lt;8,"LOW SAMPLE",IF(F650&gt;H650*(1+Assumptions!$B$10),"UNDERPAID",IF(F650&lt;G650*(1-Assumptions!$B$10),"OVERPAID","FAIR")))</f>
        <v>LOW SAMPLE</v>
      </c>
      <c r="K650" s="5" t="n">
        <v>0</v>
      </c>
    </row>
    <row r="651" customFormat="false" ht="15" hidden="false" customHeight="false" outlineLevel="0" collapsed="false">
      <c r="A651" s="5" t="n">
        <v>2021</v>
      </c>
      <c r="B651" s="5" t="s">
        <v>681</v>
      </c>
      <c r="C651" s="5" t="s">
        <v>697</v>
      </c>
      <c r="D651" s="5" t="n">
        <v>25</v>
      </c>
      <c r="E651" s="13" t="n">
        <v>3.02</v>
      </c>
      <c r="F651" s="14" t="n">
        <f aca="false">E651*Assumptions!$D$4</f>
        <v>391.568868645899</v>
      </c>
      <c r="G651" s="14" t="n">
        <v>435</v>
      </c>
      <c r="H651" s="14" t="n">
        <v>590</v>
      </c>
      <c r="I651" s="14" t="n">
        <f aca="false">F651-(G651+H651)/2</f>
        <v>-120.931131354101</v>
      </c>
      <c r="J651" s="5" t="str">
        <f aca="false">IF(D651&lt;8,"LOW SAMPLE",IF(F651&gt;H651*(1+Assumptions!$B$10),"UNDERPAID",IF(F651&lt;G651*(1-Assumptions!$B$10),"OVERPAID","FAIR")))</f>
        <v>FAIR</v>
      </c>
      <c r="K651" s="5" t="n">
        <v>116</v>
      </c>
    </row>
    <row r="652" customFormat="false" ht="15" hidden="false" customHeight="false" outlineLevel="0" collapsed="false">
      <c r="A652" s="5" t="n">
        <v>2021</v>
      </c>
      <c r="B652" s="5" t="s">
        <v>681</v>
      </c>
      <c r="C652" s="5" t="s">
        <v>698</v>
      </c>
      <c r="D652" s="5" t="n">
        <v>5</v>
      </c>
      <c r="E652" s="13" t="n">
        <v>0.85</v>
      </c>
      <c r="F652" s="14" t="n">
        <f aca="false">E652*Assumptions!$D$4</f>
        <v>110.20978091027</v>
      </c>
      <c r="G652" s="14" t="n">
        <v>215</v>
      </c>
      <c r="H652" s="14" t="n">
        <v>330</v>
      </c>
      <c r="I652" s="14" t="n">
        <f aca="false">F652-(G652+H652)/2</f>
        <v>-162.29021908973</v>
      </c>
      <c r="J652" s="5" t="str">
        <f aca="false">IF(D652&lt;8,"LOW SAMPLE",IF(F652&gt;H652*(1+Assumptions!$B$10),"UNDERPAID",IF(F652&lt;G652*(1-Assumptions!$B$10),"OVERPAID","FAIR")))</f>
        <v>LOW SAMPLE</v>
      </c>
      <c r="K652" s="5" t="n">
        <v>0</v>
      </c>
    </row>
    <row r="653" customFormat="false" ht="15" hidden="false" customHeight="false" outlineLevel="0" collapsed="false">
      <c r="A653" s="5" t="n">
        <v>2021</v>
      </c>
      <c r="B653" s="5" t="s">
        <v>681</v>
      </c>
      <c r="C653" s="5" t="s">
        <v>699</v>
      </c>
      <c r="D653" s="5" t="n">
        <v>20</v>
      </c>
      <c r="E653" s="13" t="n">
        <v>4.61</v>
      </c>
      <c r="F653" s="14" t="n">
        <f aca="false">E653*Assumptions!$D$4</f>
        <v>597.725988230992</v>
      </c>
      <c r="G653" s="14" t="n">
        <v>330</v>
      </c>
      <c r="H653" s="14" t="n">
        <v>435</v>
      </c>
      <c r="I653" s="14" t="n">
        <f aca="false">F653-(G653+H653)/2</f>
        <v>215.225988230992</v>
      </c>
      <c r="J653" s="5" t="str">
        <f aca="false">IF(D653&lt;8,"LOW SAMPLE",IF(F653&gt;H653*(1+Assumptions!$B$10),"UNDERPAID",IF(F653&lt;G653*(1-Assumptions!$B$10),"OVERPAID","FAIR")))</f>
        <v>UNDERPAID</v>
      </c>
      <c r="K653" s="5" t="n">
        <v>106</v>
      </c>
    </row>
    <row r="654" customFormat="false" ht="15" hidden="false" customHeight="false" outlineLevel="0" collapsed="false">
      <c r="A654" s="5" t="n">
        <v>2021</v>
      </c>
      <c r="B654" s="5" t="s">
        <v>681</v>
      </c>
      <c r="C654" s="5" t="s">
        <v>700</v>
      </c>
      <c r="D654" s="5" t="n">
        <v>15</v>
      </c>
      <c r="E654" s="13" t="n">
        <v>3.21</v>
      </c>
      <c r="F654" s="14" t="n">
        <f aca="false">E654*Assumptions!$D$4</f>
        <v>416.203996143489</v>
      </c>
      <c r="G654" s="14" t="n">
        <v>590</v>
      </c>
      <c r="H654" s="14" t="n">
        <v>820</v>
      </c>
      <c r="I654" s="14" t="n">
        <f aca="false">F654-(G654+H654)/2</f>
        <v>-288.796003856511</v>
      </c>
      <c r="J654" s="5" t="str">
        <f aca="false">IF(D654&lt;8,"LOW SAMPLE",IF(F654&gt;H654*(1+Assumptions!$B$10),"UNDERPAID",IF(F654&lt;G654*(1-Assumptions!$B$10),"OVERPAID","FAIR")))</f>
        <v>OVERPAID</v>
      </c>
      <c r="K654" s="5" t="n">
        <v>78</v>
      </c>
    </row>
    <row r="655" customFormat="false" ht="15" hidden="false" customHeight="false" outlineLevel="0" collapsed="false">
      <c r="A655" s="5" t="n">
        <v>2021</v>
      </c>
      <c r="B655" s="5" t="s">
        <v>681</v>
      </c>
      <c r="C655" s="5" t="s">
        <v>701</v>
      </c>
      <c r="D655" s="5" t="n">
        <v>9</v>
      </c>
      <c r="E655" s="13" t="n">
        <v>1.3</v>
      </c>
      <c r="F655" s="14" t="n">
        <f aca="false">E655*Assumptions!$D$4</f>
        <v>168.556135509824</v>
      </c>
      <c r="G655" s="14" t="n">
        <v>215</v>
      </c>
      <c r="H655" s="14" t="n">
        <v>330</v>
      </c>
      <c r="I655" s="14" t="n">
        <f aca="false">F655-(G655+H655)/2</f>
        <v>-103.943864490176</v>
      </c>
      <c r="J655" s="5" t="str">
        <f aca="false">IF(D655&lt;8,"LOW SAMPLE",IF(F655&gt;H655*(1+Assumptions!$B$10),"UNDERPAID",IF(F655&lt;G655*(1-Assumptions!$B$10),"OVERPAID","FAIR")))</f>
        <v>OVERPAID</v>
      </c>
      <c r="K655" s="5" t="n">
        <v>56</v>
      </c>
    </row>
    <row r="656" customFormat="false" ht="15" hidden="false" customHeight="false" outlineLevel="0" collapsed="false">
      <c r="A656" s="5" t="n">
        <v>2021</v>
      </c>
      <c r="B656" s="5" t="s">
        <v>681</v>
      </c>
      <c r="C656" s="5" t="s">
        <v>702</v>
      </c>
      <c r="D656" s="5" t="n">
        <v>25</v>
      </c>
      <c r="E656" s="13" t="n">
        <v>4.9</v>
      </c>
      <c r="F656" s="14" t="n">
        <f aca="false">E656*Assumptions!$D$4</f>
        <v>635.32697230626</v>
      </c>
      <c r="G656" s="14" t="n">
        <v>435</v>
      </c>
      <c r="H656" s="14" t="n">
        <v>590</v>
      </c>
      <c r="I656" s="14" t="n">
        <f aca="false">F656-(G656+H656)/2</f>
        <v>122.82697230626</v>
      </c>
      <c r="J656" s="5" t="str">
        <f aca="false">IF(D656&lt;8,"LOW SAMPLE",IF(F656&gt;H656*(1+Assumptions!$B$10),"UNDERPAID",IF(F656&lt;G656*(1-Assumptions!$B$10),"OVERPAID","FAIR")))</f>
        <v>FAIR</v>
      </c>
      <c r="K656" s="5" t="n">
        <v>115</v>
      </c>
    </row>
    <row r="657" customFormat="false" ht="15" hidden="false" customHeight="false" outlineLevel="0" collapsed="false">
      <c r="A657" s="5" t="n">
        <v>2021</v>
      </c>
      <c r="B657" s="5" t="s">
        <v>681</v>
      </c>
      <c r="C657" s="5" t="s">
        <v>703</v>
      </c>
      <c r="D657" s="5" t="n">
        <v>13</v>
      </c>
      <c r="E657" s="13" t="n">
        <v>1.27</v>
      </c>
      <c r="F657" s="14" t="n">
        <f aca="false">E657*Assumptions!$D$4</f>
        <v>164.66637853652</v>
      </c>
      <c r="G657" s="14" t="n">
        <v>215</v>
      </c>
      <c r="H657" s="14" t="n">
        <v>330</v>
      </c>
      <c r="I657" s="14" t="n">
        <f aca="false">F657-(G657+H657)/2</f>
        <v>-107.83362146348</v>
      </c>
      <c r="J657" s="5" t="str">
        <f aca="false">IF(D657&lt;8,"LOW SAMPLE",IF(F657&gt;H657*(1+Assumptions!$B$10),"UNDERPAID",IF(F657&lt;G657*(1-Assumptions!$B$10),"OVERPAID","FAIR")))</f>
        <v>OVERPAID</v>
      </c>
      <c r="K657" s="5" t="n">
        <v>0</v>
      </c>
    </row>
    <row r="658" customFormat="false" ht="15" hidden="false" customHeight="false" outlineLevel="0" collapsed="false">
      <c r="A658" s="5" t="n">
        <v>2021</v>
      </c>
      <c r="B658" s="5" t="s">
        <v>681</v>
      </c>
      <c r="C658" s="5" t="s">
        <v>704</v>
      </c>
      <c r="D658" s="5" t="n">
        <v>11</v>
      </c>
      <c r="E658" s="13" t="n">
        <v>1.33</v>
      </c>
      <c r="F658" s="14" t="n">
        <f aca="false">E658*Assumptions!$D$4</f>
        <v>172.445892483128</v>
      </c>
      <c r="G658" s="14" t="n">
        <v>330</v>
      </c>
      <c r="H658" s="14" t="n">
        <v>435</v>
      </c>
      <c r="I658" s="14" t="n">
        <f aca="false">F658-(G658+H658)/2</f>
        <v>-210.054107516872</v>
      </c>
      <c r="J658" s="5" t="str">
        <f aca="false">IF(D658&lt;8,"LOW SAMPLE",IF(F658&gt;H658*(1+Assumptions!$B$10),"UNDERPAID",IF(F658&lt;G658*(1-Assumptions!$B$10),"OVERPAID","FAIR")))</f>
        <v>OVERPAID</v>
      </c>
      <c r="K658" s="5" t="n">
        <v>12</v>
      </c>
    </row>
    <row r="659" customFormat="false" ht="15" hidden="false" customHeight="false" outlineLevel="0" collapsed="false">
      <c r="A659" s="5" t="n">
        <v>2021</v>
      </c>
      <c r="B659" s="5" t="s">
        <v>681</v>
      </c>
      <c r="C659" s="5" t="s">
        <v>705</v>
      </c>
      <c r="D659" s="5" t="n">
        <v>9</v>
      </c>
      <c r="E659" s="13" t="n">
        <v>1.53</v>
      </c>
      <c r="F659" s="14" t="n">
        <f aca="false">E659*Assumptions!$D$4</f>
        <v>198.377605638485</v>
      </c>
      <c r="G659" s="14" t="n">
        <v>120</v>
      </c>
      <c r="H659" s="14" t="n">
        <v>215</v>
      </c>
      <c r="I659" s="14" t="n">
        <f aca="false">F659-(G659+H659)/2</f>
        <v>30.8776056384853</v>
      </c>
      <c r="J659" s="5" t="str">
        <f aca="false">IF(D659&lt;8,"LOW SAMPLE",IF(F659&gt;H659*(1+Assumptions!$B$10),"UNDERPAID",IF(F659&lt;G659*(1-Assumptions!$B$10),"OVERPAID","FAIR")))</f>
        <v>FAIR</v>
      </c>
      <c r="K659" s="5" t="n">
        <v>15</v>
      </c>
    </row>
    <row r="660" customFormat="false" ht="15" hidden="false" customHeight="false" outlineLevel="0" collapsed="false">
      <c r="A660" s="5" t="n">
        <v>2021</v>
      </c>
      <c r="B660" s="5" t="s">
        <v>681</v>
      </c>
      <c r="C660" s="5" t="s">
        <v>706</v>
      </c>
      <c r="D660" s="5" t="n">
        <v>1</v>
      </c>
      <c r="E660" s="13" t="n">
        <v>0.04</v>
      </c>
      <c r="F660" s="14" t="n">
        <f aca="false">E660*Assumptions!$D$4</f>
        <v>5.18634263107151</v>
      </c>
      <c r="G660" s="14" t="n">
        <v>215</v>
      </c>
      <c r="H660" s="14" t="n">
        <v>330</v>
      </c>
      <c r="I660" s="14" t="n">
        <f aca="false">F660-(G660+H660)/2</f>
        <v>-267.313657368929</v>
      </c>
      <c r="J660" s="5" t="str">
        <f aca="false">IF(D660&lt;8,"LOW SAMPLE",IF(F660&gt;H660*(1+Assumptions!$B$10),"UNDERPAID",IF(F660&lt;G660*(1-Assumptions!$B$10),"OVERPAID","FAIR")))</f>
        <v>LOW SAMPLE</v>
      </c>
      <c r="K660" s="5" t="n">
        <v>54</v>
      </c>
    </row>
    <row r="661" customFormat="false" ht="15" hidden="false" customHeight="false" outlineLevel="0" collapsed="false">
      <c r="A661" s="5" t="n">
        <v>2021</v>
      </c>
      <c r="B661" s="5" t="s">
        <v>681</v>
      </c>
      <c r="C661" s="5" t="s">
        <v>707</v>
      </c>
      <c r="D661" s="5" t="n">
        <v>1</v>
      </c>
      <c r="E661" s="13" t="n">
        <v>0.06</v>
      </c>
      <c r="F661" s="14" t="n">
        <f aca="false">E661*Assumptions!$D$4</f>
        <v>7.77951394660727</v>
      </c>
      <c r="G661" s="14" t="n">
        <v>120</v>
      </c>
      <c r="H661" s="14" t="n">
        <v>215</v>
      </c>
      <c r="I661" s="14" t="n">
        <f aca="false">F661-(G661+H661)/2</f>
        <v>-159.720486053393</v>
      </c>
      <c r="J661" s="5" t="str">
        <f aca="false">IF(D661&lt;8,"LOW SAMPLE",IF(F661&gt;H661*(1+Assumptions!$B$10),"UNDERPAID",IF(F661&lt;G661*(1-Assumptions!$B$10),"OVERPAID","FAIR")))</f>
        <v>LOW SAMPLE</v>
      </c>
      <c r="K661" s="5" t="n">
        <v>2</v>
      </c>
    </row>
    <row r="662" customFormat="false" ht="15" hidden="false" customHeight="false" outlineLevel="0" collapsed="false">
      <c r="A662" s="5" t="n">
        <v>2021</v>
      </c>
      <c r="B662" s="5" t="s">
        <v>681</v>
      </c>
      <c r="C662" s="5" t="s">
        <v>708</v>
      </c>
      <c r="D662" s="5" t="n">
        <v>26</v>
      </c>
      <c r="E662" s="13" t="n">
        <v>9.41</v>
      </c>
      <c r="F662" s="14" t="n">
        <f aca="false">E662*Assumptions!$D$4</f>
        <v>1220.08710395957</v>
      </c>
      <c r="G662" s="14" t="n">
        <v>820</v>
      </c>
      <c r="H662" s="14" t="n">
        <v>1125</v>
      </c>
      <c r="I662" s="14" t="n">
        <f aca="false">F662-(G662+H662)/2</f>
        <v>247.587103959573</v>
      </c>
      <c r="J662" s="5" t="str">
        <f aca="false">IF(D662&lt;8,"LOW SAMPLE",IF(F662&gt;H662*(1+Assumptions!$B$10),"UNDERPAID",IF(F662&lt;G662*(1-Assumptions!$B$10),"OVERPAID","FAIR")))</f>
        <v>FAIR</v>
      </c>
      <c r="K662" s="5" t="n">
        <v>129</v>
      </c>
    </row>
    <row r="663" customFormat="false" ht="15" hidden="false" customHeight="false" outlineLevel="0" collapsed="false">
      <c r="A663" s="5" t="n">
        <v>2021</v>
      </c>
      <c r="B663" s="5" t="s">
        <v>681</v>
      </c>
      <c r="C663" s="5" t="s">
        <v>709</v>
      </c>
      <c r="D663" s="5" t="n">
        <v>17</v>
      </c>
      <c r="E663" s="13" t="n">
        <v>2.3</v>
      </c>
      <c r="F663" s="14" t="n">
        <f aca="false">E663*Assumptions!$D$4</f>
        <v>298.214701286612</v>
      </c>
      <c r="G663" s="14" t="n">
        <v>215</v>
      </c>
      <c r="H663" s="14" t="n">
        <v>330</v>
      </c>
      <c r="I663" s="14" t="n">
        <f aca="false">F663-(G663+H663)/2</f>
        <v>25.7147012866119</v>
      </c>
      <c r="J663" s="5" t="str">
        <f aca="false">IF(D663&lt;8,"LOW SAMPLE",IF(F663&gt;H663*(1+Assumptions!$B$10),"UNDERPAID",IF(F663&lt;G663*(1-Assumptions!$B$10),"OVERPAID","FAIR")))</f>
        <v>FAIR</v>
      </c>
      <c r="K663" s="5" t="n">
        <v>50</v>
      </c>
    </row>
    <row r="664" customFormat="false" ht="15" hidden="false" customHeight="false" outlineLevel="0" collapsed="false">
      <c r="A664" s="5" t="n">
        <v>2021</v>
      </c>
      <c r="B664" s="5" t="s">
        <v>681</v>
      </c>
      <c r="C664" s="5" t="s">
        <v>710</v>
      </c>
      <c r="D664" s="5" t="n">
        <v>6</v>
      </c>
      <c r="E664" s="13" t="n">
        <v>0.7</v>
      </c>
      <c r="F664" s="14" t="n">
        <f aca="false">E664*Assumptions!$D$4</f>
        <v>90.7609960437515</v>
      </c>
      <c r="G664" s="14" t="n">
        <v>435</v>
      </c>
      <c r="H664" s="14" t="n">
        <v>590</v>
      </c>
      <c r="I664" s="14" t="n">
        <f aca="false">F664-(G664+H664)/2</f>
        <v>-421.739003956249</v>
      </c>
      <c r="J664" s="5" t="str">
        <f aca="false">IF(D664&lt;8,"LOW SAMPLE",IF(F664&gt;H664*(1+Assumptions!$B$10),"UNDERPAID",IF(F664&lt;G664*(1-Assumptions!$B$10),"OVERPAID","FAIR")))</f>
        <v>LOW SAMPLE</v>
      </c>
      <c r="K664" s="5" t="n">
        <v>95</v>
      </c>
    </row>
    <row r="665" customFormat="false" ht="15" hidden="false" customHeight="false" outlineLevel="0" collapsed="false">
      <c r="A665" s="5" t="n">
        <v>2021</v>
      </c>
      <c r="B665" s="5" t="s">
        <v>681</v>
      </c>
      <c r="C665" s="5" t="s">
        <v>711</v>
      </c>
      <c r="D665" s="5" t="n">
        <v>11</v>
      </c>
      <c r="E665" s="13" t="n">
        <v>1.3</v>
      </c>
      <c r="F665" s="14" t="n">
        <f aca="false">E665*Assumptions!$D$4</f>
        <v>168.556135509824</v>
      </c>
      <c r="G665" s="14" t="n">
        <v>330</v>
      </c>
      <c r="H665" s="14" t="n">
        <v>435</v>
      </c>
      <c r="I665" s="14" t="n">
        <f aca="false">F665-(G665+H665)/2</f>
        <v>-213.943864490176</v>
      </c>
      <c r="J665" s="5" t="str">
        <f aca="false">IF(D665&lt;8,"LOW SAMPLE",IF(F665&gt;H665*(1+Assumptions!$B$10),"UNDERPAID",IF(F665&lt;G665*(1-Assumptions!$B$10),"OVERPAID","FAIR")))</f>
        <v>OVERPAID</v>
      </c>
      <c r="K665" s="5" t="n">
        <v>45</v>
      </c>
    </row>
    <row r="666" customFormat="false" ht="15" hidden="false" customHeight="false" outlineLevel="0" collapsed="false">
      <c r="A666" s="5" t="n">
        <v>2021</v>
      </c>
      <c r="B666" s="5" t="s">
        <v>681</v>
      </c>
      <c r="C666" s="5" t="s">
        <v>712</v>
      </c>
      <c r="D666" s="5" t="n">
        <v>4</v>
      </c>
      <c r="E666" s="13" t="n">
        <v>0.1</v>
      </c>
      <c r="F666" s="14" t="n">
        <f aca="false">E666*Assumptions!$D$4</f>
        <v>12.9658565776788</v>
      </c>
      <c r="G666" s="14" t="n">
        <v>120</v>
      </c>
      <c r="H666" s="14" t="n">
        <v>215</v>
      </c>
      <c r="I666" s="14" t="n">
        <f aca="false">F666-(G666+H666)/2</f>
        <v>-154.534143422321</v>
      </c>
      <c r="J666" s="5" t="str">
        <f aca="false">IF(D666&lt;8,"LOW SAMPLE",IF(F666&gt;H666*(1+Assumptions!$B$10),"UNDERPAID",IF(F666&lt;G666*(1-Assumptions!$B$10),"OVERPAID","FAIR")))</f>
        <v>LOW SAMPLE</v>
      </c>
      <c r="K666" s="5" t="n">
        <v>7</v>
      </c>
    </row>
    <row r="667" customFormat="false" ht="15" hidden="false" customHeight="false" outlineLevel="0" collapsed="false">
      <c r="A667" s="5" t="n">
        <v>2021</v>
      </c>
      <c r="B667" s="5" t="s">
        <v>681</v>
      </c>
      <c r="C667" s="5" t="s">
        <v>713</v>
      </c>
      <c r="D667" s="5" t="n">
        <v>9</v>
      </c>
      <c r="E667" s="13" t="n">
        <v>1.09</v>
      </c>
      <c r="F667" s="14" t="n">
        <f aca="false">E667*Assumptions!$D$4</f>
        <v>141.327836696699</v>
      </c>
      <c r="G667" s="14" t="n">
        <v>215</v>
      </c>
      <c r="H667" s="14" t="n">
        <v>330</v>
      </c>
      <c r="I667" s="14" t="n">
        <f aca="false">F667-(G667+H667)/2</f>
        <v>-131.172163303301</v>
      </c>
      <c r="J667" s="5" t="str">
        <f aca="false">IF(D667&lt;8,"LOW SAMPLE",IF(F667&gt;H667*(1+Assumptions!$B$10),"UNDERPAID",IF(F667&lt;G667*(1-Assumptions!$B$10),"OVERPAID","FAIR")))</f>
        <v>OVERPAID</v>
      </c>
      <c r="K667" s="5" t="n">
        <v>0</v>
      </c>
    </row>
    <row r="668" customFormat="false" ht="15" hidden="false" customHeight="false" outlineLevel="0" collapsed="false">
      <c r="A668" s="5" t="n">
        <v>2021</v>
      </c>
      <c r="B668" s="5" t="s">
        <v>681</v>
      </c>
      <c r="C668" s="5" t="s">
        <v>714</v>
      </c>
      <c r="D668" s="5" t="n">
        <v>14</v>
      </c>
      <c r="E668" s="13" t="n">
        <v>1.76</v>
      </c>
      <c r="F668" s="14" t="n">
        <f aca="false">E668*Assumptions!$D$4</f>
        <v>228.199075767147</v>
      </c>
      <c r="G668" s="14" t="n">
        <v>120</v>
      </c>
      <c r="H668" s="14" t="n">
        <v>215</v>
      </c>
      <c r="I668" s="14" t="n">
        <f aca="false">F668-(G668+H668)/2</f>
        <v>60.6990757671465</v>
      </c>
      <c r="J668" s="5" t="str">
        <f aca="false">IF(D668&lt;8,"LOW SAMPLE",IF(F668&gt;H668*(1+Assumptions!$B$10),"UNDERPAID",IF(F668&lt;G668*(1-Assumptions!$B$10),"OVERPAID","FAIR")))</f>
        <v>FAIR</v>
      </c>
      <c r="K668" s="5" t="n">
        <v>23</v>
      </c>
    </row>
    <row r="669" customFormat="false" ht="15" hidden="false" customHeight="false" outlineLevel="0" collapsed="false">
      <c r="A669" s="5" t="n">
        <v>2021</v>
      </c>
      <c r="B669" s="5" t="s">
        <v>681</v>
      </c>
      <c r="C669" s="5" t="s">
        <v>715</v>
      </c>
      <c r="D669" s="5" t="n">
        <v>9</v>
      </c>
      <c r="E669" s="13" t="n">
        <v>1.09</v>
      </c>
      <c r="F669" s="14" t="n">
        <f aca="false">E669*Assumptions!$D$4</f>
        <v>141.327836696699</v>
      </c>
      <c r="G669" s="14" t="n">
        <v>120</v>
      </c>
      <c r="H669" s="14" t="n">
        <v>215</v>
      </c>
      <c r="I669" s="14" t="n">
        <f aca="false">F669-(G669+H669)/2</f>
        <v>-26.1721633033013</v>
      </c>
      <c r="J669" s="5" t="str">
        <f aca="false">IF(D669&lt;8,"LOW SAMPLE",IF(F669&gt;H669*(1+Assumptions!$B$10),"UNDERPAID",IF(F669&lt;G669*(1-Assumptions!$B$10),"OVERPAID","FAIR")))</f>
        <v>FAIR</v>
      </c>
      <c r="K669" s="5" t="n">
        <v>12</v>
      </c>
    </row>
    <row r="670" customFormat="false" ht="15" hidden="false" customHeight="false" outlineLevel="0" collapsed="false">
      <c r="A670" s="5" t="n">
        <v>2021</v>
      </c>
      <c r="B670" s="5" t="s">
        <v>681</v>
      </c>
      <c r="C670" s="5" t="s">
        <v>716</v>
      </c>
      <c r="D670" s="5" t="n">
        <v>9</v>
      </c>
      <c r="E670" s="13" t="n">
        <v>1.2</v>
      </c>
      <c r="F670" s="14" t="n">
        <f aca="false">E670*Assumptions!$D$4</f>
        <v>155.590278932145</v>
      </c>
      <c r="G670" s="14" t="n">
        <v>330</v>
      </c>
      <c r="H670" s="14" t="n">
        <v>435</v>
      </c>
      <c r="I670" s="14" t="n">
        <f aca="false">F670-(G670+H670)/2</f>
        <v>-226.909721067855</v>
      </c>
      <c r="J670" s="5" t="str">
        <f aca="false">IF(D670&lt;8,"LOW SAMPLE",IF(F670&gt;H670*(1+Assumptions!$B$10),"UNDERPAID",IF(F670&lt;G670*(1-Assumptions!$B$10),"OVERPAID","FAIR")))</f>
        <v>OVERPAID</v>
      </c>
      <c r="K670" s="5" t="n">
        <v>116</v>
      </c>
    </row>
    <row r="671" customFormat="false" ht="15" hidden="false" customHeight="false" outlineLevel="0" collapsed="false">
      <c r="A671" s="5" t="n">
        <v>2021</v>
      </c>
      <c r="B671" s="5" t="s">
        <v>681</v>
      </c>
      <c r="C671" s="5" t="s">
        <v>717</v>
      </c>
      <c r="D671" s="5" t="n">
        <v>25</v>
      </c>
      <c r="E671" s="13" t="n">
        <v>3.99</v>
      </c>
      <c r="F671" s="14" t="n">
        <f aca="false">E671*Assumptions!$D$4</f>
        <v>517.337677449383</v>
      </c>
      <c r="G671" s="14" t="n">
        <v>215</v>
      </c>
      <c r="H671" s="14" t="n">
        <v>330</v>
      </c>
      <c r="I671" s="14" t="n">
        <f aca="false">F671-(G671+H671)/2</f>
        <v>244.837677449383</v>
      </c>
      <c r="J671" s="5" t="str">
        <f aca="false">IF(D671&lt;8,"LOW SAMPLE",IF(F671&gt;H671*(1+Assumptions!$B$10),"UNDERPAID",IF(F671&lt;G671*(1-Assumptions!$B$10),"OVERPAID","FAIR")))</f>
        <v>UNDERPAID</v>
      </c>
      <c r="K671" s="5" t="n">
        <v>94</v>
      </c>
    </row>
    <row r="672" customFormat="false" ht="15" hidden="false" customHeight="false" outlineLevel="0" collapsed="false">
      <c r="A672" s="5" t="n">
        <v>2021</v>
      </c>
      <c r="B672" s="5" t="s">
        <v>681</v>
      </c>
      <c r="C672" s="5" t="s">
        <v>718</v>
      </c>
      <c r="D672" s="5" t="n">
        <v>22</v>
      </c>
      <c r="E672" s="13" t="n">
        <v>4.78</v>
      </c>
      <c r="F672" s="14" t="n">
        <f aca="false">E672*Assumptions!$D$4</f>
        <v>619.767944413046</v>
      </c>
      <c r="G672" s="14" t="n">
        <v>435</v>
      </c>
      <c r="H672" s="14" t="n">
        <v>590</v>
      </c>
      <c r="I672" s="14" t="n">
        <f aca="false">F672-(G672+H672)/2</f>
        <v>107.267944413046</v>
      </c>
      <c r="J672" s="5" t="str">
        <f aca="false">IF(D672&lt;8,"LOW SAMPLE",IF(F672&gt;H672*(1+Assumptions!$B$10),"UNDERPAID",IF(F672&lt;G672*(1-Assumptions!$B$10),"OVERPAID","FAIR")))</f>
        <v>FAIR</v>
      </c>
      <c r="K672" s="5" t="n">
        <v>47</v>
      </c>
    </row>
    <row r="673" customFormat="false" ht="15" hidden="false" customHeight="false" outlineLevel="0" collapsed="false">
      <c r="A673" s="5" t="n">
        <v>2021</v>
      </c>
      <c r="B673" s="5" t="s">
        <v>681</v>
      </c>
      <c r="C673" s="5" t="s">
        <v>719</v>
      </c>
      <c r="D673" s="5" t="n">
        <v>3</v>
      </c>
      <c r="E673" s="13" t="n">
        <v>0.5</v>
      </c>
      <c r="F673" s="14" t="n">
        <f aca="false">E673*Assumptions!$D$4</f>
        <v>64.8292828883939</v>
      </c>
      <c r="G673" s="14" t="n">
        <v>330</v>
      </c>
      <c r="H673" s="14" t="n">
        <v>435</v>
      </c>
      <c r="I673" s="14" t="n">
        <f aca="false">F673-(G673+H673)/2</f>
        <v>-317.670717111606</v>
      </c>
      <c r="J673" s="5" t="str">
        <f aca="false">IF(D673&lt;8,"LOW SAMPLE",IF(F673&gt;H673*(1+Assumptions!$B$10),"UNDERPAID",IF(F673&lt;G673*(1-Assumptions!$B$10),"OVERPAID","FAIR")))</f>
        <v>LOW SAMPLE</v>
      </c>
      <c r="K673" s="5" t="n">
        <v>91</v>
      </c>
    </row>
    <row r="674" customFormat="false" ht="15" hidden="false" customHeight="false" outlineLevel="0" collapsed="false">
      <c r="A674" s="5" t="n">
        <v>2021</v>
      </c>
      <c r="B674" s="5" t="s">
        <v>681</v>
      </c>
      <c r="C674" s="5" t="s">
        <v>720</v>
      </c>
      <c r="D674" s="5" t="n">
        <v>25</v>
      </c>
      <c r="E674" s="13" t="n">
        <v>7.1</v>
      </c>
      <c r="F674" s="14" t="n">
        <f aca="false">E674*Assumptions!$D$4</f>
        <v>920.575817015193</v>
      </c>
      <c r="G674" s="14" t="n">
        <v>330</v>
      </c>
      <c r="H674" s="14" t="n">
        <v>435</v>
      </c>
      <c r="I674" s="14" t="n">
        <f aca="false">F674-(G674+H674)/2</f>
        <v>538.075817015193</v>
      </c>
      <c r="J674" s="5" t="str">
        <f aca="false">IF(D674&lt;8,"LOW SAMPLE",IF(F674&gt;H674*(1+Assumptions!$B$10),"UNDERPAID",IF(F674&lt;G674*(1-Assumptions!$B$10),"OVERPAID","FAIR")))</f>
        <v>UNDERPAID</v>
      </c>
      <c r="K674" s="5" t="n">
        <v>71</v>
      </c>
    </row>
    <row r="675" customFormat="false" ht="15" hidden="false" customHeight="false" outlineLevel="0" collapsed="false">
      <c r="A675" s="5" t="n">
        <v>2021</v>
      </c>
      <c r="B675" s="5" t="s">
        <v>681</v>
      </c>
      <c r="C675" s="5" t="s">
        <v>721</v>
      </c>
      <c r="D675" s="5" t="n">
        <v>19</v>
      </c>
      <c r="E675" s="13" t="n">
        <v>2.95</v>
      </c>
      <c r="F675" s="14" t="n">
        <f aca="false">E675*Assumptions!$D$4</f>
        <v>382.492769041524</v>
      </c>
      <c r="G675" s="14" t="n">
        <v>330</v>
      </c>
      <c r="H675" s="14" t="n">
        <v>435</v>
      </c>
      <c r="I675" s="14" t="n">
        <f aca="false">F675-(G675+H675)/2</f>
        <v>-0.00723095847604327</v>
      </c>
      <c r="J675" s="5" t="str">
        <f aca="false">IF(D675&lt;8,"LOW SAMPLE",IF(F675&gt;H675*(1+Assumptions!$B$10),"UNDERPAID",IF(F675&lt;G675*(1-Assumptions!$B$10),"OVERPAID","FAIR")))</f>
        <v>FAIR</v>
      </c>
      <c r="K675" s="5" t="n">
        <v>85</v>
      </c>
    </row>
    <row r="676" customFormat="false" ht="15" hidden="false" customHeight="false" outlineLevel="0" collapsed="false">
      <c r="A676" s="5" t="n">
        <v>2022</v>
      </c>
      <c r="B676" s="5" t="s">
        <v>35</v>
      </c>
      <c r="C676" s="5" t="s">
        <v>36</v>
      </c>
      <c r="D676" s="5" t="n">
        <v>1</v>
      </c>
      <c r="E676" s="13" t="n">
        <v>0.08</v>
      </c>
      <c r="F676" s="14" t="n">
        <f aca="false">E676*Assumptions!$D$5</f>
        <v>10.7762032144673</v>
      </c>
      <c r="G676" s="14" t="n">
        <v>225</v>
      </c>
      <c r="H676" s="14" t="n">
        <v>345</v>
      </c>
      <c r="I676" s="14" t="n">
        <f aca="false">F676-(G676+H676)/2</f>
        <v>-274.223796785533</v>
      </c>
      <c r="J676" s="5" t="str">
        <f aca="false">IF(D676&lt;8,"LOW SAMPLE",IF(F676&gt;H676*(1+Assumptions!$B$10),"UNDERPAID",IF(F676&lt;G676*(1-Assumptions!$B$10),"OVERPAID","FAIR")))</f>
        <v>LOW SAMPLE</v>
      </c>
      <c r="K676" s="5" t="n">
        <v>27</v>
      </c>
    </row>
    <row r="677" customFormat="false" ht="15" hidden="false" customHeight="false" outlineLevel="0" collapsed="false">
      <c r="A677" s="5" t="n">
        <v>2022</v>
      </c>
      <c r="B677" s="5" t="s">
        <v>35</v>
      </c>
      <c r="C677" s="5" t="s">
        <v>37</v>
      </c>
      <c r="D677" s="5" t="n">
        <v>5</v>
      </c>
      <c r="E677" s="13" t="n">
        <v>0.15</v>
      </c>
      <c r="F677" s="14" t="n">
        <f aca="false">E677*Assumptions!$D$5</f>
        <v>20.2053810271262</v>
      </c>
      <c r="G677" s="14" t="n">
        <v>125</v>
      </c>
      <c r="H677" s="14" t="n">
        <v>225</v>
      </c>
      <c r="I677" s="14" t="n">
        <f aca="false">F677-(G677+H677)/2</f>
        <v>-154.794618972874</v>
      </c>
      <c r="J677" s="5" t="str">
        <f aca="false">IF(D677&lt;8,"LOW SAMPLE",IF(F677&gt;H677*(1+Assumptions!$B$10),"UNDERPAID",IF(F677&lt;G677*(1-Assumptions!$B$10),"OVERPAID","FAIR")))</f>
        <v>LOW SAMPLE</v>
      </c>
      <c r="K677" s="5" t="n">
        <v>6</v>
      </c>
    </row>
    <row r="678" customFormat="false" ht="15" hidden="false" customHeight="false" outlineLevel="0" collapsed="false">
      <c r="A678" s="5" t="n">
        <v>2022</v>
      </c>
      <c r="B678" s="5" t="s">
        <v>35</v>
      </c>
      <c r="C678" s="5" t="s">
        <v>38</v>
      </c>
      <c r="D678" s="5" t="n">
        <v>22</v>
      </c>
      <c r="E678" s="13" t="n">
        <v>5.8</v>
      </c>
      <c r="F678" s="14" t="n">
        <f aca="false">E678*Assumptions!$D$5</f>
        <v>781.27473304888</v>
      </c>
      <c r="G678" s="14" t="n">
        <v>450</v>
      </c>
      <c r="H678" s="14" t="n">
        <v>615</v>
      </c>
      <c r="I678" s="14" t="n">
        <f aca="false">F678-(G678+H678)/2</f>
        <v>248.77473304888</v>
      </c>
      <c r="J678" s="5" t="str">
        <f aca="false">IF(D678&lt;8,"LOW SAMPLE",IF(F678&gt;H678*(1+Assumptions!$B$10),"UNDERPAID",IF(F678&lt;G678*(1-Assumptions!$B$10),"OVERPAID","FAIR")))</f>
        <v>UNDERPAID</v>
      </c>
      <c r="K678" s="5" t="n">
        <v>68</v>
      </c>
    </row>
    <row r="679" customFormat="false" ht="15" hidden="false" customHeight="false" outlineLevel="0" collapsed="false">
      <c r="A679" s="5" t="n">
        <v>2022</v>
      </c>
      <c r="B679" s="5" t="s">
        <v>35</v>
      </c>
      <c r="C679" s="5" t="s">
        <v>39</v>
      </c>
      <c r="D679" s="5" t="n">
        <v>6</v>
      </c>
      <c r="E679" s="13" t="n">
        <v>1.28</v>
      </c>
      <c r="F679" s="14" t="n">
        <f aca="false">E679*Assumptions!$D$5</f>
        <v>172.419251431477</v>
      </c>
      <c r="G679" s="14" t="n">
        <v>125</v>
      </c>
      <c r="H679" s="14" t="n">
        <v>225</v>
      </c>
      <c r="I679" s="14" t="n">
        <f aca="false">F679-(G679+H679)/2</f>
        <v>-2.58074856852301</v>
      </c>
      <c r="J679" s="5" t="str">
        <f aca="false">IF(D679&lt;8,"LOW SAMPLE",IF(F679&gt;H679*(1+Assumptions!$B$10),"UNDERPAID",IF(F679&lt;G679*(1-Assumptions!$B$10),"OVERPAID","FAIR")))</f>
        <v>LOW SAMPLE</v>
      </c>
      <c r="K679" s="5" t="n">
        <v>18</v>
      </c>
    </row>
    <row r="680" customFormat="false" ht="15" hidden="false" customHeight="false" outlineLevel="0" collapsed="false">
      <c r="A680" s="5" t="n">
        <v>2022</v>
      </c>
      <c r="B680" s="5" t="s">
        <v>35</v>
      </c>
      <c r="C680" s="5" t="s">
        <v>40</v>
      </c>
      <c r="D680" s="5" t="n">
        <v>8</v>
      </c>
      <c r="E680" s="13" t="n">
        <v>0.7</v>
      </c>
      <c r="F680" s="14" t="n">
        <f aca="false">E680*Assumptions!$D$5</f>
        <v>94.291778126589</v>
      </c>
      <c r="G680" s="14" t="n">
        <v>125</v>
      </c>
      <c r="H680" s="14" t="n">
        <v>225</v>
      </c>
      <c r="I680" s="14" t="n">
        <f aca="false">F680-(G680+H680)/2</f>
        <v>-80.708221873411</v>
      </c>
      <c r="J680" s="5" t="str">
        <f aca="false">IF(D680&lt;8,"LOW SAMPLE",IF(F680&gt;H680*(1+Assumptions!$B$10),"UNDERPAID",IF(F680&lt;G680*(1-Assumptions!$B$10),"OVERPAID","FAIR")))</f>
        <v>OVERPAID</v>
      </c>
      <c r="K680" s="5" t="n">
        <v>3</v>
      </c>
    </row>
    <row r="681" customFormat="false" ht="15" hidden="false" customHeight="false" outlineLevel="0" collapsed="false">
      <c r="A681" s="5" t="n">
        <v>2022</v>
      </c>
      <c r="B681" s="5" t="s">
        <v>35</v>
      </c>
      <c r="C681" s="5" t="s">
        <v>41</v>
      </c>
      <c r="D681" s="5" t="n">
        <v>21</v>
      </c>
      <c r="E681" s="13" t="n">
        <v>4.44</v>
      </c>
      <c r="F681" s="14" t="n">
        <f aca="false">E681*Assumptions!$D$5</f>
        <v>598.079278402936</v>
      </c>
      <c r="G681" s="14" t="n">
        <v>615</v>
      </c>
      <c r="H681" s="14" t="n">
        <v>855</v>
      </c>
      <c r="I681" s="14" t="n">
        <f aca="false">F681-(G681+H681)/2</f>
        <v>-136.920721597064</v>
      </c>
      <c r="J681" s="5" t="str">
        <f aca="false">IF(D681&lt;8,"LOW SAMPLE",IF(F681&gt;H681*(1+Assumptions!$B$10),"UNDERPAID",IF(F681&lt;G681*(1-Assumptions!$B$10),"OVERPAID","FAIR")))</f>
        <v>FAIR</v>
      </c>
      <c r="K681" s="5" t="n">
        <v>128</v>
      </c>
    </row>
    <row r="682" customFormat="false" ht="15" hidden="false" customHeight="false" outlineLevel="0" collapsed="false">
      <c r="A682" s="5" t="n">
        <v>2022</v>
      </c>
      <c r="B682" s="5" t="s">
        <v>35</v>
      </c>
      <c r="C682" s="5" t="s">
        <v>42</v>
      </c>
      <c r="D682" s="5" t="n">
        <v>20</v>
      </c>
      <c r="E682" s="13" t="n">
        <v>2.44</v>
      </c>
      <c r="F682" s="14" t="n">
        <f aca="false">E682*Assumptions!$D$5</f>
        <v>328.674198041253</v>
      </c>
      <c r="G682" s="14" t="n">
        <v>225</v>
      </c>
      <c r="H682" s="14" t="n">
        <v>345</v>
      </c>
      <c r="I682" s="14" t="n">
        <f aca="false">F682-(G682+H682)/2</f>
        <v>43.674198041253</v>
      </c>
      <c r="J682" s="5" t="str">
        <f aca="false">IF(D682&lt;8,"LOW SAMPLE",IF(F682&gt;H682*(1+Assumptions!$B$10),"UNDERPAID",IF(F682&lt;G682*(1-Assumptions!$B$10),"OVERPAID","FAIR")))</f>
        <v>FAIR</v>
      </c>
      <c r="K682" s="5" t="n">
        <v>38</v>
      </c>
    </row>
    <row r="683" customFormat="false" ht="15" hidden="false" customHeight="false" outlineLevel="0" collapsed="false">
      <c r="A683" s="5" t="n">
        <v>2022</v>
      </c>
      <c r="B683" s="5" t="s">
        <v>35</v>
      </c>
      <c r="C683" s="5" t="s">
        <v>43</v>
      </c>
      <c r="D683" s="5" t="n">
        <v>17</v>
      </c>
      <c r="E683" s="13" t="n">
        <v>4</v>
      </c>
      <c r="F683" s="14" t="n">
        <f aca="false">E683*Assumptions!$D$5</f>
        <v>538.810160723366</v>
      </c>
      <c r="G683" s="14" t="n">
        <v>345</v>
      </c>
      <c r="H683" s="14" t="n">
        <v>450</v>
      </c>
      <c r="I683" s="14" t="n">
        <f aca="false">F683-(G683+H683)/2</f>
        <v>141.310160723366</v>
      </c>
      <c r="J683" s="5" t="str">
        <f aca="false">IF(D683&lt;8,"LOW SAMPLE",IF(F683&gt;H683*(1+Assumptions!$B$10),"UNDERPAID",IF(F683&lt;G683*(1-Assumptions!$B$10),"OVERPAID","FAIR")))</f>
        <v>UNDERPAID</v>
      </c>
      <c r="K683" s="5" t="n">
        <v>41</v>
      </c>
    </row>
    <row r="684" customFormat="false" ht="15" hidden="false" customHeight="false" outlineLevel="0" collapsed="false">
      <c r="A684" s="5" t="n">
        <v>2022</v>
      </c>
      <c r="B684" s="5" t="s">
        <v>35</v>
      </c>
      <c r="C684" s="5" t="s">
        <v>45</v>
      </c>
      <c r="D684" s="5" t="n">
        <v>11</v>
      </c>
      <c r="E684" s="13" t="n">
        <v>2.06</v>
      </c>
      <c r="F684" s="14" t="n">
        <f aca="false">E684*Assumptions!$D$5</f>
        <v>277.487232772533</v>
      </c>
      <c r="G684" s="14" t="n">
        <v>225</v>
      </c>
      <c r="H684" s="14" t="n">
        <v>345</v>
      </c>
      <c r="I684" s="14" t="n">
        <f aca="false">F684-(G684+H684)/2</f>
        <v>-7.51276722746673</v>
      </c>
      <c r="J684" s="5" t="str">
        <f aca="false">IF(D684&lt;8,"LOW SAMPLE",IF(F684&gt;H684*(1+Assumptions!$B$10),"UNDERPAID",IF(F684&lt;G684*(1-Assumptions!$B$10),"OVERPAID","FAIR")))</f>
        <v>FAIR</v>
      </c>
      <c r="K684" s="5" t="n">
        <v>27</v>
      </c>
    </row>
    <row r="685" customFormat="false" ht="15" hidden="false" customHeight="false" outlineLevel="0" collapsed="false">
      <c r="A685" s="5" t="n">
        <v>2022</v>
      </c>
      <c r="B685" s="5" t="s">
        <v>35</v>
      </c>
      <c r="C685" s="5" t="s">
        <v>46</v>
      </c>
      <c r="D685" s="5" t="n">
        <v>16</v>
      </c>
      <c r="E685" s="13" t="n">
        <v>2.98</v>
      </c>
      <c r="F685" s="14" t="n">
        <f aca="false">E685*Assumptions!$D$5</f>
        <v>401.413569738907</v>
      </c>
      <c r="G685" s="14" t="n">
        <v>345</v>
      </c>
      <c r="H685" s="14" t="n">
        <v>450</v>
      </c>
      <c r="I685" s="14" t="n">
        <f aca="false">F685-(G685+H685)/2</f>
        <v>3.91356973890737</v>
      </c>
      <c r="J685" s="5" t="str">
        <f aca="false">IF(D685&lt;8,"LOW SAMPLE",IF(F685&gt;H685*(1+Assumptions!$B$10),"UNDERPAID",IF(F685&lt;G685*(1-Assumptions!$B$10),"OVERPAID","FAIR")))</f>
        <v>FAIR</v>
      </c>
      <c r="K685" s="5" t="n">
        <v>30</v>
      </c>
    </row>
    <row r="686" customFormat="false" ht="15" hidden="false" customHeight="false" outlineLevel="0" collapsed="false">
      <c r="A686" s="5" t="n">
        <v>2022</v>
      </c>
      <c r="B686" s="5" t="s">
        <v>35</v>
      </c>
      <c r="C686" s="5" t="s">
        <v>47</v>
      </c>
      <c r="D686" s="5" t="n">
        <v>11</v>
      </c>
      <c r="E686" s="13" t="n">
        <v>1.83</v>
      </c>
      <c r="F686" s="14" t="n">
        <f aca="false">E686*Assumptions!$D$5</f>
        <v>246.50564853094</v>
      </c>
      <c r="G686" s="14" t="n">
        <v>125</v>
      </c>
      <c r="H686" s="14" t="n">
        <v>225</v>
      </c>
      <c r="I686" s="14" t="n">
        <f aca="false">F686-(G686+H686)/2</f>
        <v>71.5056485309398</v>
      </c>
      <c r="J686" s="5" t="str">
        <f aca="false">IF(D686&lt;8,"LOW SAMPLE",IF(F686&gt;H686*(1+Assumptions!$B$10),"UNDERPAID",IF(F686&lt;G686*(1-Assumptions!$B$10),"OVERPAID","FAIR")))</f>
        <v>FAIR</v>
      </c>
      <c r="K686" s="5" t="n">
        <v>16</v>
      </c>
    </row>
    <row r="687" customFormat="false" ht="15" hidden="false" customHeight="false" outlineLevel="0" collapsed="false">
      <c r="A687" s="5" t="n">
        <v>2022</v>
      </c>
      <c r="B687" s="5" t="s">
        <v>35</v>
      </c>
      <c r="C687" s="5" t="s">
        <v>722</v>
      </c>
      <c r="D687" s="5" t="n">
        <v>16</v>
      </c>
      <c r="E687" s="13" t="n">
        <v>2.52</v>
      </c>
      <c r="F687" s="14" t="n">
        <f aca="false">E687*Assumptions!$D$5</f>
        <v>339.45040125572</v>
      </c>
      <c r="G687" s="14" t="n">
        <v>225</v>
      </c>
      <c r="H687" s="14" t="n">
        <v>345</v>
      </c>
      <c r="I687" s="14" t="n">
        <f aca="false">F687-(G687+H687)/2</f>
        <v>54.4504012557203</v>
      </c>
      <c r="J687" s="5" t="str">
        <f aca="false">IF(D687&lt;8,"LOW SAMPLE",IF(F687&gt;H687*(1+Assumptions!$B$10),"UNDERPAID",IF(F687&lt;G687*(1-Assumptions!$B$10),"OVERPAID","FAIR")))</f>
        <v>FAIR</v>
      </c>
      <c r="K687" s="5" t="n">
        <v>0</v>
      </c>
    </row>
    <row r="688" customFormat="false" ht="15" hidden="false" customHeight="false" outlineLevel="0" collapsed="false">
      <c r="A688" s="5" t="n">
        <v>2022</v>
      </c>
      <c r="B688" s="5" t="s">
        <v>35</v>
      </c>
      <c r="C688" s="5" t="s">
        <v>49</v>
      </c>
      <c r="D688" s="5" t="n">
        <v>17</v>
      </c>
      <c r="E688" s="13" t="n">
        <v>2.25</v>
      </c>
      <c r="F688" s="14" t="n">
        <f aca="false">E688*Assumptions!$D$5</f>
        <v>303.080715406893</v>
      </c>
      <c r="G688" s="14" t="n">
        <v>345</v>
      </c>
      <c r="H688" s="14" t="n">
        <v>450</v>
      </c>
      <c r="I688" s="14" t="n">
        <f aca="false">F688-(G688+H688)/2</f>
        <v>-94.4192845931069</v>
      </c>
      <c r="J688" s="5" t="str">
        <f aca="false">IF(D688&lt;8,"LOW SAMPLE",IF(F688&gt;H688*(1+Assumptions!$B$10),"UNDERPAID",IF(F688&lt;G688*(1-Assumptions!$B$10),"OVERPAID","FAIR")))</f>
        <v>FAIR</v>
      </c>
      <c r="K688" s="5" t="n">
        <v>19</v>
      </c>
    </row>
    <row r="689" customFormat="false" ht="15" hidden="false" customHeight="false" outlineLevel="0" collapsed="false">
      <c r="A689" s="5" t="n">
        <v>2022</v>
      </c>
      <c r="B689" s="5" t="s">
        <v>35</v>
      </c>
      <c r="C689" s="5" t="s">
        <v>625</v>
      </c>
      <c r="D689" s="5" t="n">
        <v>22</v>
      </c>
      <c r="E689" s="13" t="n">
        <v>6.4</v>
      </c>
      <c r="F689" s="14" t="n">
        <f aca="false">E689*Assumptions!$D$5</f>
        <v>862.096257157385</v>
      </c>
      <c r="G689" s="14" t="n">
        <v>615</v>
      </c>
      <c r="H689" s="14" t="n">
        <v>855</v>
      </c>
      <c r="I689" s="14" t="n">
        <f aca="false">F689-(G689+H689)/2</f>
        <v>127.096257157385</v>
      </c>
      <c r="J689" s="5" t="str">
        <f aca="false">IF(D689&lt;8,"LOW SAMPLE",IF(F689&gt;H689*(1+Assumptions!$B$10),"UNDERPAID",IF(F689&lt;G689*(1-Assumptions!$B$10),"OVERPAID","FAIR")))</f>
        <v>FAIR</v>
      </c>
      <c r="K689" s="5" t="n">
        <v>64</v>
      </c>
    </row>
    <row r="690" customFormat="false" ht="15" hidden="false" customHeight="false" outlineLevel="0" collapsed="false">
      <c r="A690" s="5" t="n">
        <v>2022</v>
      </c>
      <c r="B690" s="5" t="s">
        <v>35</v>
      </c>
      <c r="C690" s="5" t="s">
        <v>50</v>
      </c>
      <c r="D690" s="5" t="n">
        <v>19</v>
      </c>
      <c r="E690" s="13" t="n">
        <v>2.39</v>
      </c>
      <c r="F690" s="14" t="n">
        <f aca="false">E690*Assumptions!$D$5</f>
        <v>321.939071032211</v>
      </c>
      <c r="G690" s="14" t="n">
        <v>345</v>
      </c>
      <c r="H690" s="14" t="n">
        <v>450</v>
      </c>
      <c r="I690" s="14" t="n">
        <f aca="false">F690-(G690+H690)/2</f>
        <v>-75.560928967789</v>
      </c>
      <c r="J690" s="5" t="str">
        <f aca="false">IF(D690&lt;8,"LOW SAMPLE",IF(F690&gt;H690*(1+Assumptions!$B$10),"UNDERPAID",IF(F690&lt;G690*(1-Assumptions!$B$10),"OVERPAID","FAIR")))</f>
        <v>FAIR</v>
      </c>
      <c r="K690" s="5" t="n">
        <v>24</v>
      </c>
    </row>
    <row r="691" customFormat="false" ht="15" hidden="false" customHeight="false" outlineLevel="0" collapsed="false">
      <c r="A691" s="5" t="n">
        <v>2022</v>
      </c>
      <c r="B691" s="5" t="s">
        <v>35</v>
      </c>
      <c r="C691" s="5" t="s">
        <v>723</v>
      </c>
      <c r="D691" s="5" t="n">
        <v>13</v>
      </c>
      <c r="E691" s="13" t="n">
        <v>2.08</v>
      </c>
      <c r="F691" s="14" t="n">
        <f aca="false">E691*Assumptions!$D$5</f>
        <v>280.18128357615</v>
      </c>
      <c r="G691" s="14" t="n">
        <v>225</v>
      </c>
      <c r="H691" s="14" t="n">
        <v>345</v>
      </c>
      <c r="I691" s="14" t="n">
        <f aca="false">F691-(G691+H691)/2</f>
        <v>-4.81871642384988</v>
      </c>
      <c r="J691" s="5" t="str">
        <f aca="false">IF(D691&lt;8,"LOW SAMPLE",IF(F691&gt;H691*(1+Assumptions!$B$10),"UNDERPAID",IF(F691&lt;G691*(1-Assumptions!$B$10),"OVERPAID","FAIR")))</f>
        <v>FAIR</v>
      </c>
      <c r="K691" s="5" t="n">
        <v>0</v>
      </c>
    </row>
    <row r="692" customFormat="false" ht="15" hidden="false" customHeight="false" outlineLevel="0" collapsed="false">
      <c r="A692" s="5" t="n">
        <v>2022</v>
      </c>
      <c r="B692" s="5" t="s">
        <v>35</v>
      </c>
      <c r="C692" s="5" t="s">
        <v>51</v>
      </c>
      <c r="D692" s="5" t="n">
        <v>4</v>
      </c>
      <c r="E692" s="13" t="n">
        <v>0.81</v>
      </c>
      <c r="F692" s="14" t="n">
        <f aca="false">E692*Assumptions!$D$5</f>
        <v>109.109057546482</v>
      </c>
      <c r="G692" s="14" t="n">
        <v>125</v>
      </c>
      <c r="H692" s="14" t="n">
        <v>225</v>
      </c>
      <c r="I692" s="14" t="n">
        <f aca="false">F692-(G692+H692)/2</f>
        <v>-65.8909424535185</v>
      </c>
      <c r="J692" s="5" t="str">
        <f aca="false">IF(D692&lt;8,"LOW SAMPLE",IF(F692&gt;H692*(1+Assumptions!$B$10),"UNDERPAID",IF(F692&lt;G692*(1-Assumptions!$B$10),"OVERPAID","FAIR")))</f>
        <v>LOW SAMPLE</v>
      </c>
      <c r="K692" s="5" t="n">
        <v>1</v>
      </c>
    </row>
    <row r="693" customFormat="false" ht="15" hidden="false" customHeight="false" outlineLevel="0" collapsed="false">
      <c r="A693" s="5" t="n">
        <v>2022</v>
      </c>
      <c r="B693" s="5" t="s">
        <v>35</v>
      </c>
      <c r="C693" s="5" t="s">
        <v>52</v>
      </c>
      <c r="D693" s="5" t="n">
        <v>2</v>
      </c>
      <c r="E693" s="13" t="n">
        <v>0.34</v>
      </c>
      <c r="F693" s="14" t="n">
        <f aca="false">E693*Assumptions!$D$5</f>
        <v>45.7988636614861</v>
      </c>
      <c r="G693" s="14" t="n">
        <v>125</v>
      </c>
      <c r="H693" s="14" t="n">
        <v>225</v>
      </c>
      <c r="I693" s="14" t="n">
        <f aca="false">F693-(G693+H693)/2</f>
        <v>-129.201136338514</v>
      </c>
      <c r="J693" s="5" t="str">
        <f aca="false">IF(D693&lt;8,"LOW SAMPLE",IF(F693&gt;H693*(1+Assumptions!$B$10),"UNDERPAID",IF(F693&lt;G693*(1-Assumptions!$B$10),"OVERPAID","FAIR")))</f>
        <v>LOW SAMPLE</v>
      </c>
      <c r="K693" s="5" t="n">
        <v>3</v>
      </c>
    </row>
    <row r="694" customFormat="false" ht="15" hidden="false" customHeight="false" outlineLevel="0" collapsed="false">
      <c r="A694" s="5" t="n">
        <v>2022</v>
      </c>
      <c r="B694" s="5" t="s">
        <v>35</v>
      </c>
      <c r="C694" s="5" t="s">
        <v>53</v>
      </c>
      <c r="D694" s="5" t="n">
        <v>7</v>
      </c>
      <c r="E694" s="13" t="n">
        <v>0.92</v>
      </c>
      <c r="F694" s="14" t="n">
        <f aca="false">E694*Assumptions!$D$5</f>
        <v>123.926336966374</v>
      </c>
      <c r="G694" s="14" t="n">
        <v>125</v>
      </c>
      <c r="H694" s="14" t="n">
        <v>225</v>
      </c>
      <c r="I694" s="14" t="n">
        <f aca="false">F694-(G694+H694)/2</f>
        <v>-51.0736630336259</v>
      </c>
      <c r="J694" s="5" t="str">
        <f aca="false">IF(D694&lt;8,"LOW SAMPLE",IF(F694&gt;H694*(1+Assumptions!$B$10),"UNDERPAID",IF(F694&lt;G694*(1-Assumptions!$B$10),"OVERPAID","FAIR")))</f>
        <v>LOW SAMPLE</v>
      </c>
      <c r="K694" s="5" t="n">
        <v>1</v>
      </c>
    </row>
    <row r="695" customFormat="false" ht="15" hidden="false" customHeight="false" outlineLevel="0" collapsed="false">
      <c r="A695" s="5" t="n">
        <v>2022</v>
      </c>
      <c r="B695" s="5" t="s">
        <v>35</v>
      </c>
      <c r="C695" s="5" t="s">
        <v>54</v>
      </c>
      <c r="D695" s="5" t="n">
        <v>17</v>
      </c>
      <c r="E695" s="13" t="n">
        <v>2.91</v>
      </c>
      <c r="F695" s="14" t="n">
        <f aca="false">E695*Assumptions!$D$5</f>
        <v>391.984391926248</v>
      </c>
      <c r="G695" s="14" t="n">
        <v>345</v>
      </c>
      <c r="H695" s="14" t="n">
        <v>450</v>
      </c>
      <c r="I695" s="14" t="n">
        <f aca="false">F695-(G695+H695)/2</f>
        <v>-5.51560807375154</v>
      </c>
      <c r="J695" s="5" t="str">
        <f aca="false">IF(D695&lt;8,"LOW SAMPLE",IF(F695&gt;H695*(1+Assumptions!$B$10),"UNDERPAID",IF(F695&lt;G695*(1-Assumptions!$B$10),"OVERPAID","FAIR")))</f>
        <v>FAIR</v>
      </c>
      <c r="K695" s="5" t="n">
        <v>59</v>
      </c>
    </row>
    <row r="696" customFormat="false" ht="15" hidden="false" customHeight="false" outlineLevel="0" collapsed="false">
      <c r="A696" s="5" t="n">
        <v>2022</v>
      </c>
      <c r="B696" s="5" t="s">
        <v>35</v>
      </c>
      <c r="C696" s="5" t="s">
        <v>55</v>
      </c>
      <c r="D696" s="5" t="n">
        <v>11</v>
      </c>
      <c r="E696" s="13" t="n">
        <v>1.46</v>
      </c>
      <c r="F696" s="14" t="n">
        <f aca="false">E696*Assumptions!$D$5</f>
        <v>196.665708664028</v>
      </c>
      <c r="G696" s="14" t="n">
        <v>225</v>
      </c>
      <c r="H696" s="14" t="n">
        <v>345</v>
      </c>
      <c r="I696" s="14" t="n">
        <f aca="false">F696-(G696+H696)/2</f>
        <v>-88.3342913359716</v>
      </c>
      <c r="J696" s="5" t="str">
        <f aca="false">IF(D696&lt;8,"LOW SAMPLE",IF(F696&gt;H696*(1+Assumptions!$B$10),"UNDERPAID",IF(F696&lt;G696*(1-Assumptions!$B$10),"OVERPAID","FAIR")))</f>
        <v>FAIR</v>
      </c>
      <c r="K696" s="5" t="n">
        <v>27</v>
      </c>
    </row>
    <row r="697" customFormat="false" ht="15" hidden="false" customHeight="false" outlineLevel="0" collapsed="false">
      <c r="A697" s="5" t="n">
        <v>2022</v>
      </c>
      <c r="B697" s="5" t="s">
        <v>35</v>
      </c>
      <c r="C697" s="5" t="s">
        <v>56</v>
      </c>
      <c r="D697" s="5" t="n">
        <v>11</v>
      </c>
      <c r="E697" s="13" t="n">
        <v>1.17</v>
      </c>
      <c r="F697" s="14" t="n">
        <f aca="false">E697*Assumptions!$D$5</f>
        <v>157.601972011584</v>
      </c>
      <c r="G697" s="14" t="n">
        <v>345</v>
      </c>
      <c r="H697" s="14" t="n">
        <v>450</v>
      </c>
      <c r="I697" s="14" t="n">
        <f aca="false">F697-(G697+H697)/2</f>
        <v>-239.898027988416</v>
      </c>
      <c r="J697" s="5" t="str">
        <f aca="false">IF(D697&lt;8,"LOW SAMPLE",IF(F697&gt;H697*(1+Assumptions!$B$10),"UNDERPAID",IF(F697&lt;G697*(1-Assumptions!$B$10),"OVERPAID","FAIR")))</f>
        <v>OVERPAID</v>
      </c>
      <c r="K697" s="5" t="n">
        <v>132</v>
      </c>
    </row>
    <row r="698" customFormat="false" ht="15" hidden="false" customHeight="false" outlineLevel="0" collapsed="false">
      <c r="A698" s="5" t="n">
        <v>2022</v>
      </c>
      <c r="B698" s="5" t="s">
        <v>35</v>
      </c>
      <c r="C698" s="5" t="s">
        <v>57</v>
      </c>
      <c r="D698" s="5" t="n">
        <v>3</v>
      </c>
      <c r="E698" s="13" t="n">
        <v>0.07</v>
      </c>
      <c r="F698" s="14" t="n">
        <f aca="false">E698*Assumptions!$D$5</f>
        <v>9.4291778126589</v>
      </c>
      <c r="G698" s="14" t="n">
        <v>125</v>
      </c>
      <c r="H698" s="14" t="n">
        <v>225</v>
      </c>
      <c r="I698" s="14" t="n">
        <f aca="false">F698-(G698+H698)/2</f>
        <v>-165.570822187341</v>
      </c>
      <c r="J698" s="5" t="str">
        <f aca="false">IF(D698&lt;8,"LOW SAMPLE",IF(F698&gt;H698*(1+Assumptions!$B$10),"UNDERPAID",IF(F698&lt;G698*(1-Assumptions!$B$10),"OVERPAID","FAIR")))</f>
        <v>LOW SAMPLE</v>
      </c>
      <c r="K698" s="5" t="n">
        <v>2</v>
      </c>
    </row>
    <row r="699" customFormat="false" ht="15" hidden="false" customHeight="false" outlineLevel="0" collapsed="false">
      <c r="A699" s="5" t="n">
        <v>2022</v>
      </c>
      <c r="B699" s="5" t="s">
        <v>35</v>
      </c>
      <c r="C699" s="5" t="s">
        <v>724</v>
      </c>
      <c r="D699" s="5" t="n">
        <v>11</v>
      </c>
      <c r="E699" s="13" t="n">
        <v>2.22</v>
      </c>
      <c r="F699" s="14" t="n">
        <f aca="false">E699*Assumptions!$D$5</f>
        <v>299.039639201468</v>
      </c>
      <c r="G699" s="14" t="n">
        <v>450</v>
      </c>
      <c r="H699" s="14" t="n">
        <v>615</v>
      </c>
      <c r="I699" s="14" t="n">
        <f aca="false">F699-(G699+H699)/2</f>
        <v>-233.460360798532</v>
      </c>
      <c r="J699" s="5" t="str">
        <f aca="false">IF(D699&lt;8,"LOW SAMPLE",IF(F699&gt;H699*(1+Assumptions!$B$10),"UNDERPAID",IF(F699&lt;G699*(1-Assumptions!$B$10),"OVERPAID","FAIR")))</f>
        <v>OVERPAID</v>
      </c>
      <c r="K699" s="5" t="n">
        <v>117</v>
      </c>
    </row>
    <row r="700" customFormat="false" ht="15" hidden="false" customHeight="false" outlineLevel="0" collapsed="false">
      <c r="A700" s="5" t="n">
        <v>2022</v>
      </c>
      <c r="B700" s="5" t="s">
        <v>35</v>
      </c>
      <c r="C700" s="5" t="s">
        <v>58</v>
      </c>
      <c r="D700" s="5" t="n">
        <v>17</v>
      </c>
      <c r="E700" s="13" t="n">
        <v>2.74</v>
      </c>
      <c r="F700" s="14" t="n">
        <f aca="false">E700*Assumptions!$D$5</f>
        <v>369.084960095505</v>
      </c>
      <c r="G700" s="14" t="n">
        <v>125</v>
      </c>
      <c r="H700" s="14" t="n">
        <v>225</v>
      </c>
      <c r="I700" s="14" t="n">
        <f aca="false">F700-(G700+H700)/2</f>
        <v>194.084960095505</v>
      </c>
      <c r="J700" s="5" t="str">
        <f aca="false">IF(D700&lt;8,"LOW SAMPLE",IF(F700&gt;H700*(1+Assumptions!$B$10),"UNDERPAID",IF(F700&lt;G700*(1-Assumptions!$B$10),"OVERPAID","FAIR")))</f>
        <v>UNDERPAID</v>
      </c>
      <c r="K700" s="5" t="n">
        <v>4</v>
      </c>
    </row>
    <row r="701" customFormat="false" ht="15" hidden="false" customHeight="false" outlineLevel="0" collapsed="false">
      <c r="A701" s="5" t="n">
        <v>2022</v>
      </c>
      <c r="B701" s="5" t="s">
        <v>35</v>
      </c>
      <c r="C701" s="5" t="s">
        <v>59</v>
      </c>
      <c r="D701" s="5" t="n">
        <v>20</v>
      </c>
      <c r="E701" s="13" t="n">
        <v>3.07</v>
      </c>
      <c r="F701" s="14" t="n">
        <f aca="false">E701*Assumptions!$D$5</f>
        <v>413.536798355183</v>
      </c>
      <c r="G701" s="14" t="n">
        <v>225</v>
      </c>
      <c r="H701" s="14" t="n">
        <v>345</v>
      </c>
      <c r="I701" s="14" t="n">
        <f aca="false">F701-(G701+H701)/2</f>
        <v>128.536798355183</v>
      </c>
      <c r="J701" s="5" t="str">
        <f aca="false">IF(D701&lt;8,"LOW SAMPLE",IF(F701&gt;H701*(1+Assumptions!$B$10),"UNDERPAID",IF(F701&lt;G701*(1-Assumptions!$B$10),"OVERPAID","FAIR")))</f>
        <v>UNDERPAID</v>
      </c>
      <c r="K701" s="5" t="n">
        <v>29</v>
      </c>
    </row>
    <row r="702" customFormat="false" ht="15" hidden="false" customHeight="false" outlineLevel="0" collapsed="false">
      <c r="A702" s="5" t="n">
        <v>2022</v>
      </c>
      <c r="B702" s="5" t="s">
        <v>35</v>
      </c>
      <c r="C702" s="5" t="s">
        <v>60</v>
      </c>
      <c r="D702" s="5" t="n">
        <v>16</v>
      </c>
      <c r="E702" s="13" t="n">
        <v>2.56</v>
      </c>
      <c r="F702" s="14" t="n">
        <f aca="false">E702*Assumptions!$D$5</f>
        <v>344.838502862954</v>
      </c>
      <c r="G702" s="14" t="n">
        <v>225</v>
      </c>
      <c r="H702" s="14" t="n">
        <v>345</v>
      </c>
      <c r="I702" s="14" t="n">
        <f aca="false">F702-(G702+H702)/2</f>
        <v>59.838502862954</v>
      </c>
      <c r="J702" s="5" t="str">
        <f aca="false">IF(D702&lt;8,"LOW SAMPLE",IF(F702&gt;H702*(1+Assumptions!$B$10),"UNDERPAID",IF(F702&lt;G702*(1-Assumptions!$B$10),"OVERPAID","FAIR")))</f>
        <v>FAIR</v>
      </c>
      <c r="K702" s="5" t="n">
        <v>13</v>
      </c>
    </row>
    <row r="703" customFormat="false" ht="15" hidden="false" customHeight="false" outlineLevel="0" collapsed="false">
      <c r="A703" s="5" t="n">
        <v>2022</v>
      </c>
      <c r="B703" s="5" t="s">
        <v>35</v>
      </c>
      <c r="C703" s="5" t="s">
        <v>725</v>
      </c>
      <c r="D703" s="5" t="n">
        <v>11</v>
      </c>
      <c r="E703" s="13" t="n">
        <v>1.07</v>
      </c>
      <c r="F703" s="14" t="n">
        <f aca="false">E703*Assumptions!$D$5</f>
        <v>144.1317179935</v>
      </c>
      <c r="G703" s="14" t="n">
        <v>225</v>
      </c>
      <c r="H703" s="14" t="n">
        <v>345</v>
      </c>
      <c r="I703" s="14" t="n">
        <f aca="false">F703-(G703+H703)/2</f>
        <v>-140.8682820065</v>
      </c>
      <c r="J703" s="5" t="str">
        <f aca="false">IF(D703&lt;8,"LOW SAMPLE",IF(F703&gt;H703*(1+Assumptions!$B$10),"UNDERPAID",IF(F703&lt;G703*(1-Assumptions!$B$10),"OVERPAID","FAIR")))</f>
        <v>OVERPAID</v>
      </c>
      <c r="K703" s="5" t="n">
        <v>0</v>
      </c>
    </row>
    <row r="704" customFormat="false" ht="15" hidden="false" customHeight="false" outlineLevel="0" collapsed="false">
      <c r="A704" s="5" t="n">
        <v>2022</v>
      </c>
      <c r="B704" s="5" t="s">
        <v>35</v>
      </c>
      <c r="C704" s="5" t="s">
        <v>62</v>
      </c>
      <c r="D704" s="5" t="n">
        <v>20</v>
      </c>
      <c r="E704" s="13" t="n">
        <v>5.24</v>
      </c>
      <c r="F704" s="14" t="n">
        <f aca="false">E704*Assumptions!$D$5</f>
        <v>705.841310547609</v>
      </c>
      <c r="G704" s="14" t="n">
        <v>615</v>
      </c>
      <c r="H704" s="14" t="n">
        <v>855</v>
      </c>
      <c r="I704" s="14" t="n">
        <f aca="false">F704-(G704+H704)/2</f>
        <v>-29.1586894523911</v>
      </c>
      <c r="J704" s="5" t="str">
        <f aca="false">IF(D704&lt;8,"LOW SAMPLE",IF(F704&gt;H704*(1+Assumptions!$B$10),"UNDERPAID",IF(F704&lt;G704*(1-Assumptions!$B$10),"OVERPAID","FAIR")))</f>
        <v>FAIR</v>
      </c>
      <c r="K704" s="5" t="n">
        <v>57</v>
      </c>
    </row>
    <row r="705" customFormat="false" ht="15" hidden="false" customHeight="false" outlineLevel="0" collapsed="false">
      <c r="A705" s="5" t="n">
        <v>2022</v>
      </c>
      <c r="B705" s="5" t="s">
        <v>35</v>
      </c>
      <c r="C705" s="5" t="s">
        <v>63</v>
      </c>
      <c r="D705" s="5" t="n">
        <v>11</v>
      </c>
      <c r="E705" s="13" t="n">
        <v>2.09</v>
      </c>
      <c r="F705" s="14" t="n">
        <f aca="false">E705*Assumptions!$D$5</f>
        <v>281.528308977959</v>
      </c>
      <c r="G705" s="14" t="n">
        <v>345</v>
      </c>
      <c r="H705" s="14" t="n">
        <v>450</v>
      </c>
      <c r="I705" s="14" t="n">
        <f aca="false">F705-(G705+H705)/2</f>
        <v>-115.971691022042</v>
      </c>
      <c r="J705" s="5" t="str">
        <f aca="false">IF(D705&lt;8,"LOW SAMPLE",IF(F705&gt;H705*(1+Assumptions!$B$10),"UNDERPAID",IF(F705&lt;G705*(1-Assumptions!$B$10),"OVERPAID","FAIR")))</f>
        <v>OVERPAID</v>
      </c>
      <c r="K705" s="5" t="n">
        <v>14</v>
      </c>
    </row>
    <row r="706" customFormat="false" ht="15" hidden="false" customHeight="false" outlineLevel="0" collapsed="false">
      <c r="A706" s="5" t="n">
        <v>2022</v>
      </c>
      <c r="B706" s="5" t="s">
        <v>35</v>
      </c>
      <c r="C706" s="5" t="s">
        <v>65</v>
      </c>
      <c r="D706" s="5" t="n">
        <v>20</v>
      </c>
      <c r="E706" s="13" t="n">
        <v>6.33</v>
      </c>
      <c r="F706" s="14" t="n">
        <f aca="false">E706*Assumptions!$D$5</f>
        <v>852.667079344726</v>
      </c>
      <c r="G706" s="14" t="n">
        <v>615</v>
      </c>
      <c r="H706" s="14" t="n">
        <v>855</v>
      </c>
      <c r="I706" s="14" t="n">
        <f aca="false">F706-(G706+H706)/2</f>
        <v>117.667079344726</v>
      </c>
      <c r="J706" s="5" t="str">
        <f aca="false">IF(D706&lt;8,"LOW SAMPLE",IF(F706&gt;H706*(1+Assumptions!$B$10),"UNDERPAID",IF(F706&lt;G706*(1-Assumptions!$B$10),"OVERPAID","FAIR")))</f>
        <v>FAIR</v>
      </c>
      <c r="K706" s="5" t="n">
        <v>148</v>
      </c>
    </row>
    <row r="707" customFormat="false" ht="15" hidden="false" customHeight="false" outlineLevel="0" collapsed="false">
      <c r="A707" s="5" t="n">
        <v>2022</v>
      </c>
      <c r="B707" s="5" t="s">
        <v>35</v>
      </c>
      <c r="C707" s="5" t="s">
        <v>66</v>
      </c>
      <c r="D707" s="5" t="n">
        <v>4</v>
      </c>
      <c r="E707" s="13" t="n">
        <v>0.83</v>
      </c>
      <c r="F707" s="14" t="n">
        <f aca="false">E707*Assumptions!$D$5</f>
        <v>111.803108350098</v>
      </c>
      <c r="G707" s="14" t="n">
        <v>450</v>
      </c>
      <c r="H707" s="14" t="n">
        <v>615</v>
      </c>
      <c r="I707" s="14" t="n">
        <f aca="false">F707-(G707+H707)/2</f>
        <v>-420.696891649902</v>
      </c>
      <c r="J707" s="5" t="str">
        <f aca="false">IF(D707&lt;8,"LOW SAMPLE",IF(F707&gt;H707*(1+Assumptions!$B$10),"UNDERPAID",IF(F707&lt;G707*(1-Assumptions!$B$10),"OVERPAID","FAIR")))</f>
        <v>LOW SAMPLE</v>
      </c>
      <c r="K707" s="5" t="n">
        <v>129</v>
      </c>
    </row>
    <row r="708" customFormat="false" ht="15" hidden="false" customHeight="false" outlineLevel="0" collapsed="false">
      <c r="A708" s="5" t="n">
        <v>2022</v>
      </c>
      <c r="B708" s="5" t="s">
        <v>35</v>
      </c>
      <c r="C708" s="5" t="s">
        <v>67</v>
      </c>
      <c r="D708" s="5" t="n">
        <v>18</v>
      </c>
      <c r="E708" s="13" t="n">
        <v>4.63</v>
      </c>
      <c r="F708" s="14" t="n">
        <f aca="false">E708*Assumptions!$D$5</f>
        <v>623.672761037296</v>
      </c>
      <c r="G708" s="14" t="n">
        <v>225</v>
      </c>
      <c r="H708" s="14" t="n">
        <v>345</v>
      </c>
      <c r="I708" s="14" t="n">
        <f aca="false">F708-(G708+H708)/2</f>
        <v>338.672761037296</v>
      </c>
      <c r="J708" s="5" t="str">
        <f aca="false">IF(D708&lt;8,"LOW SAMPLE",IF(F708&gt;H708*(1+Assumptions!$B$10),"UNDERPAID",IF(F708&lt;G708*(1-Assumptions!$B$10),"OVERPAID","FAIR")))</f>
        <v>UNDERPAID</v>
      </c>
      <c r="K708" s="5" t="n">
        <v>17</v>
      </c>
    </row>
    <row r="709" customFormat="false" ht="15" hidden="false" customHeight="false" outlineLevel="0" collapsed="false">
      <c r="A709" s="5" t="n">
        <v>2022</v>
      </c>
      <c r="B709" s="5" t="s">
        <v>35</v>
      </c>
      <c r="C709" s="5" t="s">
        <v>68</v>
      </c>
      <c r="D709" s="5" t="n">
        <v>15</v>
      </c>
      <c r="E709" s="13" t="n">
        <v>2.84</v>
      </c>
      <c r="F709" s="14" t="n">
        <f aca="false">E709*Assumptions!$D$5</f>
        <v>382.55521411359</v>
      </c>
      <c r="G709" s="14" t="n">
        <v>345</v>
      </c>
      <c r="H709" s="14" t="n">
        <v>450</v>
      </c>
      <c r="I709" s="14" t="n">
        <f aca="false">F709-(G709+H709)/2</f>
        <v>-14.9447858864104</v>
      </c>
      <c r="J709" s="5" t="str">
        <f aca="false">IF(D709&lt;8,"LOW SAMPLE",IF(F709&gt;H709*(1+Assumptions!$B$10),"UNDERPAID",IF(F709&lt;G709*(1-Assumptions!$B$10),"OVERPAID","FAIR")))</f>
        <v>FAIR</v>
      </c>
      <c r="K709" s="5" t="n">
        <v>28</v>
      </c>
    </row>
    <row r="710" customFormat="false" ht="15" hidden="false" customHeight="false" outlineLevel="0" collapsed="false">
      <c r="A710" s="5" t="n">
        <v>2022</v>
      </c>
      <c r="B710" s="5" t="s">
        <v>35</v>
      </c>
      <c r="C710" s="5" t="s">
        <v>69</v>
      </c>
      <c r="D710" s="5" t="n">
        <v>18</v>
      </c>
      <c r="E710" s="13" t="n">
        <v>5.23</v>
      </c>
      <c r="F710" s="14" t="n">
        <f aca="false">E710*Assumptions!$D$5</f>
        <v>704.494285145801</v>
      </c>
      <c r="G710" s="14" t="n">
        <v>450</v>
      </c>
      <c r="H710" s="14" t="n">
        <v>615</v>
      </c>
      <c r="I710" s="14" t="n">
        <f aca="false">F710-(G710+H710)/2</f>
        <v>171.994285145801</v>
      </c>
      <c r="J710" s="5" t="str">
        <f aca="false">IF(D710&lt;8,"LOW SAMPLE",IF(F710&gt;H710*(1+Assumptions!$B$10),"UNDERPAID",IF(F710&lt;G710*(1-Assumptions!$B$10),"OVERPAID","FAIR")))</f>
        <v>FAIR</v>
      </c>
      <c r="K710" s="5" t="n">
        <v>136</v>
      </c>
    </row>
    <row r="711" customFormat="false" ht="15" hidden="false" customHeight="false" outlineLevel="0" collapsed="false">
      <c r="A711" s="5" t="n">
        <v>2022</v>
      </c>
      <c r="B711" s="5" t="s">
        <v>35</v>
      </c>
      <c r="C711" s="5" t="s">
        <v>70</v>
      </c>
      <c r="D711" s="5" t="n">
        <v>20</v>
      </c>
      <c r="E711" s="13" t="n">
        <v>3.58</v>
      </c>
      <c r="F711" s="14" t="n">
        <f aca="false">E711*Assumptions!$D$5</f>
        <v>482.235093847412</v>
      </c>
      <c r="G711" s="14" t="n">
        <v>345</v>
      </c>
      <c r="H711" s="14" t="n">
        <v>450</v>
      </c>
      <c r="I711" s="14" t="n">
        <f aca="false">F711-(G711+H711)/2</f>
        <v>84.7350938474122</v>
      </c>
      <c r="J711" s="5" t="str">
        <f aca="false">IF(D711&lt;8,"LOW SAMPLE",IF(F711&gt;H711*(1+Assumptions!$B$10),"UNDERPAID",IF(F711&lt;G711*(1-Assumptions!$B$10),"OVERPAID","FAIR")))</f>
        <v>FAIR</v>
      </c>
      <c r="K711" s="5" t="n">
        <v>51</v>
      </c>
    </row>
    <row r="712" customFormat="false" ht="15" hidden="false" customHeight="false" outlineLevel="0" collapsed="false">
      <c r="A712" s="5" t="n">
        <v>2022</v>
      </c>
      <c r="B712" s="5" t="s">
        <v>35</v>
      </c>
      <c r="C712" s="5" t="s">
        <v>726</v>
      </c>
      <c r="D712" s="5" t="n">
        <v>12</v>
      </c>
      <c r="E712" s="13" t="n">
        <v>1.61</v>
      </c>
      <c r="F712" s="14" t="n">
        <f aca="false">E712*Assumptions!$D$5</f>
        <v>216.871089691155</v>
      </c>
      <c r="G712" s="14" t="n">
        <v>225</v>
      </c>
      <c r="H712" s="14" t="n">
        <v>345</v>
      </c>
      <c r="I712" s="14" t="n">
        <f aca="false">F712-(G712+H712)/2</f>
        <v>-68.1289103088454</v>
      </c>
      <c r="J712" s="5" t="str">
        <f aca="false">IF(D712&lt;8,"LOW SAMPLE",IF(F712&gt;H712*(1+Assumptions!$B$10),"UNDERPAID",IF(F712&lt;G712*(1-Assumptions!$B$10),"OVERPAID","FAIR")))</f>
        <v>FAIR</v>
      </c>
      <c r="K712" s="5" t="n">
        <v>62</v>
      </c>
    </row>
    <row r="713" customFormat="false" ht="15" hidden="false" customHeight="false" outlineLevel="0" collapsed="false">
      <c r="A713" s="5" t="n">
        <v>2022</v>
      </c>
      <c r="B713" s="5" t="s">
        <v>35</v>
      </c>
      <c r="C713" s="5" t="s">
        <v>72</v>
      </c>
      <c r="D713" s="5" t="n">
        <v>13</v>
      </c>
      <c r="E713" s="13" t="n">
        <v>1.28</v>
      </c>
      <c r="F713" s="14" t="n">
        <f aca="false">E713*Assumptions!$D$5</f>
        <v>172.419251431477</v>
      </c>
      <c r="G713" s="14" t="n">
        <v>125</v>
      </c>
      <c r="H713" s="14" t="n">
        <v>225</v>
      </c>
      <c r="I713" s="14" t="n">
        <f aca="false">F713-(G713+H713)/2</f>
        <v>-2.58074856852301</v>
      </c>
      <c r="J713" s="5" t="str">
        <f aca="false">IF(D713&lt;8,"LOW SAMPLE",IF(F713&gt;H713*(1+Assumptions!$B$10),"UNDERPAID",IF(F713&lt;G713*(1-Assumptions!$B$10),"OVERPAID","FAIR")))</f>
        <v>FAIR</v>
      </c>
      <c r="K713" s="5" t="n">
        <v>25</v>
      </c>
    </row>
    <row r="714" customFormat="false" ht="15" hidden="false" customHeight="false" outlineLevel="0" collapsed="false">
      <c r="A714" s="5" t="n">
        <v>2022</v>
      </c>
      <c r="B714" s="5" t="s">
        <v>73</v>
      </c>
      <c r="C714" s="5" t="s">
        <v>74</v>
      </c>
      <c r="D714" s="5" t="n">
        <v>24</v>
      </c>
      <c r="E714" s="13" t="n">
        <v>3.46</v>
      </c>
      <c r="F714" s="14" t="n">
        <f aca="false">E714*Assumptions!$D$5</f>
        <v>466.070789025711</v>
      </c>
      <c r="G714" s="14" t="n">
        <v>345</v>
      </c>
      <c r="H714" s="14" t="n">
        <v>450</v>
      </c>
      <c r="I714" s="14" t="n">
        <f aca="false">F714-(G714+H714)/2</f>
        <v>68.5707890257112</v>
      </c>
      <c r="J714" s="5" t="str">
        <f aca="false">IF(D714&lt;8,"LOW SAMPLE",IF(F714&gt;H714*(1+Assumptions!$B$10),"UNDERPAID",IF(F714&lt;G714*(1-Assumptions!$B$10),"OVERPAID","FAIR")))</f>
        <v>FAIR</v>
      </c>
      <c r="K714" s="5" t="n">
        <v>47</v>
      </c>
    </row>
    <row r="715" customFormat="false" ht="15" hidden="false" customHeight="false" outlineLevel="0" collapsed="false">
      <c r="A715" s="5" t="n">
        <v>2022</v>
      </c>
      <c r="B715" s="5" t="s">
        <v>73</v>
      </c>
      <c r="C715" s="5" t="s">
        <v>75</v>
      </c>
      <c r="D715" s="5" t="n">
        <v>21</v>
      </c>
      <c r="E715" s="13" t="n">
        <v>2.26</v>
      </c>
      <c r="F715" s="14" t="n">
        <f aca="false">E715*Assumptions!$D$5</f>
        <v>304.427740808702</v>
      </c>
      <c r="G715" s="14" t="n">
        <v>345</v>
      </c>
      <c r="H715" s="14" t="n">
        <v>450</v>
      </c>
      <c r="I715" s="14" t="n">
        <f aca="false">F715-(G715+H715)/2</f>
        <v>-93.0722591912985</v>
      </c>
      <c r="J715" s="5" t="str">
        <f aca="false">IF(D715&lt;8,"LOW SAMPLE",IF(F715&gt;H715*(1+Assumptions!$B$10),"UNDERPAID",IF(F715&lt;G715*(1-Assumptions!$B$10),"OVERPAID","FAIR")))</f>
        <v>FAIR</v>
      </c>
      <c r="K715" s="5" t="n">
        <v>84</v>
      </c>
    </row>
    <row r="716" customFormat="false" ht="15" hidden="false" customHeight="false" outlineLevel="0" collapsed="false">
      <c r="A716" s="5" t="n">
        <v>2022</v>
      </c>
      <c r="B716" s="5" t="s">
        <v>73</v>
      </c>
      <c r="C716" s="5" t="s">
        <v>727</v>
      </c>
      <c r="D716" s="5" t="n">
        <v>24</v>
      </c>
      <c r="E716" s="13" t="n">
        <v>4.69</v>
      </c>
      <c r="F716" s="14" t="n">
        <f aca="false">E716*Assumptions!$D$5</f>
        <v>631.754913448146</v>
      </c>
      <c r="G716" s="14" t="n">
        <v>450</v>
      </c>
      <c r="H716" s="14" t="n">
        <v>615</v>
      </c>
      <c r="I716" s="14" t="n">
        <f aca="false">F716-(G716+H716)/2</f>
        <v>99.2549134481462</v>
      </c>
      <c r="J716" s="5" t="str">
        <f aca="false">IF(D716&lt;8,"LOW SAMPLE",IF(F716&gt;H716*(1+Assumptions!$B$10),"UNDERPAID",IF(F716&lt;G716*(1-Assumptions!$B$10),"OVERPAID","FAIR")))</f>
        <v>FAIR</v>
      </c>
      <c r="K716" s="5" t="n">
        <v>63</v>
      </c>
    </row>
    <row r="717" customFormat="false" ht="15" hidden="false" customHeight="false" outlineLevel="0" collapsed="false">
      <c r="A717" s="5" t="n">
        <v>2022</v>
      </c>
      <c r="B717" s="5" t="s">
        <v>73</v>
      </c>
      <c r="C717" s="5" t="s">
        <v>728</v>
      </c>
      <c r="D717" s="5" t="n">
        <v>1</v>
      </c>
      <c r="E717" s="13" t="n">
        <v>0.11</v>
      </c>
      <c r="F717" s="14" t="n">
        <f aca="false">E717*Assumptions!$D$5</f>
        <v>14.8172794198926</v>
      </c>
      <c r="G717" s="14" t="n">
        <v>225</v>
      </c>
      <c r="H717" s="14" t="n">
        <v>345</v>
      </c>
      <c r="I717" s="14" t="n">
        <f aca="false">F717-(G717+H717)/2</f>
        <v>-270.182720580107</v>
      </c>
      <c r="J717" s="5" t="str">
        <f aca="false">IF(D717&lt;8,"LOW SAMPLE",IF(F717&gt;H717*(1+Assumptions!$B$10),"UNDERPAID",IF(F717&lt;G717*(1-Assumptions!$B$10),"OVERPAID","FAIR")))</f>
        <v>LOW SAMPLE</v>
      </c>
      <c r="K717" s="5" t="n">
        <v>0</v>
      </c>
    </row>
    <row r="718" customFormat="false" ht="15" hidden="false" customHeight="false" outlineLevel="0" collapsed="false">
      <c r="A718" s="5" t="n">
        <v>2022</v>
      </c>
      <c r="B718" s="5" t="s">
        <v>73</v>
      </c>
      <c r="C718" s="5" t="s">
        <v>76</v>
      </c>
      <c r="D718" s="5" t="n">
        <v>25</v>
      </c>
      <c r="E718" s="13" t="n">
        <v>5.64</v>
      </c>
      <c r="F718" s="14" t="n">
        <f aca="false">E718*Assumptions!$D$5</f>
        <v>759.722326619945</v>
      </c>
      <c r="G718" s="14" t="n">
        <v>615</v>
      </c>
      <c r="H718" s="14" t="n">
        <v>855</v>
      </c>
      <c r="I718" s="14" t="n">
        <f aca="false">F718-(G718+H718)/2</f>
        <v>24.7223266199454</v>
      </c>
      <c r="J718" s="5" t="str">
        <f aca="false">IF(D718&lt;8,"LOW SAMPLE",IF(F718&gt;H718*(1+Assumptions!$B$10),"UNDERPAID",IF(F718&lt;G718*(1-Assumptions!$B$10),"OVERPAID","FAIR")))</f>
        <v>FAIR</v>
      </c>
      <c r="K718" s="5" t="n">
        <v>144</v>
      </c>
    </row>
    <row r="719" customFormat="false" ht="15" hidden="false" customHeight="false" outlineLevel="0" collapsed="false">
      <c r="A719" s="5" t="n">
        <v>2022</v>
      </c>
      <c r="B719" s="5" t="s">
        <v>73</v>
      </c>
      <c r="C719" s="5" t="s">
        <v>78</v>
      </c>
      <c r="D719" s="5" t="n">
        <v>22</v>
      </c>
      <c r="E719" s="13" t="n">
        <v>4.27</v>
      </c>
      <c r="F719" s="14" t="n">
        <f aca="false">E719*Assumptions!$D$5</f>
        <v>575.179846572193</v>
      </c>
      <c r="G719" s="14" t="n">
        <v>450</v>
      </c>
      <c r="H719" s="14" t="n">
        <v>615</v>
      </c>
      <c r="I719" s="14" t="n">
        <f aca="false">F719-(G719+H719)/2</f>
        <v>42.6798465721927</v>
      </c>
      <c r="J719" s="5" t="str">
        <f aca="false">IF(D719&lt;8,"LOW SAMPLE",IF(F719&gt;H719*(1+Assumptions!$B$10),"UNDERPAID",IF(F719&lt;G719*(1-Assumptions!$B$10),"OVERPAID","FAIR")))</f>
        <v>FAIR</v>
      </c>
      <c r="K719" s="5" t="n">
        <v>130</v>
      </c>
    </row>
    <row r="720" customFormat="false" ht="15" hidden="false" customHeight="false" outlineLevel="0" collapsed="false">
      <c r="A720" s="5" t="n">
        <v>2022</v>
      </c>
      <c r="B720" s="5" t="s">
        <v>73</v>
      </c>
      <c r="C720" s="5" t="s">
        <v>79</v>
      </c>
      <c r="D720" s="5" t="n">
        <v>22</v>
      </c>
      <c r="E720" s="13" t="n">
        <v>4.76</v>
      </c>
      <c r="F720" s="14" t="n">
        <f aca="false">E720*Assumptions!$D$5</f>
        <v>641.184091260805</v>
      </c>
      <c r="G720" s="14" t="n">
        <v>615</v>
      </c>
      <c r="H720" s="14" t="n">
        <v>855</v>
      </c>
      <c r="I720" s="14" t="n">
        <f aca="false">F720-(G720+H720)/2</f>
        <v>-93.815908739195</v>
      </c>
      <c r="J720" s="5" t="str">
        <f aca="false">IF(D720&lt;8,"LOW SAMPLE",IF(F720&gt;H720*(1+Assumptions!$B$10),"UNDERPAID",IF(F720&lt;G720*(1-Assumptions!$B$10),"OVERPAID","FAIR")))</f>
        <v>FAIR</v>
      </c>
      <c r="K720" s="5" t="n">
        <v>145</v>
      </c>
    </row>
    <row r="721" customFormat="false" ht="15" hidden="false" customHeight="false" outlineLevel="0" collapsed="false">
      <c r="A721" s="5" t="n">
        <v>2022</v>
      </c>
      <c r="B721" s="5" t="s">
        <v>73</v>
      </c>
      <c r="C721" s="5" t="s">
        <v>729</v>
      </c>
      <c r="D721" s="5" t="n">
        <v>18</v>
      </c>
      <c r="E721" s="13" t="n">
        <v>3.38</v>
      </c>
      <c r="F721" s="14" t="n">
        <f aca="false">E721*Assumptions!$D$5</f>
        <v>455.294585811244</v>
      </c>
      <c r="G721" s="14" t="n">
        <v>125</v>
      </c>
      <c r="H721" s="14" t="n">
        <v>225</v>
      </c>
      <c r="I721" s="14" t="n">
        <f aca="false">F721-(G721+H721)/2</f>
        <v>280.294585811244</v>
      </c>
      <c r="J721" s="5" t="str">
        <f aca="false">IF(D721&lt;8,"LOW SAMPLE",IF(F721&gt;H721*(1+Assumptions!$B$10),"UNDERPAID",IF(F721&lt;G721*(1-Assumptions!$B$10),"OVERPAID","FAIR")))</f>
        <v>UNDERPAID</v>
      </c>
      <c r="K721" s="5" t="n">
        <v>8</v>
      </c>
    </row>
    <row r="722" customFormat="false" ht="15" hidden="false" customHeight="false" outlineLevel="0" collapsed="false">
      <c r="A722" s="5" t="n">
        <v>2022</v>
      </c>
      <c r="B722" s="5" t="s">
        <v>73</v>
      </c>
      <c r="C722" s="5" t="s">
        <v>80</v>
      </c>
      <c r="D722" s="5" t="n">
        <v>21</v>
      </c>
      <c r="E722" s="13" t="n">
        <v>2.85</v>
      </c>
      <c r="F722" s="14" t="n">
        <f aca="false">E722*Assumptions!$D$5</f>
        <v>383.902239515398</v>
      </c>
      <c r="G722" s="14" t="n">
        <v>345</v>
      </c>
      <c r="H722" s="14" t="n">
        <v>450</v>
      </c>
      <c r="I722" s="14" t="n">
        <f aca="false">F722-(G722+H722)/2</f>
        <v>-13.597760484602</v>
      </c>
      <c r="J722" s="5" t="str">
        <f aca="false">IF(D722&lt;8,"LOW SAMPLE",IF(F722&gt;H722*(1+Assumptions!$B$10),"UNDERPAID",IF(F722&lt;G722*(1-Assumptions!$B$10),"OVERPAID","FAIR")))</f>
        <v>FAIR</v>
      </c>
      <c r="K722" s="5" t="n">
        <v>116</v>
      </c>
    </row>
    <row r="723" customFormat="false" ht="15" hidden="false" customHeight="false" outlineLevel="0" collapsed="false">
      <c r="A723" s="5" t="n">
        <v>2022</v>
      </c>
      <c r="B723" s="5" t="s">
        <v>73</v>
      </c>
      <c r="C723" s="5" t="s">
        <v>730</v>
      </c>
      <c r="D723" s="5" t="n">
        <v>3</v>
      </c>
      <c r="E723" s="13" t="n">
        <v>0.41</v>
      </c>
      <c r="F723" s="14" t="n">
        <f aca="false">E723*Assumptions!$D$5</f>
        <v>55.228041474145</v>
      </c>
      <c r="G723" s="14" t="n">
        <v>225</v>
      </c>
      <c r="H723" s="14" t="n">
        <v>345</v>
      </c>
      <c r="I723" s="14" t="n">
        <f aca="false">F723-(G723+H723)/2</f>
        <v>-229.771958525855</v>
      </c>
      <c r="J723" s="5" t="str">
        <f aca="false">IF(D723&lt;8,"LOW SAMPLE",IF(F723&gt;H723*(1+Assumptions!$B$10),"UNDERPAID",IF(F723&lt;G723*(1-Assumptions!$B$10),"OVERPAID","FAIR")))</f>
        <v>LOW SAMPLE</v>
      </c>
      <c r="K723" s="5" t="n">
        <v>0</v>
      </c>
    </row>
    <row r="724" customFormat="false" ht="15" hidden="false" customHeight="false" outlineLevel="0" collapsed="false">
      <c r="A724" s="5" t="n">
        <v>2022</v>
      </c>
      <c r="B724" s="5" t="s">
        <v>73</v>
      </c>
      <c r="C724" s="5" t="s">
        <v>81</v>
      </c>
      <c r="D724" s="5" t="n">
        <v>22</v>
      </c>
      <c r="E724" s="13" t="n">
        <v>4.38</v>
      </c>
      <c r="F724" s="14" t="n">
        <f aca="false">E724*Assumptions!$D$5</f>
        <v>589.997125992085</v>
      </c>
      <c r="G724" s="14" t="n">
        <v>855</v>
      </c>
      <c r="H724" s="14" t="n">
        <v>1170</v>
      </c>
      <c r="I724" s="14" t="n">
        <f aca="false">F724-(G724+H724)/2</f>
        <v>-422.502874007915</v>
      </c>
      <c r="J724" s="5" t="str">
        <f aca="false">IF(D724&lt;8,"LOW SAMPLE",IF(F724&gt;H724*(1+Assumptions!$B$10),"UNDERPAID",IF(F724&lt;G724*(1-Assumptions!$B$10),"OVERPAID","FAIR")))</f>
        <v>OVERPAID</v>
      </c>
      <c r="K724" s="5" t="n">
        <v>149</v>
      </c>
    </row>
    <row r="725" customFormat="false" ht="15" hidden="false" customHeight="false" outlineLevel="0" collapsed="false">
      <c r="A725" s="5" t="n">
        <v>2022</v>
      </c>
      <c r="B725" s="5" t="s">
        <v>73</v>
      </c>
      <c r="C725" s="5" t="s">
        <v>82</v>
      </c>
      <c r="D725" s="5" t="n">
        <v>8</v>
      </c>
      <c r="E725" s="13" t="n">
        <v>1.07</v>
      </c>
      <c r="F725" s="14" t="n">
        <f aca="false">E725*Assumptions!$D$5</f>
        <v>144.1317179935</v>
      </c>
      <c r="G725" s="14" t="n">
        <v>225</v>
      </c>
      <c r="H725" s="14" t="n">
        <v>345</v>
      </c>
      <c r="I725" s="14" t="n">
        <f aca="false">F725-(G725+H725)/2</f>
        <v>-140.8682820065</v>
      </c>
      <c r="J725" s="5" t="str">
        <f aca="false">IF(D725&lt;8,"LOW SAMPLE",IF(F725&gt;H725*(1+Assumptions!$B$10),"UNDERPAID",IF(F725&lt;G725*(1-Assumptions!$B$10),"OVERPAID","FAIR")))</f>
        <v>OVERPAID</v>
      </c>
      <c r="K725" s="5" t="n">
        <v>17</v>
      </c>
    </row>
    <row r="726" customFormat="false" ht="15" hidden="false" customHeight="false" outlineLevel="0" collapsed="false">
      <c r="A726" s="5" t="n">
        <v>2022</v>
      </c>
      <c r="B726" s="5" t="s">
        <v>73</v>
      </c>
      <c r="C726" s="5" t="s">
        <v>83</v>
      </c>
      <c r="D726" s="5" t="n">
        <v>17</v>
      </c>
      <c r="E726" s="13" t="n">
        <v>3.24</v>
      </c>
      <c r="F726" s="14" t="n">
        <f aca="false">E726*Assumptions!$D$5</f>
        <v>436.436230185926</v>
      </c>
      <c r="G726" s="14" t="n">
        <v>450</v>
      </c>
      <c r="H726" s="14" t="n">
        <v>615</v>
      </c>
      <c r="I726" s="14" t="n">
        <f aca="false">F726-(G726+H726)/2</f>
        <v>-96.0637698140739</v>
      </c>
      <c r="J726" s="5" t="str">
        <f aca="false">IF(D726&lt;8,"LOW SAMPLE",IF(F726&gt;H726*(1+Assumptions!$B$10),"UNDERPAID",IF(F726&lt;G726*(1-Assumptions!$B$10),"OVERPAID","FAIR")))</f>
        <v>FAIR</v>
      </c>
      <c r="K726" s="5" t="n">
        <v>110</v>
      </c>
    </row>
    <row r="727" customFormat="false" ht="15" hidden="false" customHeight="false" outlineLevel="0" collapsed="false">
      <c r="A727" s="5" t="n">
        <v>2022</v>
      </c>
      <c r="B727" s="5" t="s">
        <v>73</v>
      </c>
      <c r="C727" s="5" t="s">
        <v>85</v>
      </c>
      <c r="D727" s="5" t="n">
        <v>24</v>
      </c>
      <c r="E727" s="13" t="n">
        <v>4.68</v>
      </c>
      <c r="F727" s="14" t="n">
        <f aca="false">E727*Assumptions!$D$5</f>
        <v>630.407888046338</v>
      </c>
      <c r="G727" s="14" t="n">
        <v>615</v>
      </c>
      <c r="H727" s="14" t="n">
        <v>855</v>
      </c>
      <c r="I727" s="14" t="n">
        <f aca="false">F727-(G727+H727)/2</f>
        <v>-104.592111953662</v>
      </c>
      <c r="J727" s="5" t="str">
        <f aca="false">IF(D727&lt;8,"LOW SAMPLE",IF(F727&gt;H727*(1+Assumptions!$B$10),"UNDERPAID",IF(F727&lt;G727*(1-Assumptions!$B$10),"OVERPAID","FAIR")))</f>
        <v>FAIR</v>
      </c>
      <c r="K727" s="5" t="n">
        <v>136</v>
      </c>
    </row>
    <row r="728" customFormat="false" ht="15" hidden="false" customHeight="false" outlineLevel="0" collapsed="false">
      <c r="A728" s="5" t="n">
        <v>2022</v>
      </c>
      <c r="B728" s="5" t="s">
        <v>73</v>
      </c>
      <c r="C728" s="5" t="s">
        <v>86</v>
      </c>
      <c r="D728" s="5" t="n">
        <v>5</v>
      </c>
      <c r="E728" s="13" t="n">
        <v>0.24</v>
      </c>
      <c r="F728" s="14" t="n">
        <f aca="false">E728*Assumptions!$D$5</f>
        <v>32.3286096434019</v>
      </c>
      <c r="G728" s="14" t="n">
        <v>125</v>
      </c>
      <c r="H728" s="14" t="n">
        <v>225</v>
      </c>
      <c r="I728" s="14" t="n">
        <f aca="false">F728-(G728+H728)/2</f>
        <v>-142.671390356598</v>
      </c>
      <c r="J728" s="5" t="str">
        <f aca="false">IF(D728&lt;8,"LOW SAMPLE",IF(F728&gt;H728*(1+Assumptions!$B$10),"UNDERPAID",IF(F728&lt;G728*(1-Assumptions!$B$10),"OVERPAID","FAIR")))</f>
        <v>LOW SAMPLE</v>
      </c>
      <c r="K728" s="5" t="n">
        <v>2</v>
      </c>
    </row>
    <row r="729" customFormat="false" ht="15" hidden="false" customHeight="false" outlineLevel="0" collapsed="false">
      <c r="A729" s="5" t="n">
        <v>2022</v>
      </c>
      <c r="B729" s="5" t="s">
        <v>73</v>
      </c>
      <c r="C729" s="5" t="s">
        <v>87</v>
      </c>
      <c r="D729" s="5" t="n">
        <v>24</v>
      </c>
      <c r="E729" s="13" t="n">
        <v>6.04</v>
      </c>
      <c r="F729" s="14" t="n">
        <f aca="false">E729*Assumptions!$D$5</f>
        <v>813.603342692282</v>
      </c>
      <c r="G729" s="14" t="n">
        <v>855</v>
      </c>
      <c r="H729" s="14" t="n">
        <v>1170</v>
      </c>
      <c r="I729" s="14" t="n">
        <f aca="false">F729-(G729+H729)/2</f>
        <v>-198.896657307718</v>
      </c>
      <c r="J729" s="5" t="str">
        <f aca="false">IF(D729&lt;8,"LOW SAMPLE",IF(F729&gt;H729*(1+Assumptions!$B$10),"UNDERPAID",IF(F729&lt;G729*(1-Assumptions!$B$10),"OVERPAID","FAIR")))</f>
        <v>FAIR</v>
      </c>
      <c r="K729" s="5" t="n">
        <v>106</v>
      </c>
    </row>
    <row r="730" customFormat="false" ht="15" hidden="false" customHeight="false" outlineLevel="0" collapsed="false">
      <c r="A730" s="5" t="n">
        <v>2022</v>
      </c>
      <c r="B730" s="5" t="s">
        <v>73</v>
      </c>
      <c r="C730" s="5" t="s">
        <v>88</v>
      </c>
      <c r="D730" s="5" t="n">
        <v>12</v>
      </c>
      <c r="E730" s="13" t="n">
        <v>2.15</v>
      </c>
      <c r="F730" s="14" t="n">
        <f aca="false">E730*Assumptions!$D$5</f>
        <v>289.610461388809</v>
      </c>
      <c r="G730" s="14" t="n">
        <v>125</v>
      </c>
      <c r="H730" s="14" t="n">
        <v>225</v>
      </c>
      <c r="I730" s="14" t="n">
        <f aca="false">F730-(G730+H730)/2</f>
        <v>114.610461388809</v>
      </c>
      <c r="J730" s="5" t="str">
        <f aca="false">IF(D730&lt;8,"LOW SAMPLE",IF(F730&gt;H730*(1+Assumptions!$B$10),"UNDERPAID",IF(F730&lt;G730*(1-Assumptions!$B$10),"OVERPAID","FAIR")))</f>
        <v>UNDERPAID</v>
      </c>
      <c r="K730" s="5" t="n">
        <v>15</v>
      </c>
    </row>
    <row r="731" customFormat="false" ht="15" hidden="false" customHeight="false" outlineLevel="0" collapsed="false">
      <c r="A731" s="5" t="n">
        <v>2022</v>
      </c>
      <c r="B731" s="5" t="s">
        <v>73</v>
      </c>
      <c r="C731" s="5" t="s">
        <v>89</v>
      </c>
      <c r="D731" s="5" t="n">
        <v>2</v>
      </c>
      <c r="E731" s="13" t="n">
        <v>0.2</v>
      </c>
      <c r="F731" s="14" t="n">
        <f aca="false">E731*Assumptions!$D$5</f>
        <v>26.9405080361683</v>
      </c>
      <c r="G731" s="14" t="n">
        <v>125</v>
      </c>
      <c r="H731" s="14" t="n">
        <v>225</v>
      </c>
      <c r="I731" s="14" t="n">
        <f aca="false">F731-(G731+H731)/2</f>
        <v>-148.059491963832</v>
      </c>
      <c r="J731" s="5" t="str">
        <f aca="false">IF(D731&lt;8,"LOW SAMPLE",IF(F731&gt;H731*(1+Assumptions!$B$10),"UNDERPAID",IF(F731&lt;G731*(1-Assumptions!$B$10),"OVERPAID","FAIR")))</f>
        <v>LOW SAMPLE</v>
      </c>
      <c r="K731" s="5" t="n">
        <v>9</v>
      </c>
    </row>
    <row r="732" customFormat="false" ht="15" hidden="false" customHeight="false" outlineLevel="0" collapsed="false">
      <c r="A732" s="5" t="n">
        <v>2022</v>
      </c>
      <c r="B732" s="5" t="s">
        <v>73</v>
      </c>
      <c r="C732" s="5" t="s">
        <v>731</v>
      </c>
      <c r="D732" s="5" t="n">
        <v>3</v>
      </c>
      <c r="E732" s="13" t="n">
        <v>0.28</v>
      </c>
      <c r="F732" s="14" t="n">
        <f aca="false">E732*Assumptions!$D$5</f>
        <v>37.7167112506356</v>
      </c>
      <c r="G732" s="14" t="n">
        <v>225</v>
      </c>
      <c r="H732" s="14" t="n">
        <v>345</v>
      </c>
      <c r="I732" s="14" t="n">
        <f aca="false">F732-(G732+H732)/2</f>
        <v>-247.283288749364</v>
      </c>
      <c r="J732" s="5" t="str">
        <f aca="false">IF(D732&lt;8,"LOW SAMPLE",IF(F732&gt;H732*(1+Assumptions!$B$10),"UNDERPAID",IF(F732&lt;G732*(1-Assumptions!$B$10),"OVERPAID","FAIR")))</f>
        <v>LOW SAMPLE</v>
      </c>
      <c r="K732" s="5" t="n">
        <v>0</v>
      </c>
    </row>
    <row r="733" customFormat="false" ht="15" hidden="false" customHeight="false" outlineLevel="0" collapsed="false">
      <c r="A733" s="5" t="n">
        <v>2022</v>
      </c>
      <c r="B733" s="5" t="s">
        <v>73</v>
      </c>
      <c r="C733" s="5" t="s">
        <v>90</v>
      </c>
      <c r="D733" s="5" t="n">
        <v>23</v>
      </c>
      <c r="E733" s="13" t="n">
        <v>4.32</v>
      </c>
      <c r="F733" s="14" t="n">
        <f aca="false">E733*Assumptions!$D$5</f>
        <v>581.914973581235</v>
      </c>
      <c r="G733" s="14" t="n">
        <v>345</v>
      </c>
      <c r="H733" s="14" t="n">
        <v>450</v>
      </c>
      <c r="I733" s="14" t="n">
        <f aca="false">F733-(G733+H733)/2</f>
        <v>184.414973581235</v>
      </c>
      <c r="J733" s="5" t="str">
        <f aca="false">IF(D733&lt;8,"LOW SAMPLE",IF(F733&gt;H733*(1+Assumptions!$B$10),"UNDERPAID",IF(F733&lt;G733*(1-Assumptions!$B$10),"OVERPAID","FAIR")))</f>
        <v>UNDERPAID</v>
      </c>
      <c r="K733" s="5" t="n">
        <v>85</v>
      </c>
    </row>
    <row r="734" customFormat="false" ht="15" hidden="false" customHeight="false" outlineLevel="0" collapsed="false">
      <c r="A734" s="5" t="n">
        <v>2022</v>
      </c>
      <c r="B734" s="5" t="s">
        <v>73</v>
      </c>
      <c r="C734" s="5" t="s">
        <v>91</v>
      </c>
      <c r="D734" s="5" t="n">
        <v>22</v>
      </c>
      <c r="E734" s="13" t="n">
        <v>5.47</v>
      </c>
      <c r="F734" s="14" t="n">
        <f aca="false">E734*Assumptions!$D$5</f>
        <v>736.822894789203</v>
      </c>
      <c r="G734" s="14" t="n">
        <v>855</v>
      </c>
      <c r="H734" s="14" t="n">
        <v>1170</v>
      </c>
      <c r="I734" s="14" t="n">
        <f aca="false">F734-(G734+H734)/2</f>
        <v>-275.677105210798</v>
      </c>
      <c r="J734" s="5" t="str">
        <f aca="false">IF(D734&lt;8,"LOW SAMPLE",IF(F734&gt;H734*(1+Assumptions!$B$10),"UNDERPAID",IF(F734&lt;G734*(1-Assumptions!$B$10),"OVERPAID","FAIR")))</f>
        <v>FAIR</v>
      </c>
      <c r="K734" s="5" t="n">
        <v>137</v>
      </c>
    </row>
    <row r="735" customFormat="false" ht="15" hidden="false" customHeight="false" outlineLevel="0" collapsed="false">
      <c r="A735" s="5" t="n">
        <v>2022</v>
      </c>
      <c r="B735" s="5" t="s">
        <v>73</v>
      </c>
      <c r="C735" s="5" t="s">
        <v>92</v>
      </c>
      <c r="D735" s="5" t="n">
        <v>12</v>
      </c>
      <c r="E735" s="13" t="n">
        <v>1.38</v>
      </c>
      <c r="F735" s="14" t="n">
        <f aca="false">E735*Assumptions!$D$5</f>
        <v>185.889505449561</v>
      </c>
      <c r="G735" s="14" t="n">
        <v>225</v>
      </c>
      <c r="H735" s="14" t="n">
        <v>345</v>
      </c>
      <c r="I735" s="14" t="n">
        <f aca="false">F735-(G735+H735)/2</f>
        <v>-99.1104945504389</v>
      </c>
      <c r="J735" s="5" t="str">
        <f aca="false">IF(D735&lt;8,"LOW SAMPLE",IF(F735&gt;H735*(1+Assumptions!$B$10),"UNDERPAID",IF(F735&lt;G735*(1-Assumptions!$B$10),"OVERPAID","FAIR")))</f>
        <v>OVERPAID</v>
      </c>
      <c r="K735" s="5" t="n">
        <v>18</v>
      </c>
    </row>
    <row r="736" customFormat="false" ht="15" hidden="false" customHeight="false" outlineLevel="0" collapsed="false">
      <c r="A736" s="5" t="n">
        <v>2022</v>
      </c>
      <c r="B736" s="5" t="s">
        <v>73</v>
      </c>
      <c r="C736" s="5" t="s">
        <v>93</v>
      </c>
      <c r="D736" s="5" t="n">
        <v>19</v>
      </c>
      <c r="E736" s="13" t="n">
        <v>3.85</v>
      </c>
      <c r="F736" s="14" t="n">
        <f aca="false">E736*Assumptions!$D$5</f>
        <v>518.604779696239</v>
      </c>
      <c r="G736" s="14" t="n">
        <v>345</v>
      </c>
      <c r="H736" s="14" t="n">
        <v>450</v>
      </c>
      <c r="I736" s="14" t="n">
        <f aca="false">F736-(G736+H736)/2</f>
        <v>121.104779696239</v>
      </c>
      <c r="J736" s="5" t="str">
        <f aca="false">IF(D736&lt;8,"LOW SAMPLE",IF(F736&gt;H736*(1+Assumptions!$B$10),"UNDERPAID",IF(F736&lt;G736*(1-Assumptions!$B$10),"OVERPAID","FAIR")))</f>
        <v>UNDERPAID</v>
      </c>
      <c r="K736" s="5" t="n">
        <v>106</v>
      </c>
    </row>
    <row r="737" customFormat="false" ht="15" hidden="false" customHeight="false" outlineLevel="0" collapsed="false">
      <c r="A737" s="5" t="n">
        <v>2022</v>
      </c>
      <c r="B737" s="5" t="s">
        <v>73</v>
      </c>
      <c r="C737" s="5" t="s">
        <v>732</v>
      </c>
      <c r="D737" s="5" t="n">
        <v>2</v>
      </c>
      <c r="E737" s="13" t="n">
        <v>0.26</v>
      </c>
      <c r="F737" s="14" t="n">
        <f aca="false">E737*Assumptions!$D$5</f>
        <v>35.0226604470188</v>
      </c>
      <c r="G737" s="14" t="n">
        <v>225</v>
      </c>
      <c r="H737" s="14" t="n">
        <v>345</v>
      </c>
      <c r="I737" s="14" t="n">
        <f aca="false">F737-(G737+H737)/2</f>
        <v>-249.977339552981</v>
      </c>
      <c r="J737" s="5" t="str">
        <f aca="false">IF(D737&lt;8,"LOW SAMPLE",IF(F737&gt;H737*(1+Assumptions!$B$10),"UNDERPAID",IF(F737&lt;G737*(1-Assumptions!$B$10),"OVERPAID","FAIR")))</f>
        <v>LOW SAMPLE</v>
      </c>
      <c r="K737" s="5" t="n">
        <v>0</v>
      </c>
    </row>
    <row r="738" customFormat="false" ht="15" hidden="false" customHeight="false" outlineLevel="0" collapsed="false">
      <c r="A738" s="5" t="n">
        <v>2022</v>
      </c>
      <c r="B738" s="5" t="s">
        <v>73</v>
      </c>
      <c r="C738" s="5" t="s">
        <v>94</v>
      </c>
      <c r="D738" s="5" t="n">
        <v>18</v>
      </c>
      <c r="E738" s="13" t="n">
        <v>3.15</v>
      </c>
      <c r="F738" s="14" t="n">
        <f aca="false">E738*Assumptions!$D$5</f>
        <v>424.31300156965</v>
      </c>
      <c r="G738" s="14" t="n">
        <v>225</v>
      </c>
      <c r="H738" s="14" t="n">
        <v>345</v>
      </c>
      <c r="I738" s="14" t="n">
        <f aca="false">F738-(G738+H738)/2</f>
        <v>139.31300156965</v>
      </c>
      <c r="J738" s="5" t="str">
        <f aca="false">IF(D738&lt;8,"LOW SAMPLE",IF(F738&gt;H738*(1+Assumptions!$B$10),"UNDERPAID",IF(F738&lt;G738*(1-Assumptions!$B$10),"OVERPAID","FAIR")))</f>
        <v>UNDERPAID</v>
      </c>
      <c r="K738" s="5" t="n">
        <v>23</v>
      </c>
    </row>
    <row r="739" customFormat="false" ht="15" hidden="false" customHeight="false" outlineLevel="0" collapsed="false">
      <c r="A739" s="5" t="n">
        <v>2022</v>
      </c>
      <c r="B739" s="5" t="s">
        <v>73</v>
      </c>
      <c r="C739" s="5" t="s">
        <v>95</v>
      </c>
      <c r="D739" s="5" t="n">
        <v>25</v>
      </c>
      <c r="E739" s="13" t="n">
        <v>7.32</v>
      </c>
      <c r="F739" s="14" t="n">
        <f aca="false">E739*Assumptions!$D$5</f>
        <v>986.022594123759</v>
      </c>
      <c r="G739" s="14" t="n">
        <v>615</v>
      </c>
      <c r="H739" s="14" t="n">
        <v>855</v>
      </c>
      <c r="I739" s="14" t="n">
        <f aca="false">F739-(G739+H739)/2</f>
        <v>251.022594123759</v>
      </c>
      <c r="J739" s="5" t="str">
        <f aca="false">IF(D739&lt;8,"LOW SAMPLE",IF(F739&gt;H739*(1+Assumptions!$B$10),"UNDERPAID",IF(F739&lt;G739*(1-Assumptions!$B$10),"OVERPAID","FAIR")))</f>
        <v>UNDERPAID</v>
      </c>
      <c r="K739" s="5" t="n">
        <v>149</v>
      </c>
    </row>
    <row r="740" customFormat="false" ht="15" hidden="false" customHeight="false" outlineLevel="0" collapsed="false">
      <c r="A740" s="5" t="n">
        <v>2022</v>
      </c>
      <c r="B740" s="5" t="s">
        <v>73</v>
      </c>
      <c r="C740" s="5" t="s">
        <v>96</v>
      </c>
      <c r="D740" s="5" t="n">
        <v>25</v>
      </c>
      <c r="E740" s="13" t="n">
        <v>4.85</v>
      </c>
      <c r="F740" s="14" t="n">
        <f aca="false">E740*Assumptions!$D$5</f>
        <v>653.307319877081</v>
      </c>
      <c r="G740" s="14" t="n">
        <v>615</v>
      </c>
      <c r="H740" s="14" t="n">
        <v>855</v>
      </c>
      <c r="I740" s="14" t="n">
        <f aca="false">F740-(G740+H740)/2</f>
        <v>-81.6926801229192</v>
      </c>
      <c r="J740" s="5" t="str">
        <f aca="false">IF(D740&lt;8,"LOW SAMPLE",IF(F740&gt;H740*(1+Assumptions!$B$10),"UNDERPAID",IF(F740&lt;G740*(1-Assumptions!$B$10),"OVERPAID","FAIR")))</f>
        <v>FAIR</v>
      </c>
      <c r="K740" s="5" t="n">
        <v>89</v>
      </c>
    </row>
    <row r="741" customFormat="false" ht="15" hidden="false" customHeight="false" outlineLevel="0" collapsed="false">
      <c r="A741" s="5" t="n">
        <v>2022</v>
      </c>
      <c r="B741" s="5" t="s">
        <v>73</v>
      </c>
      <c r="C741" s="5" t="s">
        <v>97</v>
      </c>
      <c r="D741" s="5" t="n">
        <v>18</v>
      </c>
      <c r="E741" s="13" t="n">
        <v>3.25</v>
      </c>
      <c r="F741" s="14" t="n">
        <f aca="false">E741*Assumptions!$D$5</f>
        <v>437.783255587735</v>
      </c>
      <c r="G741" s="14" t="n">
        <v>225</v>
      </c>
      <c r="H741" s="14" t="n">
        <v>345</v>
      </c>
      <c r="I741" s="14" t="n">
        <f aca="false">F741-(G741+H741)/2</f>
        <v>152.783255587735</v>
      </c>
      <c r="J741" s="5" t="str">
        <f aca="false">IF(D741&lt;8,"LOW SAMPLE",IF(F741&gt;H741*(1+Assumptions!$B$10),"UNDERPAID",IF(F741&lt;G741*(1-Assumptions!$B$10),"OVERPAID","FAIR")))</f>
        <v>UNDERPAID</v>
      </c>
      <c r="K741" s="5" t="n">
        <v>55</v>
      </c>
    </row>
    <row r="742" customFormat="false" ht="15" hidden="false" customHeight="false" outlineLevel="0" collapsed="false">
      <c r="A742" s="5" t="n">
        <v>2022</v>
      </c>
      <c r="B742" s="5" t="s">
        <v>73</v>
      </c>
      <c r="C742" s="5" t="s">
        <v>98</v>
      </c>
      <c r="D742" s="5" t="n">
        <v>15</v>
      </c>
      <c r="E742" s="13" t="n">
        <v>2</v>
      </c>
      <c r="F742" s="14" t="n">
        <f aca="false">E742*Assumptions!$D$5</f>
        <v>269.405080361683</v>
      </c>
      <c r="G742" s="14" t="n">
        <v>615</v>
      </c>
      <c r="H742" s="14" t="n">
        <v>855</v>
      </c>
      <c r="I742" s="14" t="n">
        <f aca="false">F742-(G742+H742)/2</f>
        <v>-465.594919638317</v>
      </c>
      <c r="J742" s="5" t="str">
        <f aca="false">IF(D742&lt;8,"LOW SAMPLE",IF(F742&gt;H742*(1+Assumptions!$B$10),"UNDERPAID",IF(F742&lt;G742*(1-Assumptions!$B$10),"OVERPAID","FAIR")))</f>
        <v>OVERPAID</v>
      </c>
      <c r="K742" s="5" t="n">
        <v>132</v>
      </c>
    </row>
    <row r="743" customFormat="false" ht="15" hidden="false" customHeight="false" outlineLevel="0" collapsed="false">
      <c r="A743" s="5" t="n">
        <v>2022</v>
      </c>
      <c r="B743" s="5" t="s">
        <v>73</v>
      </c>
      <c r="C743" s="5" t="s">
        <v>99</v>
      </c>
      <c r="D743" s="5" t="n">
        <v>8</v>
      </c>
      <c r="E743" s="13" t="n">
        <v>1.08</v>
      </c>
      <c r="F743" s="14" t="n">
        <f aca="false">E743*Assumptions!$D$5</f>
        <v>145.478743395309</v>
      </c>
      <c r="G743" s="14" t="n">
        <v>225</v>
      </c>
      <c r="H743" s="14" t="n">
        <v>345</v>
      </c>
      <c r="I743" s="14" t="n">
        <f aca="false">F743-(G743+H743)/2</f>
        <v>-139.521256604691</v>
      </c>
      <c r="J743" s="5" t="str">
        <f aca="false">IF(D743&lt;8,"LOW SAMPLE",IF(F743&gt;H743*(1+Assumptions!$B$10),"UNDERPAID",IF(F743&lt;G743*(1-Assumptions!$B$10),"OVERPAID","FAIR")))</f>
        <v>OVERPAID</v>
      </c>
      <c r="K743" s="5" t="n">
        <v>41</v>
      </c>
    </row>
    <row r="744" customFormat="false" ht="15" hidden="false" customHeight="false" outlineLevel="0" collapsed="false">
      <c r="A744" s="5" t="n">
        <v>2022</v>
      </c>
      <c r="B744" s="5" t="s">
        <v>73</v>
      </c>
      <c r="C744" s="5" t="s">
        <v>733</v>
      </c>
      <c r="D744" s="5" t="n">
        <v>23</v>
      </c>
      <c r="E744" s="13" t="n">
        <v>3.03</v>
      </c>
      <c r="F744" s="14" t="n">
        <f aca="false">E744*Assumptions!$D$5</f>
        <v>408.148696747949</v>
      </c>
      <c r="G744" s="14" t="n">
        <v>225</v>
      </c>
      <c r="H744" s="14" t="n">
        <v>345</v>
      </c>
      <c r="I744" s="14" t="n">
        <f aca="false">F744-(G744+H744)/2</f>
        <v>123.148696747949</v>
      </c>
      <c r="J744" s="5" t="str">
        <f aca="false">IF(D744&lt;8,"LOW SAMPLE",IF(F744&gt;H744*(1+Assumptions!$B$10),"UNDERPAID",IF(F744&lt;G744*(1-Assumptions!$B$10),"OVERPAID","FAIR")))</f>
        <v>UNDERPAID</v>
      </c>
      <c r="K744" s="5" t="n">
        <v>28</v>
      </c>
    </row>
    <row r="745" customFormat="false" ht="15" hidden="false" customHeight="false" outlineLevel="0" collapsed="false">
      <c r="A745" s="5" t="n">
        <v>2022</v>
      </c>
      <c r="B745" s="5" t="s">
        <v>73</v>
      </c>
      <c r="C745" s="5" t="s">
        <v>100</v>
      </c>
      <c r="D745" s="5" t="n">
        <v>22</v>
      </c>
      <c r="E745" s="13" t="n">
        <v>4.96</v>
      </c>
      <c r="F745" s="14" t="n">
        <f aca="false">E745*Assumptions!$D$5</f>
        <v>668.124599296973</v>
      </c>
      <c r="G745" s="14" t="n">
        <v>855</v>
      </c>
      <c r="H745" s="14" t="n">
        <v>1170</v>
      </c>
      <c r="I745" s="14" t="n">
        <f aca="false">F745-(G745+H745)/2</f>
        <v>-344.375400703027</v>
      </c>
      <c r="J745" s="5" t="str">
        <f aca="false">IF(D745&lt;8,"LOW SAMPLE",IF(F745&gt;H745*(1+Assumptions!$B$10),"UNDERPAID",IF(F745&lt;G745*(1-Assumptions!$B$10),"OVERPAID","FAIR")))</f>
        <v>OVERPAID</v>
      </c>
      <c r="K745" s="5" t="n">
        <v>79</v>
      </c>
    </row>
    <row r="746" customFormat="false" ht="15" hidden="false" customHeight="false" outlineLevel="0" collapsed="false">
      <c r="A746" s="5" t="n">
        <v>2022</v>
      </c>
      <c r="B746" s="5" t="s">
        <v>73</v>
      </c>
      <c r="C746" s="5" t="s">
        <v>101</v>
      </c>
      <c r="D746" s="5" t="n">
        <v>10</v>
      </c>
      <c r="E746" s="13" t="n">
        <v>1.58</v>
      </c>
      <c r="F746" s="14" t="n">
        <f aca="false">E746*Assumptions!$D$5</f>
        <v>212.830013485729</v>
      </c>
      <c r="G746" s="14" t="n">
        <v>225</v>
      </c>
      <c r="H746" s="14" t="n">
        <v>345</v>
      </c>
      <c r="I746" s="14" t="n">
        <f aca="false">F746-(G746+H746)/2</f>
        <v>-72.1699865142706</v>
      </c>
      <c r="J746" s="5" t="str">
        <f aca="false">IF(D746&lt;8,"LOW SAMPLE",IF(F746&gt;H746*(1+Assumptions!$B$10),"UNDERPAID",IF(F746&lt;G746*(1-Assumptions!$B$10),"OVERPAID","FAIR")))</f>
        <v>FAIR</v>
      </c>
      <c r="K746" s="5" t="n">
        <v>62</v>
      </c>
    </row>
    <row r="747" customFormat="false" ht="15" hidden="false" customHeight="false" outlineLevel="0" collapsed="false">
      <c r="A747" s="5" t="n">
        <v>2022</v>
      </c>
      <c r="B747" s="5" t="s">
        <v>73</v>
      </c>
      <c r="C747" s="5" t="s">
        <v>102</v>
      </c>
      <c r="D747" s="5" t="n">
        <v>3</v>
      </c>
      <c r="E747" s="13" t="n">
        <v>0.33</v>
      </c>
      <c r="F747" s="14" t="n">
        <f aca="false">E747*Assumptions!$D$5</f>
        <v>44.4518382596777</v>
      </c>
      <c r="G747" s="14" t="n">
        <v>345</v>
      </c>
      <c r="H747" s="14" t="n">
        <v>450</v>
      </c>
      <c r="I747" s="14" t="n">
        <f aca="false">F747-(G747+H747)/2</f>
        <v>-353.048161740322</v>
      </c>
      <c r="J747" s="5" t="str">
        <f aca="false">IF(D747&lt;8,"LOW SAMPLE",IF(F747&gt;H747*(1+Assumptions!$B$10),"UNDERPAID",IF(F747&lt;G747*(1-Assumptions!$B$10),"OVERPAID","FAIR")))</f>
        <v>LOW SAMPLE</v>
      </c>
      <c r="K747" s="5" t="n">
        <v>106</v>
      </c>
    </row>
    <row r="748" customFormat="false" ht="15" hidden="false" customHeight="false" outlineLevel="0" collapsed="false">
      <c r="A748" s="5" t="n">
        <v>2022</v>
      </c>
      <c r="B748" s="5" t="s">
        <v>73</v>
      </c>
      <c r="C748" s="5" t="s">
        <v>103</v>
      </c>
      <c r="D748" s="5" t="n">
        <v>3</v>
      </c>
      <c r="E748" s="13" t="n">
        <v>0.26</v>
      </c>
      <c r="F748" s="14" t="n">
        <f aca="false">E748*Assumptions!$D$5</f>
        <v>35.0226604470188</v>
      </c>
      <c r="G748" s="14" t="n">
        <v>125</v>
      </c>
      <c r="H748" s="14" t="n">
        <v>225</v>
      </c>
      <c r="I748" s="14" t="n">
        <f aca="false">F748-(G748+H748)/2</f>
        <v>-139.977339552981</v>
      </c>
      <c r="J748" s="5" t="str">
        <f aca="false">IF(D748&lt;8,"LOW SAMPLE",IF(F748&gt;H748*(1+Assumptions!$B$10),"UNDERPAID",IF(F748&lt;G748*(1-Assumptions!$B$10),"OVERPAID","FAIR")))</f>
        <v>LOW SAMPLE</v>
      </c>
      <c r="K748" s="5" t="n">
        <v>17</v>
      </c>
    </row>
    <row r="749" customFormat="false" ht="15" hidden="false" customHeight="false" outlineLevel="0" collapsed="false">
      <c r="A749" s="5" t="n">
        <v>2022</v>
      </c>
      <c r="B749" s="5" t="s">
        <v>73</v>
      </c>
      <c r="C749" s="5" t="s">
        <v>104</v>
      </c>
      <c r="D749" s="5" t="n">
        <v>5</v>
      </c>
      <c r="E749" s="13" t="n">
        <v>0.67</v>
      </c>
      <c r="F749" s="14" t="n">
        <f aca="false">E749*Assumptions!$D$5</f>
        <v>90.2507019211637</v>
      </c>
      <c r="G749" s="14" t="n">
        <v>125</v>
      </c>
      <c r="H749" s="14" t="n">
        <v>225</v>
      </c>
      <c r="I749" s="14" t="n">
        <f aca="false">F749-(G749+H749)/2</f>
        <v>-84.7492980788363</v>
      </c>
      <c r="J749" s="5" t="str">
        <f aca="false">IF(D749&lt;8,"LOW SAMPLE",IF(F749&gt;H749*(1+Assumptions!$B$10),"UNDERPAID",IF(F749&lt;G749*(1-Assumptions!$B$10),"OVERPAID","FAIR")))</f>
        <v>LOW SAMPLE</v>
      </c>
      <c r="K749" s="5" t="n">
        <v>14</v>
      </c>
    </row>
    <row r="750" customFormat="false" ht="15" hidden="false" customHeight="false" outlineLevel="0" collapsed="false">
      <c r="A750" s="5" t="n">
        <v>2022</v>
      </c>
      <c r="B750" s="5" t="s">
        <v>73</v>
      </c>
      <c r="C750" s="5" t="s">
        <v>105</v>
      </c>
      <c r="D750" s="5" t="n">
        <v>24</v>
      </c>
      <c r="E750" s="13" t="n">
        <v>5.17</v>
      </c>
      <c r="F750" s="14" t="n">
        <f aca="false">E750*Assumptions!$D$5</f>
        <v>696.41213273495</v>
      </c>
      <c r="G750" s="14" t="n">
        <v>450</v>
      </c>
      <c r="H750" s="14" t="n">
        <v>615</v>
      </c>
      <c r="I750" s="14" t="n">
        <f aca="false">F750-(G750+H750)/2</f>
        <v>163.91213273495</v>
      </c>
      <c r="J750" s="5" t="str">
        <f aca="false">IF(D750&lt;8,"LOW SAMPLE",IF(F750&gt;H750*(1+Assumptions!$B$10),"UNDERPAID",IF(F750&lt;G750*(1-Assumptions!$B$10),"OVERPAID","FAIR")))</f>
        <v>FAIR</v>
      </c>
      <c r="K750" s="5" t="n">
        <v>70</v>
      </c>
    </row>
    <row r="751" customFormat="false" ht="15" hidden="false" customHeight="false" outlineLevel="0" collapsed="false">
      <c r="A751" s="5" t="n">
        <v>2022</v>
      </c>
      <c r="B751" s="5" t="s">
        <v>106</v>
      </c>
      <c r="C751" s="5" t="s">
        <v>225</v>
      </c>
      <c r="D751" s="5" t="n">
        <v>18</v>
      </c>
      <c r="E751" s="13" t="n">
        <v>4.28</v>
      </c>
      <c r="F751" s="14" t="n">
        <f aca="false">E751*Assumptions!$D$5</f>
        <v>576.526871974001</v>
      </c>
      <c r="G751" s="14" t="n">
        <v>450</v>
      </c>
      <c r="H751" s="14" t="n">
        <v>615</v>
      </c>
      <c r="I751" s="14" t="n">
        <f aca="false">F751-(G751+H751)/2</f>
        <v>44.0268719740012</v>
      </c>
      <c r="J751" s="5" t="str">
        <f aca="false">IF(D751&lt;8,"LOW SAMPLE",IF(F751&gt;H751*(1+Assumptions!$B$10),"UNDERPAID",IF(F751&lt;G751*(1-Assumptions!$B$10),"OVERPAID","FAIR")))</f>
        <v>FAIR</v>
      </c>
      <c r="K751" s="5" t="n">
        <v>76</v>
      </c>
    </row>
    <row r="752" customFormat="false" ht="15" hidden="false" customHeight="false" outlineLevel="0" collapsed="false">
      <c r="A752" s="5" t="n">
        <v>2022</v>
      </c>
      <c r="B752" s="5" t="s">
        <v>106</v>
      </c>
      <c r="C752" s="5" t="s">
        <v>107</v>
      </c>
      <c r="D752" s="5" t="n">
        <v>21</v>
      </c>
      <c r="E752" s="13" t="n">
        <v>4.93</v>
      </c>
      <c r="F752" s="14" t="n">
        <f aca="false">E752*Assumptions!$D$5</f>
        <v>664.083523091548</v>
      </c>
      <c r="G752" s="14" t="n">
        <v>615</v>
      </c>
      <c r="H752" s="14" t="n">
        <v>855</v>
      </c>
      <c r="I752" s="14" t="n">
        <f aca="false">F752-(G752+H752)/2</f>
        <v>-70.916476908452</v>
      </c>
      <c r="J752" s="5" t="str">
        <f aca="false">IF(D752&lt;8,"LOW SAMPLE",IF(F752&gt;H752*(1+Assumptions!$B$10),"UNDERPAID",IF(F752&lt;G752*(1-Assumptions!$B$10),"OVERPAID","FAIR")))</f>
        <v>FAIR</v>
      </c>
      <c r="K752" s="5" t="n">
        <v>131</v>
      </c>
    </row>
    <row r="753" customFormat="false" ht="15" hidden="false" customHeight="false" outlineLevel="0" collapsed="false">
      <c r="A753" s="5" t="n">
        <v>2022</v>
      </c>
      <c r="B753" s="5" t="s">
        <v>106</v>
      </c>
      <c r="C753" s="5" t="s">
        <v>108</v>
      </c>
      <c r="D753" s="5" t="n">
        <v>4</v>
      </c>
      <c r="E753" s="13" t="n">
        <v>0.44</v>
      </c>
      <c r="F753" s="14" t="n">
        <f aca="false">E753*Assumptions!$D$5</f>
        <v>59.2691176795702</v>
      </c>
      <c r="G753" s="14" t="n">
        <v>125</v>
      </c>
      <c r="H753" s="14" t="n">
        <v>225</v>
      </c>
      <c r="I753" s="14" t="n">
        <f aca="false">F753-(G753+H753)/2</f>
        <v>-115.73088232043</v>
      </c>
      <c r="J753" s="5" t="str">
        <f aca="false">IF(D753&lt;8,"LOW SAMPLE",IF(F753&gt;H753*(1+Assumptions!$B$10),"UNDERPAID",IF(F753&lt;G753*(1-Assumptions!$B$10),"OVERPAID","FAIR")))</f>
        <v>LOW SAMPLE</v>
      </c>
      <c r="K753" s="5" t="n">
        <v>2</v>
      </c>
    </row>
    <row r="754" customFormat="false" ht="15" hidden="false" customHeight="false" outlineLevel="0" collapsed="false">
      <c r="A754" s="5" t="n">
        <v>2022</v>
      </c>
      <c r="B754" s="5" t="s">
        <v>106</v>
      </c>
      <c r="C754" s="5" t="s">
        <v>734</v>
      </c>
      <c r="D754" s="5" t="n">
        <v>4</v>
      </c>
      <c r="E754" s="13" t="n">
        <v>0.56</v>
      </c>
      <c r="F754" s="14" t="n">
        <f aca="false">E754*Assumptions!$D$5</f>
        <v>75.4334225012712</v>
      </c>
      <c r="G754" s="14" t="n">
        <v>225</v>
      </c>
      <c r="H754" s="14" t="n">
        <v>345</v>
      </c>
      <c r="I754" s="14" t="n">
        <f aca="false">F754-(G754+H754)/2</f>
        <v>-209.566577498729</v>
      </c>
      <c r="J754" s="5" t="str">
        <f aca="false">IF(D754&lt;8,"LOW SAMPLE",IF(F754&gt;H754*(1+Assumptions!$B$10),"UNDERPAID",IF(F754&lt;G754*(1-Assumptions!$B$10),"OVERPAID","FAIR")))</f>
        <v>LOW SAMPLE</v>
      </c>
      <c r="K754" s="5" t="n">
        <v>48</v>
      </c>
    </row>
    <row r="755" customFormat="false" ht="15" hidden="false" customHeight="false" outlineLevel="0" collapsed="false">
      <c r="A755" s="5" t="n">
        <v>2022</v>
      </c>
      <c r="B755" s="5" t="s">
        <v>106</v>
      </c>
      <c r="C755" s="5" t="s">
        <v>109</v>
      </c>
      <c r="D755" s="5" t="n">
        <v>22</v>
      </c>
      <c r="E755" s="13" t="n">
        <v>7.17</v>
      </c>
      <c r="F755" s="14" t="n">
        <f aca="false">E755*Assumptions!$D$5</f>
        <v>965.817213096633</v>
      </c>
      <c r="G755" s="14" t="n">
        <v>225</v>
      </c>
      <c r="H755" s="14" t="n">
        <v>345</v>
      </c>
      <c r="I755" s="14" t="n">
        <f aca="false">F755-(G755+H755)/2</f>
        <v>680.817213096633</v>
      </c>
      <c r="J755" s="5" t="str">
        <f aca="false">IF(D755&lt;8,"LOW SAMPLE",IF(F755&gt;H755*(1+Assumptions!$B$10),"UNDERPAID",IF(F755&lt;G755*(1-Assumptions!$B$10),"OVERPAID","FAIR")))</f>
        <v>UNDERPAID</v>
      </c>
      <c r="K755" s="5" t="n">
        <v>62</v>
      </c>
    </row>
    <row r="756" customFormat="false" ht="15" hidden="false" customHeight="false" outlineLevel="0" collapsed="false">
      <c r="A756" s="5" t="n">
        <v>2022</v>
      </c>
      <c r="B756" s="5" t="s">
        <v>106</v>
      </c>
      <c r="C756" s="5" t="s">
        <v>110</v>
      </c>
      <c r="D756" s="5" t="n">
        <v>21</v>
      </c>
      <c r="E756" s="13" t="n">
        <v>2.79</v>
      </c>
      <c r="F756" s="14" t="n">
        <f aca="false">E756*Assumptions!$D$5</f>
        <v>375.820087104548</v>
      </c>
      <c r="G756" s="14" t="n">
        <v>125</v>
      </c>
      <c r="H756" s="14" t="n">
        <v>225</v>
      </c>
      <c r="I756" s="14" t="n">
        <f aca="false">F756-(G756+H756)/2</f>
        <v>200.820087104548</v>
      </c>
      <c r="J756" s="5" t="str">
        <f aca="false">IF(D756&lt;8,"LOW SAMPLE",IF(F756&gt;H756*(1+Assumptions!$B$10),"UNDERPAID",IF(F756&lt;G756*(1-Assumptions!$B$10),"OVERPAID","FAIR")))</f>
        <v>UNDERPAID</v>
      </c>
      <c r="K756" s="5" t="n">
        <v>2</v>
      </c>
    </row>
    <row r="757" customFormat="false" ht="15" hidden="false" customHeight="false" outlineLevel="0" collapsed="false">
      <c r="A757" s="5" t="n">
        <v>2022</v>
      </c>
      <c r="B757" s="5" t="s">
        <v>106</v>
      </c>
      <c r="C757" s="5" t="s">
        <v>617</v>
      </c>
      <c r="D757" s="5" t="n">
        <v>15</v>
      </c>
      <c r="E757" s="13" t="n">
        <v>4.26</v>
      </c>
      <c r="F757" s="14" t="n">
        <f aca="false">E757*Assumptions!$D$5</f>
        <v>573.832821170384</v>
      </c>
      <c r="G757" s="14" t="n">
        <v>345</v>
      </c>
      <c r="H757" s="14" t="n">
        <v>450</v>
      </c>
      <c r="I757" s="14" t="n">
        <f aca="false">F757-(G757+H757)/2</f>
        <v>176.332821170384</v>
      </c>
      <c r="J757" s="5" t="str">
        <f aca="false">IF(D757&lt;8,"LOW SAMPLE",IF(F757&gt;H757*(1+Assumptions!$B$10),"UNDERPAID",IF(F757&lt;G757*(1-Assumptions!$B$10),"OVERPAID","FAIR")))</f>
        <v>UNDERPAID</v>
      </c>
      <c r="K757" s="5" t="n">
        <v>120</v>
      </c>
    </row>
    <row r="758" customFormat="false" ht="15" hidden="false" customHeight="false" outlineLevel="0" collapsed="false">
      <c r="A758" s="5" t="n">
        <v>2022</v>
      </c>
      <c r="B758" s="5" t="s">
        <v>106</v>
      </c>
      <c r="C758" s="5" t="s">
        <v>114</v>
      </c>
      <c r="D758" s="5" t="n">
        <v>19</v>
      </c>
      <c r="E758" s="13" t="n">
        <v>5.26</v>
      </c>
      <c r="F758" s="14" t="n">
        <f aca="false">E758*Assumptions!$D$5</f>
        <v>708.535361351226</v>
      </c>
      <c r="G758" s="14" t="n">
        <v>615</v>
      </c>
      <c r="H758" s="14" t="n">
        <v>855</v>
      </c>
      <c r="I758" s="14" t="n">
        <f aca="false">F758-(G758+H758)/2</f>
        <v>-26.4646386487743</v>
      </c>
      <c r="J758" s="5" t="str">
        <f aca="false">IF(D758&lt;8,"LOW SAMPLE",IF(F758&gt;H758*(1+Assumptions!$B$10),"UNDERPAID",IF(F758&lt;G758*(1-Assumptions!$B$10),"OVERPAID","FAIR")))</f>
        <v>FAIR</v>
      </c>
      <c r="K758" s="5" t="n">
        <v>67</v>
      </c>
    </row>
    <row r="759" customFormat="false" ht="15" hidden="false" customHeight="false" outlineLevel="0" collapsed="false">
      <c r="A759" s="5" t="n">
        <v>2022</v>
      </c>
      <c r="B759" s="5" t="s">
        <v>106</v>
      </c>
      <c r="C759" s="5" t="s">
        <v>735</v>
      </c>
      <c r="D759" s="5" t="n">
        <v>5</v>
      </c>
      <c r="E759" s="13" t="n">
        <v>0.66</v>
      </c>
      <c r="F759" s="14" t="n">
        <f aca="false">E759*Assumptions!$D$5</f>
        <v>88.9036765193553</v>
      </c>
      <c r="G759" s="14" t="n">
        <v>225</v>
      </c>
      <c r="H759" s="14" t="n">
        <v>345</v>
      </c>
      <c r="I759" s="14" t="n">
        <f aca="false">F759-(G759+H759)/2</f>
        <v>-196.096323480645</v>
      </c>
      <c r="J759" s="5" t="str">
        <f aca="false">IF(D759&lt;8,"LOW SAMPLE",IF(F759&gt;H759*(1+Assumptions!$B$10),"UNDERPAID",IF(F759&lt;G759*(1-Assumptions!$B$10),"OVERPAID","FAIR")))</f>
        <v>LOW SAMPLE</v>
      </c>
      <c r="K759" s="5" t="n">
        <v>0</v>
      </c>
    </row>
    <row r="760" customFormat="false" ht="15" hidden="false" customHeight="false" outlineLevel="0" collapsed="false">
      <c r="A760" s="5" t="n">
        <v>2022</v>
      </c>
      <c r="B760" s="5" t="s">
        <v>106</v>
      </c>
      <c r="C760" s="5" t="s">
        <v>115</v>
      </c>
      <c r="D760" s="5" t="n">
        <v>12</v>
      </c>
      <c r="E760" s="13" t="n">
        <v>2.02</v>
      </c>
      <c r="F760" s="14" t="n">
        <f aca="false">E760*Assumptions!$D$5</f>
        <v>272.0991311653</v>
      </c>
      <c r="G760" s="14" t="n">
        <v>345</v>
      </c>
      <c r="H760" s="14" t="n">
        <v>450</v>
      </c>
      <c r="I760" s="14" t="n">
        <f aca="false">F760-(G760+H760)/2</f>
        <v>-125.4008688347</v>
      </c>
      <c r="J760" s="5" t="str">
        <f aca="false">IF(D760&lt;8,"LOW SAMPLE",IF(F760&gt;H760*(1+Assumptions!$B$10),"UNDERPAID",IF(F760&lt;G760*(1-Assumptions!$B$10),"OVERPAID","FAIR")))</f>
        <v>OVERPAID</v>
      </c>
      <c r="K760" s="5" t="n">
        <v>112</v>
      </c>
    </row>
    <row r="761" customFormat="false" ht="15" hidden="false" customHeight="false" outlineLevel="0" collapsed="false">
      <c r="A761" s="5" t="n">
        <v>2022</v>
      </c>
      <c r="B761" s="5" t="s">
        <v>106</v>
      </c>
      <c r="C761" s="5" t="s">
        <v>116</v>
      </c>
      <c r="D761" s="5" t="n">
        <v>16</v>
      </c>
      <c r="E761" s="13" t="n">
        <v>2.37</v>
      </c>
      <c r="F761" s="14" t="n">
        <f aca="false">E761*Assumptions!$D$5</f>
        <v>319.245020228594</v>
      </c>
      <c r="G761" s="14" t="n">
        <v>345</v>
      </c>
      <c r="H761" s="14" t="n">
        <v>450</v>
      </c>
      <c r="I761" s="14" t="n">
        <f aca="false">F761-(G761+H761)/2</f>
        <v>-78.2549797714059</v>
      </c>
      <c r="J761" s="5" t="str">
        <f aca="false">IF(D761&lt;8,"LOW SAMPLE",IF(F761&gt;H761*(1+Assumptions!$B$10),"UNDERPAID",IF(F761&lt;G761*(1-Assumptions!$B$10),"OVERPAID","FAIR")))</f>
        <v>FAIR</v>
      </c>
      <c r="K761" s="5" t="n">
        <v>144</v>
      </c>
    </row>
    <row r="762" customFormat="false" ht="15" hidden="false" customHeight="false" outlineLevel="0" collapsed="false">
      <c r="A762" s="5" t="n">
        <v>2022</v>
      </c>
      <c r="B762" s="5" t="s">
        <v>106</v>
      </c>
      <c r="C762" s="5" t="s">
        <v>117</v>
      </c>
      <c r="D762" s="5" t="n">
        <v>21</v>
      </c>
      <c r="E762" s="13" t="n">
        <v>4.09</v>
      </c>
      <c r="F762" s="14" t="n">
        <f aca="false">E762*Assumptions!$D$5</f>
        <v>550.933389339641</v>
      </c>
      <c r="G762" s="14" t="n">
        <v>225</v>
      </c>
      <c r="H762" s="14" t="n">
        <v>345</v>
      </c>
      <c r="I762" s="14" t="n">
        <f aca="false">F762-(G762+H762)/2</f>
        <v>265.933389339641</v>
      </c>
      <c r="J762" s="5" t="str">
        <f aca="false">IF(D762&lt;8,"LOW SAMPLE",IF(F762&gt;H762*(1+Assumptions!$B$10),"UNDERPAID",IF(F762&lt;G762*(1-Assumptions!$B$10),"OVERPAID","FAIR")))</f>
        <v>UNDERPAID</v>
      </c>
      <c r="K762" s="5" t="n">
        <v>78</v>
      </c>
    </row>
    <row r="763" customFormat="false" ht="15" hidden="false" customHeight="false" outlineLevel="0" collapsed="false">
      <c r="A763" s="5" t="n">
        <v>2022</v>
      </c>
      <c r="B763" s="5" t="s">
        <v>106</v>
      </c>
      <c r="C763" s="5" t="s">
        <v>118</v>
      </c>
      <c r="D763" s="5" t="n">
        <v>18</v>
      </c>
      <c r="E763" s="13" t="n">
        <v>3.85</v>
      </c>
      <c r="F763" s="14" t="n">
        <f aca="false">E763*Assumptions!$D$5</f>
        <v>518.604779696239</v>
      </c>
      <c r="G763" s="14" t="n">
        <v>615</v>
      </c>
      <c r="H763" s="14" t="n">
        <v>855</v>
      </c>
      <c r="I763" s="14" t="n">
        <f aca="false">F763-(G763+H763)/2</f>
        <v>-216.395220303761</v>
      </c>
      <c r="J763" s="5" t="str">
        <f aca="false">IF(D763&lt;8,"LOW SAMPLE",IF(F763&gt;H763*(1+Assumptions!$B$10),"UNDERPAID",IF(F763&lt;G763*(1-Assumptions!$B$10),"OVERPAID","FAIR")))</f>
        <v>OVERPAID</v>
      </c>
      <c r="K763" s="5" t="n">
        <v>115</v>
      </c>
    </row>
    <row r="764" customFormat="false" ht="15" hidden="false" customHeight="false" outlineLevel="0" collapsed="false">
      <c r="A764" s="5" t="n">
        <v>2022</v>
      </c>
      <c r="B764" s="5" t="s">
        <v>106</v>
      </c>
      <c r="C764" s="5" t="s">
        <v>736</v>
      </c>
      <c r="D764" s="5" t="n">
        <v>12</v>
      </c>
      <c r="E764" s="13" t="n">
        <v>1.46</v>
      </c>
      <c r="F764" s="14" t="n">
        <f aca="false">E764*Assumptions!$D$5</f>
        <v>196.665708664028</v>
      </c>
      <c r="G764" s="14" t="n">
        <v>225</v>
      </c>
      <c r="H764" s="14" t="n">
        <v>345</v>
      </c>
      <c r="I764" s="14" t="n">
        <f aca="false">F764-(G764+H764)/2</f>
        <v>-88.3342913359716</v>
      </c>
      <c r="J764" s="5" t="str">
        <f aca="false">IF(D764&lt;8,"LOW SAMPLE",IF(F764&gt;H764*(1+Assumptions!$B$10),"UNDERPAID",IF(F764&lt;G764*(1-Assumptions!$B$10),"OVERPAID","FAIR")))</f>
        <v>FAIR</v>
      </c>
      <c r="K764" s="5" t="n">
        <v>0</v>
      </c>
    </row>
    <row r="765" customFormat="false" ht="15" hidden="false" customHeight="false" outlineLevel="0" collapsed="false">
      <c r="A765" s="5" t="n">
        <v>2022</v>
      </c>
      <c r="B765" s="5" t="s">
        <v>106</v>
      </c>
      <c r="C765" s="5" t="s">
        <v>737</v>
      </c>
      <c r="D765" s="5" t="n">
        <v>7</v>
      </c>
      <c r="E765" s="13" t="n">
        <v>0.81</v>
      </c>
      <c r="F765" s="14" t="n">
        <f aca="false">E765*Assumptions!$D$5</f>
        <v>109.109057546482</v>
      </c>
      <c r="G765" s="14" t="n">
        <v>225</v>
      </c>
      <c r="H765" s="14" t="n">
        <v>345</v>
      </c>
      <c r="I765" s="14" t="n">
        <f aca="false">F765-(G765+H765)/2</f>
        <v>-175.890942453518</v>
      </c>
      <c r="J765" s="5" t="str">
        <f aca="false">IF(D765&lt;8,"LOW SAMPLE",IF(F765&gt;H765*(1+Assumptions!$B$10),"UNDERPAID",IF(F765&lt;G765*(1-Assumptions!$B$10),"OVERPAID","FAIR")))</f>
        <v>LOW SAMPLE</v>
      </c>
      <c r="K765" s="5" t="n">
        <v>0</v>
      </c>
    </row>
    <row r="766" customFormat="false" ht="15" hidden="false" customHeight="false" outlineLevel="0" collapsed="false">
      <c r="A766" s="5" t="n">
        <v>2022</v>
      </c>
      <c r="B766" s="5" t="s">
        <v>106</v>
      </c>
      <c r="C766" s="5" t="s">
        <v>119</v>
      </c>
      <c r="D766" s="5" t="n">
        <v>5</v>
      </c>
      <c r="E766" s="13" t="n">
        <v>0.44</v>
      </c>
      <c r="F766" s="14" t="n">
        <f aca="false">E766*Assumptions!$D$5</f>
        <v>59.2691176795702</v>
      </c>
      <c r="G766" s="14" t="n">
        <v>125</v>
      </c>
      <c r="H766" s="14" t="n">
        <v>225</v>
      </c>
      <c r="I766" s="14" t="n">
        <f aca="false">F766-(G766+H766)/2</f>
        <v>-115.73088232043</v>
      </c>
      <c r="J766" s="5" t="str">
        <f aca="false">IF(D766&lt;8,"LOW SAMPLE",IF(F766&gt;H766*(1+Assumptions!$B$10),"UNDERPAID",IF(F766&lt;G766*(1-Assumptions!$B$10),"OVERPAID","FAIR")))</f>
        <v>LOW SAMPLE</v>
      </c>
      <c r="K766" s="5" t="n">
        <v>6</v>
      </c>
    </row>
    <row r="767" customFormat="false" ht="15" hidden="false" customHeight="false" outlineLevel="0" collapsed="false">
      <c r="A767" s="5" t="n">
        <v>2022</v>
      </c>
      <c r="B767" s="5" t="s">
        <v>106</v>
      </c>
      <c r="C767" s="5" t="s">
        <v>120</v>
      </c>
      <c r="D767" s="5" t="n">
        <v>3</v>
      </c>
      <c r="E767" s="13" t="n">
        <v>0.3</v>
      </c>
      <c r="F767" s="14" t="n">
        <f aca="false">E767*Assumptions!$D$5</f>
        <v>40.4107620542524</v>
      </c>
      <c r="G767" s="14" t="n">
        <v>225</v>
      </c>
      <c r="H767" s="14" t="n">
        <v>345</v>
      </c>
      <c r="I767" s="14" t="n">
        <f aca="false">F767-(G767+H767)/2</f>
        <v>-244.589237945748</v>
      </c>
      <c r="J767" s="5" t="str">
        <f aca="false">IF(D767&lt;8,"LOW SAMPLE",IF(F767&gt;H767*(1+Assumptions!$B$10),"UNDERPAID",IF(F767&lt;G767*(1-Assumptions!$B$10),"OVERPAID","FAIR")))</f>
        <v>LOW SAMPLE</v>
      </c>
      <c r="K767" s="5" t="n">
        <v>40</v>
      </c>
    </row>
    <row r="768" customFormat="false" ht="15" hidden="false" customHeight="false" outlineLevel="0" collapsed="false">
      <c r="A768" s="5" t="n">
        <v>2022</v>
      </c>
      <c r="B768" s="5" t="s">
        <v>106</v>
      </c>
      <c r="C768" s="5" t="s">
        <v>121</v>
      </c>
      <c r="D768" s="5" t="n">
        <v>15</v>
      </c>
      <c r="E768" s="13" t="n">
        <v>2.04</v>
      </c>
      <c r="F768" s="14" t="n">
        <f aca="false">E768*Assumptions!$D$5</f>
        <v>274.793181968916</v>
      </c>
      <c r="G768" s="14" t="n">
        <v>345</v>
      </c>
      <c r="H768" s="14" t="n">
        <v>450</v>
      </c>
      <c r="I768" s="14" t="n">
        <f aca="false">F768-(G768+H768)/2</f>
        <v>-122.706818031084</v>
      </c>
      <c r="J768" s="5" t="str">
        <f aca="false">IF(D768&lt;8,"LOW SAMPLE",IF(F768&gt;H768*(1+Assumptions!$B$10),"UNDERPAID",IF(F768&lt;G768*(1-Assumptions!$B$10),"OVERPAID","FAIR")))</f>
        <v>OVERPAID</v>
      </c>
      <c r="K768" s="5" t="n">
        <v>111</v>
      </c>
    </row>
    <row r="769" customFormat="false" ht="15" hidden="false" customHeight="false" outlineLevel="0" collapsed="false">
      <c r="A769" s="5" t="n">
        <v>2022</v>
      </c>
      <c r="B769" s="5" t="s">
        <v>106</v>
      </c>
      <c r="C769" s="5" t="s">
        <v>705</v>
      </c>
      <c r="D769" s="5" t="n">
        <v>19</v>
      </c>
      <c r="E769" s="13" t="n">
        <v>4.87</v>
      </c>
      <c r="F769" s="14" t="n">
        <f aca="false">E769*Assumptions!$D$5</f>
        <v>656.001370680698</v>
      </c>
      <c r="G769" s="14" t="n">
        <v>125</v>
      </c>
      <c r="H769" s="14" t="n">
        <v>225</v>
      </c>
      <c r="I769" s="14" t="n">
        <f aca="false">F769-(G769+H769)/2</f>
        <v>481.001370680698</v>
      </c>
      <c r="J769" s="5" t="str">
        <f aca="false">IF(D769&lt;8,"LOW SAMPLE",IF(F769&gt;H769*(1+Assumptions!$B$10),"UNDERPAID",IF(F769&lt;G769*(1-Assumptions!$B$10),"OVERPAID","FAIR")))</f>
        <v>UNDERPAID</v>
      </c>
      <c r="K769" s="5" t="n">
        <v>24</v>
      </c>
    </row>
    <row r="770" customFormat="false" ht="15" hidden="false" customHeight="false" outlineLevel="0" collapsed="false">
      <c r="A770" s="5" t="n">
        <v>2022</v>
      </c>
      <c r="B770" s="5" t="s">
        <v>106</v>
      </c>
      <c r="C770" s="5" t="s">
        <v>124</v>
      </c>
      <c r="D770" s="5" t="n">
        <v>6</v>
      </c>
      <c r="E770" s="13" t="n">
        <v>0.81</v>
      </c>
      <c r="F770" s="14" t="n">
        <f aca="false">E770*Assumptions!$D$5</f>
        <v>109.109057546482</v>
      </c>
      <c r="G770" s="14" t="n">
        <v>225</v>
      </c>
      <c r="H770" s="14" t="n">
        <v>345</v>
      </c>
      <c r="I770" s="14" t="n">
        <f aca="false">F770-(G770+H770)/2</f>
        <v>-175.890942453518</v>
      </c>
      <c r="J770" s="5" t="str">
        <f aca="false">IF(D770&lt;8,"LOW SAMPLE",IF(F770&gt;H770*(1+Assumptions!$B$10),"UNDERPAID",IF(F770&lt;G770*(1-Assumptions!$B$10),"OVERPAID","FAIR")))</f>
        <v>LOW SAMPLE</v>
      </c>
      <c r="K770" s="5" t="n">
        <v>22</v>
      </c>
    </row>
    <row r="771" customFormat="false" ht="15" hidden="false" customHeight="false" outlineLevel="0" collapsed="false">
      <c r="A771" s="5" t="n">
        <v>2022</v>
      </c>
      <c r="B771" s="5" t="s">
        <v>106</v>
      </c>
      <c r="C771" s="5" t="s">
        <v>125</v>
      </c>
      <c r="D771" s="5" t="n">
        <v>19</v>
      </c>
      <c r="E771" s="13" t="n">
        <v>3.19</v>
      </c>
      <c r="F771" s="14" t="n">
        <f aca="false">E771*Assumptions!$D$5</f>
        <v>429.701103176884</v>
      </c>
      <c r="G771" s="14" t="n">
        <v>225</v>
      </c>
      <c r="H771" s="14" t="n">
        <v>345</v>
      </c>
      <c r="I771" s="14" t="n">
        <f aca="false">F771-(G771+H771)/2</f>
        <v>144.701103176884</v>
      </c>
      <c r="J771" s="5" t="str">
        <f aca="false">IF(D771&lt;8,"LOW SAMPLE",IF(F771&gt;H771*(1+Assumptions!$B$10),"UNDERPAID",IF(F771&lt;G771*(1-Assumptions!$B$10),"OVERPAID","FAIR")))</f>
        <v>UNDERPAID</v>
      </c>
      <c r="K771" s="5" t="n">
        <v>41</v>
      </c>
    </row>
    <row r="772" customFormat="false" ht="15" hidden="false" customHeight="false" outlineLevel="0" collapsed="false">
      <c r="A772" s="5" t="n">
        <v>2022</v>
      </c>
      <c r="B772" s="5" t="s">
        <v>106</v>
      </c>
      <c r="C772" s="5" t="s">
        <v>126</v>
      </c>
      <c r="D772" s="5" t="n">
        <v>2</v>
      </c>
      <c r="E772" s="13" t="n">
        <v>0.26</v>
      </c>
      <c r="F772" s="14" t="n">
        <f aca="false">E772*Assumptions!$D$5</f>
        <v>35.0226604470188</v>
      </c>
      <c r="G772" s="14" t="n">
        <v>125</v>
      </c>
      <c r="H772" s="14" t="n">
        <v>225</v>
      </c>
      <c r="I772" s="14" t="n">
        <f aca="false">F772-(G772+H772)/2</f>
        <v>-139.977339552981</v>
      </c>
      <c r="J772" s="5" t="str">
        <f aca="false">IF(D772&lt;8,"LOW SAMPLE",IF(F772&gt;H772*(1+Assumptions!$B$10),"UNDERPAID",IF(F772&lt;G772*(1-Assumptions!$B$10),"OVERPAID","FAIR")))</f>
        <v>LOW SAMPLE</v>
      </c>
      <c r="K772" s="5" t="n">
        <v>6</v>
      </c>
    </row>
    <row r="773" customFormat="false" ht="15" hidden="false" customHeight="false" outlineLevel="0" collapsed="false">
      <c r="A773" s="5" t="n">
        <v>2022</v>
      </c>
      <c r="B773" s="5" t="s">
        <v>106</v>
      </c>
      <c r="C773" s="5" t="s">
        <v>128</v>
      </c>
      <c r="D773" s="5" t="n">
        <v>8</v>
      </c>
      <c r="E773" s="13" t="n">
        <v>1.3</v>
      </c>
      <c r="F773" s="14" t="n">
        <f aca="false">E773*Assumptions!$D$5</f>
        <v>175.113302235094</v>
      </c>
      <c r="G773" s="14" t="n">
        <v>345</v>
      </c>
      <c r="H773" s="14" t="n">
        <v>450</v>
      </c>
      <c r="I773" s="14" t="n">
        <f aca="false">F773-(G773+H773)/2</f>
        <v>-222.386697764906</v>
      </c>
      <c r="J773" s="5" t="str">
        <f aca="false">IF(D773&lt;8,"LOW SAMPLE",IF(F773&gt;H773*(1+Assumptions!$B$10),"UNDERPAID",IF(F773&lt;G773*(1-Assumptions!$B$10),"OVERPAID","FAIR")))</f>
        <v>OVERPAID</v>
      </c>
      <c r="K773" s="5" t="n">
        <v>33</v>
      </c>
    </row>
    <row r="774" customFormat="false" ht="15" hidden="false" customHeight="false" outlineLevel="0" collapsed="false">
      <c r="A774" s="5" t="n">
        <v>2022</v>
      </c>
      <c r="B774" s="5" t="s">
        <v>106</v>
      </c>
      <c r="C774" s="5" t="s">
        <v>129</v>
      </c>
      <c r="D774" s="5" t="n">
        <v>18</v>
      </c>
      <c r="E774" s="13" t="n">
        <v>2.62</v>
      </c>
      <c r="F774" s="14" t="n">
        <f aca="false">E774*Assumptions!$D$5</f>
        <v>352.920655273804</v>
      </c>
      <c r="G774" s="14" t="n">
        <v>225</v>
      </c>
      <c r="H774" s="14" t="n">
        <v>345</v>
      </c>
      <c r="I774" s="14" t="n">
        <f aca="false">F774-(G774+H774)/2</f>
        <v>67.9206552738045</v>
      </c>
      <c r="J774" s="5" t="str">
        <f aca="false">IF(D774&lt;8,"LOW SAMPLE",IF(F774&gt;H774*(1+Assumptions!$B$10),"UNDERPAID",IF(F774&lt;G774*(1-Assumptions!$B$10),"OVERPAID","FAIR")))</f>
        <v>FAIR</v>
      </c>
      <c r="K774" s="5" t="n">
        <v>19</v>
      </c>
    </row>
    <row r="775" customFormat="false" ht="15" hidden="false" customHeight="false" outlineLevel="0" collapsed="false">
      <c r="A775" s="5" t="n">
        <v>2022</v>
      </c>
      <c r="B775" s="5" t="s">
        <v>106</v>
      </c>
      <c r="C775" s="5" t="s">
        <v>130</v>
      </c>
      <c r="D775" s="5" t="n">
        <v>17</v>
      </c>
      <c r="E775" s="13" t="n">
        <v>4.28</v>
      </c>
      <c r="F775" s="14" t="n">
        <f aca="false">E775*Assumptions!$D$5</f>
        <v>576.526871974001</v>
      </c>
      <c r="G775" s="14" t="n">
        <v>225</v>
      </c>
      <c r="H775" s="14" t="n">
        <v>345</v>
      </c>
      <c r="I775" s="14" t="n">
        <f aca="false">F775-(G775+H775)/2</f>
        <v>291.526871974001</v>
      </c>
      <c r="J775" s="5" t="str">
        <f aca="false">IF(D775&lt;8,"LOW SAMPLE",IF(F775&gt;H775*(1+Assumptions!$B$10),"UNDERPAID",IF(F775&lt;G775*(1-Assumptions!$B$10),"OVERPAID","FAIR")))</f>
        <v>UNDERPAID</v>
      </c>
      <c r="K775" s="5" t="n">
        <v>61</v>
      </c>
    </row>
    <row r="776" customFormat="false" ht="15" hidden="false" customHeight="false" outlineLevel="0" collapsed="false">
      <c r="A776" s="5" t="n">
        <v>2022</v>
      </c>
      <c r="B776" s="5" t="s">
        <v>106</v>
      </c>
      <c r="C776" s="5" t="s">
        <v>131</v>
      </c>
      <c r="D776" s="5" t="n">
        <v>17</v>
      </c>
      <c r="E776" s="13" t="n">
        <v>2.86</v>
      </c>
      <c r="F776" s="14" t="n">
        <f aca="false">E776*Assumptions!$D$5</f>
        <v>385.249264917206</v>
      </c>
      <c r="G776" s="14" t="n">
        <v>125</v>
      </c>
      <c r="H776" s="14" t="n">
        <v>225</v>
      </c>
      <c r="I776" s="14" t="n">
        <f aca="false">F776-(G776+H776)/2</f>
        <v>210.249264917206</v>
      </c>
      <c r="J776" s="5" t="str">
        <f aca="false">IF(D776&lt;8,"LOW SAMPLE",IF(F776&gt;H776*(1+Assumptions!$B$10),"UNDERPAID",IF(F776&lt;G776*(1-Assumptions!$B$10),"OVERPAID","FAIR")))</f>
        <v>UNDERPAID</v>
      </c>
      <c r="K776" s="5" t="n">
        <v>14</v>
      </c>
    </row>
    <row r="777" customFormat="false" ht="15" hidden="false" customHeight="false" outlineLevel="0" collapsed="false">
      <c r="A777" s="5" t="n">
        <v>2022</v>
      </c>
      <c r="B777" s="5" t="s">
        <v>106</v>
      </c>
      <c r="C777" s="5" t="s">
        <v>133</v>
      </c>
      <c r="D777" s="5" t="n">
        <v>7</v>
      </c>
      <c r="E777" s="13" t="n">
        <v>1.52</v>
      </c>
      <c r="F777" s="14" t="n">
        <f aca="false">E777*Assumptions!$D$5</f>
        <v>204.747861074879</v>
      </c>
      <c r="G777" s="14" t="n">
        <v>225</v>
      </c>
      <c r="H777" s="14" t="n">
        <v>345</v>
      </c>
      <c r="I777" s="14" t="n">
        <f aca="false">F777-(G777+H777)/2</f>
        <v>-80.2521389251211</v>
      </c>
      <c r="J777" s="5" t="str">
        <f aca="false">IF(D777&lt;8,"LOW SAMPLE",IF(F777&gt;H777*(1+Assumptions!$B$10),"UNDERPAID",IF(F777&lt;G777*(1-Assumptions!$B$10),"OVERPAID","FAIR")))</f>
        <v>LOW SAMPLE</v>
      </c>
      <c r="K777" s="5" t="n">
        <v>81</v>
      </c>
    </row>
    <row r="778" customFormat="false" ht="15" hidden="false" customHeight="false" outlineLevel="0" collapsed="false">
      <c r="A778" s="5" t="n">
        <v>2022</v>
      </c>
      <c r="B778" s="5" t="s">
        <v>106</v>
      </c>
      <c r="C778" s="5" t="s">
        <v>134</v>
      </c>
      <c r="D778" s="5" t="n">
        <v>19</v>
      </c>
      <c r="E778" s="13" t="n">
        <v>3.63</v>
      </c>
      <c r="F778" s="14" t="n">
        <f aca="false">E778*Assumptions!$D$5</f>
        <v>488.970220856454</v>
      </c>
      <c r="G778" s="14" t="n">
        <v>345</v>
      </c>
      <c r="H778" s="14" t="n">
        <v>450</v>
      </c>
      <c r="I778" s="14" t="n">
        <f aca="false">F778-(G778+H778)/2</f>
        <v>91.4702208564543</v>
      </c>
      <c r="J778" s="5" t="str">
        <f aca="false">IF(D778&lt;8,"LOW SAMPLE",IF(F778&gt;H778*(1+Assumptions!$B$10),"UNDERPAID",IF(F778&lt;G778*(1-Assumptions!$B$10),"OVERPAID","FAIR")))</f>
        <v>FAIR</v>
      </c>
      <c r="K778" s="5" t="n">
        <v>67</v>
      </c>
    </row>
    <row r="779" customFormat="false" ht="15" hidden="false" customHeight="false" outlineLevel="0" collapsed="false">
      <c r="A779" s="5" t="n">
        <v>2022</v>
      </c>
      <c r="B779" s="5" t="s">
        <v>106</v>
      </c>
      <c r="C779" s="5" t="s">
        <v>135</v>
      </c>
      <c r="D779" s="5" t="n">
        <v>2</v>
      </c>
      <c r="E779" s="13" t="n">
        <v>0.25</v>
      </c>
      <c r="F779" s="14" t="n">
        <f aca="false">E779*Assumptions!$D$5</f>
        <v>33.6756350452104</v>
      </c>
      <c r="G779" s="14" t="n">
        <v>225</v>
      </c>
      <c r="H779" s="14" t="n">
        <v>345</v>
      </c>
      <c r="I779" s="14" t="n">
        <f aca="false">F779-(G779+H779)/2</f>
        <v>-251.32436495479</v>
      </c>
      <c r="J779" s="5" t="str">
        <f aca="false">IF(D779&lt;8,"LOW SAMPLE",IF(F779&gt;H779*(1+Assumptions!$B$10),"UNDERPAID",IF(F779&lt;G779*(1-Assumptions!$B$10),"OVERPAID","FAIR")))</f>
        <v>LOW SAMPLE</v>
      </c>
      <c r="K779" s="5" t="n">
        <v>84</v>
      </c>
    </row>
    <row r="780" customFormat="false" ht="15" hidden="false" customHeight="false" outlineLevel="0" collapsed="false">
      <c r="A780" s="5" t="n">
        <v>2022</v>
      </c>
      <c r="B780" s="5" t="s">
        <v>106</v>
      </c>
      <c r="C780" s="5" t="s">
        <v>136</v>
      </c>
      <c r="D780" s="5" t="n">
        <v>4</v>
      </c>
      <c r="E780" s="13" t="n">
        <v>0.29</v>
      </c>
      <c r="F780" s="14" t="n">
        <f aca="false">E780*Assumptions!$D$5</f>
        <v>39.063736652444</v>
      </c>
      <c r="G780" s="14" t="n">
        <v>225</v>
      </c>
      <c r="H780" s="14" t="n">
        <v>345</v>
      </c>
      <c r="I780" s="14" t="n">
        <f aca="false">F780-(G780+H780)/2</f>
        <v>-245.936263347556</v>
      </c>
      <c r="J780" s="5" t="str">
        <f aca="false">IF(D780&lt;8,"LOW SAMPLE",IF(F780&gt;H780*(1+Assumptions!$B$10),"UNDERPAID",IF(F780&lt;G780*(1-Assumptions!$B$10),"OVERPAID","FAIR")))</f>
        <v>LOW SAMPLE</v>
      </c>
      <c r="K780" s="5" t="n">
        <v>59</v>
      </c>
    </row>
    <row r="781" customFormat="false" ht="15" hidden="false" customHeight="false" outlineLevel="0" collapsed="false">
      <c r="A781" s="5" t="n">
        <v>2022</v>
      </c>
      <c r="B781" s="5" t="s">
        <v>106</v>
      </c>
      <c r="C781" s="5" t="s">
        <v>137</v>
      </c>
      <c r="D781" s="5" t="n">
        <v>21</v>
      </c>
      <c r="E781" s="13" t="n">
        <v>7.33</v>
      </c>
      <c r="F781" s="14" t="n">
        <f aca="false">E781*Assumptions!$D$5</f>
        <v>987.369619525568</v>
      </c>
      <c r="G781" s="14" t="n">
        <v>615</v>
      </c>
      <c r="H781" s="14" t="n">
        <v>855</v>
      </c>
      <c r="I781" s="14" t="n">
        <f aca="false">F781-(G781+H781)/2</f>
        <v>252.369619525568</v>
      </c>
      <c r="J781" s="5" t="str">
        <f aca="false">IF(D781&lt;8,"LOW SAMPLE",IF(F781&gt;H781*(1+Assumptions!$B$10),"UNDERPAID",IF(F781&lt;G781*(1-Assumptions!$B$10),"OVERPAID","FAIR")))</f>
        <v>UNDERPAID</v>
      </c>
      <c r="K781" s="5" t="n">
        <v>135</v>
      </c>
    </row>
    <row r="782" customFormat="false" ht="15" hidden="false" customHeight="false" outlineLevel="0" collapsed="false">
      <c r="A782" s="5" t="n">
        <v>2022</v>
      </c>
      <c r="B782" s="5" t="s">
        <v>106</v>
      </c>
      <c r="C782" s="5" t="s">
        <v>138</v>
      </c>
      <c r="D782" s="5" t="n">
        <v>22</v>
      </c>
      <c r="E782" s="13" t="n">
        <v>5.82</v>
      </c>
      <c r="F782" s="14" t="n">
        <f aca="false">E782*Assumptions!$D$5</f>
        <v>783.968783852497</v>
      </c>
      <c r="G782" s="14" t="n">
        <v>450</v>
      </c>
      <c r="H782" s="14" t="n">
        <v>615</v>
      </c>
      <c r="I782" s="14" t="n">
        <f aca="false">F782-(G782+H782)/2</f>
        <v>251.468783852497</v>
      </c>
      <c r="J782" s="5" t="str">
        <f aca="false">IF(D782&lt;8,"LOW SAMPLE",IF(F782&gt;H782*(1+Assumptions!$B$10),"UNDERPAID",IF(F782&lt;G782*(1-Assumptions!$B$10),"OVERPAID","FAIR")))</f>
        <v>UNDERPAID</v>
      </c>
      <c r="K782" s="5" t="n">
        <v>93</v>
      </c>
    </row>
    <row r="783" customFormat="false" ht="15" hidden="false" customHeight="false" outlineLevel="0" collapsed="false">
      <c r="A783" s="5" t="n">
        <v>2022</v>
      </c>
      <c r="B783" s="5" t="s">
        <v>106</v>
      </c>
      <c r="C783" s="5" t="s">
        <v>738</v>
      </c>
      <c r="D783" s="5" t="n">
        <v>1</v>
      </c>
      <c r="E783" s="13" t="n">
        <v>0.25</v>
      </c>
      <c r="F783" s="14" t="n">
        <f aca="false">E783*Assumptions!$D$5</f>
        <v>33.6756350452104</v>
      </c>
      <c r="G783" s="14" t="n">
        <v>125</v>
      </c>
      <c r="H783" s="14" t="n">
        <v>225</v>
      </c>
      <c r="I783" s="14" t="n">
        <f aca="false">F783-(G783+H783)/2</f>
        <v>-141.32436495479</v>
      </c>
      <c r="J783" s="5" t="str">
        <f aca="false">IF(D783&lt;8,"LOW SAMPLE",IF(F783&gt;H783*(1+Assumptions!$B$10),"UNDERPAID",IF(F783&lt;G783*(1-Assumptions!$B$10),"OVERPAID","FAIR")))</f>
        <v>LOW SAMPLE</v>
      </c>
      <c r="K783" s="5" t="n">
        <v>22</v>
      </c>
    </row>
    <row r="784" customFormat="false" ht="15" hidden="false" customHeight="false" outlineLevel="0" collapsed="false">
      <c r="A784" s="5" t="n">
        <v>2022</v>
      </c>
      <c r="B784" s="5" t="s">
        <v>106</v>
      </c>
      <c r="C784" s="5" t="s">
        <v>140</v>
      </c>
      <c r="D784" s="5" t="n">
        <v>20</v>
      </c>
      <c r="E784" s="13" t="n">
        <v>5.34</v>
      </c>
      <c r="F784" s="14" t="n">
        <f aca="false">E784*Assumptions!$D$5</f>
        <v>719.311564565693</v>
      </c>
      <c r="G784" s="14" t="n">
        <v>615</v>
      </c>
      <c r="H784" s="14" t="n">
        <v>855</v>
      </c>
      <c r="I784" s="14" t="n">
        <f aca="false">F784-(G784+H784)/2</f>
        <v>-15.6884354343069</v>
      </c>
      <c r="J784" s="5" t="str">
        <f aca="false">IF(D784&lt;8,"LOW SAMPLE",IF(F784&gt;H784*(1+Assumptions!$B$10),"UNDERPAID",IF(F784&lt;G784*(1-Assumptions!$B$10),"OVERPAID","FAIR")))</f>
        <v>FAIR</v>
      </c>
      <c r="K784" s="5" t="n">
        <v>61</v>
      </c>
    </row>
    <row r="785" customFormat="false" ht="15" hidden="false" customHeight="false" outlineLevel="0" collapsed="false">
      <c r="A785" s="5" t="n">
        <v>2022</v>
      </c>
      <c r="B785" s="5" t="s">
        <v>106</v>
      </c>
      <c r="C785" s="5" t="s">
        <v>141</v>
      </c>
      <c r="D785" s="5" t="n">
        <v>19</v>
      </c>
      <c r="E785" s="13" t="n">
        <v>4.16</v>
      </c>
      <c r="F785" s="14" t="n">
        <f aca="false">E785*Assumptions!$D$5</f>
        <v>560.3625671523</v>
      </c>
      <c r="G785" s="14" t="n">
        <v>225</v>
      </c>
      <c r="H785" s="14" t="n">
        <v>345</v>
      </c>
      <c r="I785" s="14" t="n">
        <f aca="false">F785-(G785+H785)/2</f>
        <v>275.3625671523</v>
      </c>
      <c r="J785" s="5" t="str">
        <f aca="false">IF(D785&lt;8,"LOW SAMPLE",IF(F785&gt;H785*(1+Assumptions!$B$10),"UNDERPAID",IF(F785&lt;G785*(1-Assumptions!$B$10),"OVERPAID","FAIR")))</f>
        <v>UNDERPAID</v>
      </c>
      <c r="K785" s="5" t="n">
        <v>22</v>
      </c>
    </row>
    <row r="786" customFormat="false" ht="15" hidden="false" customHeight="false" outlineLevel="0" collapsed="false">
      <c r="A786" s="5" t="n">
        <v>2022</v>
      </c>
      <c r="B786" s="5" t="s">
        <v>106</v>
      </c>
      <c r="C786" s="5" t="s">
        <v>142</v>
      </c>
      <c r="D786" s="5" t="n">
        <v>1</v>
      </c>
      <c r="E786" s="13" t="n">
        <v>0</v>
      </c>
      <c r="F786" s="14" t="n">
        <f aca="false">E786*Assumptions!$D$5</f>
        <v>0</v>
      </c>
      <c r="G786" s="14" t="n">
        <v>225</v>
      </c>
      <c r="H786" s="14" t="n">
        <v>345</v>
      </c>
      <c r="I786" s="14" t="n">
        <f aca="false">F786-(G786+H786)/2</f>
        <v>-285</v>
      </c>
      <c r="J786" s="5" t="str">
        <f aca="false">IF(D786&lt;8,"LOW SAMPLE",IF(F786&gt;H786*(1+Assumptions!$B$10),"UNDERPAID",IF(F786&lt;G786*(1-Assumptions!$B$10),"OVERPAID","FAIR")))</f>
        <v>LOW SAMPLE</v>
      </c>
      <c r="K786" s="5" t="n">
        <v>43</v>
      </c>
    </row>
    <row r="787" customFormat="false" ht="15" hidden="false" customHeight="false" outlineLevel="0" collapsed="false">
      <c r="A787" s="5" t="n">
        <v>2022</v>
      </c>
      <c r="B787" s="5" t="s">
        <v>106</v>
      </c>
      <c r="C787" s="5" t="s">
        <v>739</v>
      </c>
      <c r="D787" s="5" t="n">
        <v>2</v>
      </c>
      <c r="E787" s="13" t="n">
        <v>0.22</v>
      </c>
      <c r="F787" s="14" t="n">
        <f aca="false">E787*Assumptions!$D$5</f>
        <v>29.6345588397851</v>
      </c>
      <c r="G787" s="14" t="n">
        <v>125</v>
      </c>
      <c r="H787" s="14" t="n">
        <v>225</v>
      </c>
      <c r="I787" s="14" t="n">
        <f aca="false">F787-(G787+H787)/2</f>
        <v>-145.365441160215</v>
      </c>
      <c r="J787" s="5" t="str">
        <f aca="false">IF(D787&lt;8,"LOW SAMPLE",IF(F787&gt;H787*(1+Assumptions!$B$10),"UNDERPAID",IF(F787&lt;G787*(1-Assumptions!$B$10),"OVERPAID","FAIR")))</f>
        <v>LOW SAMPLE</v>
      </c>
      <c r="K787" s="5" t="n">
        <v>11</v>
      </c>
    </row>
    <row r="788" customFormat="false" ht="15" hidden="false" customHeight="false" outlineLevel="0" collapsed="false">
      <c r="A788" s="5" t="n">
        <v>2022</v>
      </c>
      <c r="B788" s="5" t="s">
        <v>106</v>
      </c>
      <c r="C788" s="5" t="s">
        <v>143</v>
      </c>
      <c r="D788" s="5" t="n">
        <v>13</v>
      </c>
      <c r="E788" s="13" t="n">
        <v>2.15</v>
      </c>
      <c r="F788" s="14" t="n">
        <f aca="false">E788*Assumptions!$D$5</f>
        <v>289.610461388809</v>
      </c>
      <c r="G788" s="14" t="n">
        <v>345</v>
      </c>
      <c r="H788" s="14" t="n">
        <v>450</v>
      </c>
      <c r="I788" s="14" t="n">
        <f aca="false">F788-(G788+H788)/2</f>
        <v>-107.889538611191</v>
      </c>
      <c r="J788" s="5" t="str">
        <f aca="false">IF(D788&lt;8,"LOW SAMPLE",IF(F788&gt;H788*(1+Assumptions!$B$10),"UNDERPAID",IF(F788&lt;G788*(1-Assumptions!$B$10),"OVERPAID","FAIR")))</f>
        <v>OVERPAID</v>
      </c>
      <c r="K788" s="5" t="n">
        <v>44</v>
      </c>
    </row>
    <row r="789" customFormat="false" ht="15" hidden="false" customHeight="false" outlineLevel="0" collapsed="false">
      <c r="A789" s="5" t="n">
        <v>2022</v>
      </c>
      <c r="B789" s="5" t="s">
        <v>106</v>
      </c>
      <c r="C789" s="5" t="s">
        <v>144</v>
      </c>
      <c r="D789" s="5" t="n">
        <v>22</v>
      </c>
      <c r="E789" s="13" t="n">
        <v>3.83</v>
      </c>
      <c r="F789" s="14" t="n">
        <f aca="false">E789*Assumptions!$D$5</f>
        <v>515.910728892623</v>
      </c>
      <c r="G789" s="14" t="n">
        <v>345</v>
      </c>
      <c r="H789" s="14" t="n">
        <v>450</v>
      </c>
      <c r="I789" s="14" t="n">
        <f aca="false">F789-(G789+H789)/2</f>
        <v>118.410728892623</v>
      </c>
      <c r="J789" s="5" t="str">
        <f aca="false">IF(D789&lt;8,"LOW SAMPLE",IF(F789&gt;H789*(1+Assumptions!$B$10),"UNDERPAID",IF(F789&lt;G789*(1-Assumptions!$B$10),"OVERPAID","FAIR")))</f>
        <v>FAIR</v>
      </c>
      <c r="K789" s="5" t="n">
        <v>73</v>
      </c>
    </row>
    <row r="790" customFormat="false" ht="15" hidden="false" customHeight="false" outlineLevel="0" collapsed="false">
      <c r="A790" s="5" t="n">
        <v>2022</v>
      </c>
      <c r="B790" s="5" t="s">
        <v>106</v>
      </c>
      <c r="C790" s="5" t="s">
        <v>145</v>
      </c>
      <c r="D790" s="5" t="n">
        <v>9</v>
      </c>
      <c r="E790" s="13" t="n">
        <v>1.85</v>
      </c>
      <c r="F790" s="14" t="n">
        <f aca="false">E790*Assumptions!$D$5</f>
        <v>249.199699334557</v>
      </c>
      <c r="G790" s="14" t="n">
        <v>345</v>
      </c>
      <c r="H790" s="14" t="n">
        <v>450</v>
      </c>
      <c r="I790" s="14" t="n">
        <f aca="false">F790-(G790+H790)/2</f>
        <v>-148.300300665443</v>
      </c>
      <c r="J790" s="5" t="str">
        <f aca="false">IF(D790&lt;8,"LOW SAMPLE",IF(F790&gt;H790*(1+Assumptions!$B$10),"UNDERPAID",IF(F790&lt;G790*(1-Assumptions!$B$10),"OVERPAID","FAIR")))</f>
        <v>OVERPAID</v>
      </c>
      <c r="K790" s="5" t="n">
        <v>108</v>
      </c>
    </row>
    <row r="791" customFormat="false" ht="15" hidden="false" customHeight="false" outlineLevel="0" collapsed="false">
      <c r="A791" s="5" t="n">
        <v>2022</v>
      </c>
      <c r="B791" s="5" t="s">
        <v>146</v>
      </c>
      <c r="C791" s="5" t="s">
        <v>740</v>
      </c>
      <c r="D791" s="5" t="n">
        <v>3</v>
      </c>
      <c r="E791" s="13" t="n">
        <v>0.32</v>
      </c>
      <c r="F791" s="14" t="n">
        <f aca="false">E791*Assumptions!$D$5</f>
        <v>43.1048128578693</v>
      </c>
      <c r="G791" s="14" t="n">
        <v>225</v>
      </c>
      <c r="H791" s="14" t="n">
        <v>345</v>
      </c>
      <c r="I791" s="14" t="n">
        <f aca="false">F791-(G791+H791)/2</f>
        <v>-241.895187142131</v>
      </c>
      <c r="J791" s="5" t="str">
        <f aca="false">IF(D791&lt;8,"LOW SAMPLE",IF(F791&gt;H791*(1+Assumptions!$B$10),"UNDERPAID",IF(F791&lt;G791*(1-Assumptions!$B$10),"OVERPAID","FAIR")))</f>
        <v>LOW SAMPLE</v>
      </c>
      <c r="K791" s="5" t="n">
        <v>0</v>
      </c>
    </row>
    <row r="792" customFormat="false" ht="15" hidden="false" customHeight="false" outlineLevel="0" collapsed="false">
      <c r="A792" s="5" t="n">
        <v>2022</v>
      </c>
      <c r="B792" s="5" t="s">
        <v>146</v>
      </c>
      <c r="C792" s="5" t="s">
        <v>741</v>
      </c>
      <c r="D792" s="5" t="n">
        <v>9</v>
      </c>
      <c r="E792" s="13" t="n">
        <v>1.51</v>
      </c>
      <c r="F792" s="14" t="n">
        <f aca="false">E792*Assumptions!$D$5</f>
        <v>203.400835673071</v>
      </c>
      <c r="G792" s="14" t="n">
        <v>225</v>
      </c>
      <c r="H792" s="14" t="n">
        <v>345</v>
      </c>
      <c r="I792" s="14" t="n">
        <f aca="false">F792-(G792+H792)/2</f>
        <v>-81.5991643269295</v>
      </c>
      <c r="J792" s="5" t="str">
        <f aca="false">IF(D792&lt;8,"LOW SAMPLE",IF(F792&gt;H792*(1+Assumptions!$B$10),"UNDERPAID",IF(F792&lt;G792*(1-Assumptions!$B$10),"OVERPAID","FAIR")))</f>
        <v>FAIR</v>
      </c>
      <c r="K792" s="5" t="n">
        <v>0</v>
      </c>
    </row>
    <row r="793" customFormat="false" ht="15" hidden="false" customHeight="false" outlineLevel="0" collapsed="false">
      <c r="A793" s="5" t="n">
        <v>2022</v>
      </c>
      <c r="B793" s="5" t="s">
        <v>146</v>
      </c>
      <c r="C793" s="5" t="s">
        <v>148</v>
      </c>
      <c r="D793" s="5" t="n">
        <v>22</v>
      </c>
      <c r="E793" s="13" t="n">
        <v>3.11</v>
      </c>
      <c r="F793" s="14" t="n">
        <f aca="false">E793*Assumptions!$D$5</f>
        <v>418.924899962417</v>
      </c>
      <c r="G793" s="14" t="n">
        <v>225</v>
      </c>
      <c r="H793" s="14" t="n">
        <v>345</v>
      </c>
      <c r="I793" s="14" t="n">
        <f aca="false">F793-(G793+H793)/2</f>
        <v>133.924899962417</v>
      </c>
      <c r="J793" s="5" t="str">
        <f aca="false">IF(D793&lt;8,"LOW SAMPLE",IF(F793&gt;H793*(1+Assumptions!$B$10),"UNDERPAID",IF(F793&lt;G793*(1-Assumptions!$B$10),"OVERPAID","FAIR")))</f>
        <v>UNDERPAID</v>
      </c>
      <c r="K793" s="5" t="n">
        <v>13</v>
      </c>
    </row>
    <row r="794" customFormat="false" ht="15" hidden="false" customHeight="false" outlineLevel="0" collapsed="false">
      <c r="A794" s="5" t="n">
        <v>2022</v>
      </c>
      <c r="B794" s="5" t="s">
        <v>146</v>
      </c>
      <c r="C794" s="5" t="s">
        <v>149</v>
      </c>
      <c r="D794" s="5" t="n">
        <v>23</v>
      </c>
      <c r="E794" s="13" t="n">
        <v>4.78</v>
      </c>
      <c r="F794" s="14" t="n">
        <f aca="false">E794*Assumptions!$D$5</f>
        <v>643.878142064422</v>
      </c>
      <c r="G794" s="14" t="n">
        <v>615</v>
      </c>
      <c r="H794" s="14" t="n">
        <v>855</v>
      </c>
      <c r="I794" s="14" t="n">
        <f aca="false">F794-(G794+H794)/2</f>
        <v>-91.1218579355781</v>
      </c>
      <c r="J794" s="5" t="str">
        <f aca="false">IF(D794&lt;8,"LOW SAMPLE",IF(F794&gt;H794*(1+Assumptions!$B$10),"UNDERPAID",IF(F794&lt;G794*(1-Assumptions!$B$10),"OVERPAID","FAIR")))</f>
        <v>FAIR</v>
      </c>
      <c r="K794" s="5" t="n">
        <v>138</v>
      </c>
    </row>
    <row r="795" customFormat="false" ht="15" hidden="false" customHeight="false" outlineLevel="0" collapsed="false">
      <c r="A795" s="5" t="n">
        <v>2022</v>
      </c>
      <c r="B795" s="5" t="s">
        <v>146</v>
      </c>
      <c r="C795" s="5" t="s">
        <v>151</v>
      </c>
      <c r="D795" s="5" t="n">
        <v>6</v>
      </c>
      <c r="E795" s="13" t="n">
        <v>1.71</v>
      </c>
      <c r="F795" s="14" t="n">
        <f aca="false">E795*Assumptions!$D$5</f>
        <v>230.341343709239</v>
      </c>
      <c r="G795" s="14" t="n">
        <v>855</v>
      </c>
      <c r="H795" s="14" t="n">
        <v>1170</v>
      </c>
      <c r="I795" s="14" t="n">
        <f aca="false">F795-(G795+H795)/2</f>
        <v>-782.158656290761</v>
      </c>
      <c r="J795" s="5" t="str">
        <f aca="false">IF(D795&lt;8,"LOW SAMPLE",IF(F795&gt;H795*(1+Assumptions!$B$10),"UNDERPAID",IF(F795&lt;G795*(1-Assumptions!$B$10),"OVERPAID","FAIR")))</f>
        <v>LOW SAMPLE</v>
      </c>
      <c r="K795" s="5" t="n">
        <v>149</v>
      </c>
    </row>
    <row r="796" customFormat="false" ht="15" hidden="false" customHeight="false" outlineLevel="0" collapsed="false">
      <c r="A796" s="5" t="n">
        <v>2022</v>
      </c>
      <c r="B796" s="5" t="s">
        <v>146</v>
      </c>
      <c r="C796" s="5" t="s">
        <v>152</v>
      </c>
      <c r="D796" s="5" t="n">
        <v>23</v>
      </c>
      <c r="E796" s="13" t="n">
        <v>4.32</v>
      </c>
      <c r="F796" s="14" t="n">
        <f aca="false">E796*Assumptions!$D$5</f>
        <v>581.914973581235</v>
      </c>
      <c r="G796" s="14" t="n">
        <v>450</v>
      </c>
      <c r="H796" s="14" t="n">
        <v>615</v>
      </c>
      <c r="I796" s="14" t="n">
        <f aca="false">F796-(G796+H796)/2</f>
        <v>49.4149735812349</v>
      </c>
      <c r="J796" s="5" t="str">
        <f aca="false">IF(D796&lt;8,"LOW SAMPLE",IF(F796&gt;H796*(1+Assumptions!$B$10),"UNDERPAID",IF(F796&lt;G796*(1-Assumptions!$B$10),"OVERPAID","FAIR")))</f>
        <v>FAIR</v>
      </c>
      <c r="K796" s="5" t="n">
        <v>79</v>
      </c>
    </row>
    <row r="797" customFormat="false" ht="15" hidden="false" customHeight="false" outlineLevel="0" collapsed="false">
      <c r="A797" s="5" t="n">
        <v>2022</v>
      </c>
      <c r="B797" s="5" t="s">
        <v>146</v>
      </c>
      <c r="C797" s="5" t="s">
        <v>153</v>
      </c>
      <c r="D797" s="5" t="n">
        <v>1</v>
      </c>
      <c r="E797" s="13" t="n">
        <v>0.19</v>
      </c>
      <c r="F797" s="14" t="n">
        <f aca="false">E797*Assumptions!$D$5</f>
        <v>25.5934826343599</v>
      </c>
      <c r="G797" s="14" t="n">
        <v>125</v>
      </c>
      <c r="H797" s="14" t="n">
        <v>225</v>
      </c>
      <c r="I797" s="14" t="n">
        <f aca="false">F797-(G797+H797)/2</f>
        <v>-149.40651736564</v>
      </c>
      <c r="J797" s="5" t="str">
        <f aca="false">IF(D797&lt;8,"LOW SAMPLE",IF(F797&gt;H797*(1+Assumptions!$B$10),"UNDERPAID",IF(F797&lt;G797*(1-Assumptions!$B$10),"OVERPAID","FAIR")))</f>
        <v>LOW SAMPLE</v>
      </c>
      <c r="K797" s="5" t="n">
        <v>11</v>
      </c>
    </row>
    <row r="798" customFormat="false" ht="15" hidden="false" customHeight="false" outlineLevel="0" collapsed="false">
      <c r="A798" s="5" t="n">
        <v>2022</v>
      </c>
      <c r="B798" s="5" t="s">
        <v>146</v>
      </c>
      <c r="C798" s="5" t="s">
        <v>154</v>
      </c>
      <c r="D798" s="5" t="n">
        <v>6</v>
      </c>
      <c r="E798" s="13" t="n">
        <v>0.47</v>
      </c>
      <c r="F798" s="14" t="n">
        <f aca="false">E798*Assumptions!$D$5</f>
        <v>63.3101938849955</v>
      </c>
      <c r="G798" s="14" t="n">
        <v>345</v>
      </c>
      <c r="H798" s="14" t="n">
        <v>450</v>
      </c>
      <c r="I798" s="14" t="n">
        <f aca="false">F798-(G798+H798)/2</f>
        <v>-334.189806115005</v>
      </c>
      <c r="J798" s="5" t="str">
        <f aca="false">IF(D798&lt;8,"LOW SAMPLE",IF(F798&gt;H798*(1+Assumptions!$B$10),"UNDERPAID",IF(F798&lt;G798*(1-Assumptions!$B$10),"OVERPAID","FAIR")))</f>
        <v>LOW SAMPLE</v>
      </c>
      <c r="K798" s="5" t="n">
        <v>66</v>
      </c>
    </row>
    <row r="799" customFormat="false" ht="15" hidden="false" customHeight="false" outlineLevel="0" collapsed="false">
      <c r="A799" s="5" t="n">
        <v>2022</v>
      </c>
      <c r="B799" s="5" t="s">
        <v>146</v>
      </c>
      <c r="C799" s="5" t="s">
        <v>156</v>
      </c>
      <c r="D799" s="5" t="n">
        <v>24</v>
      </c>
      <c r="E799" s="13" t="n">
        <v>5.35</v>
      </c>
      <c r="F799" s="14" t="n">
        <f aca="false">E799*Assumptions!$D$5</f>
        <v>720.658589967501</v>
      </c>
      <c r="G799" s="14" t="n">
        <v>345</v>
      </c>
      <c r="H799" s="14" t="n">
        <v>450</v>
      </c>
      <c r="I799" s="14" t="n">
        <f aca="false">F799-(G799+H799)/2</f>
        <v>323.158589967501</v>
      </c>
      <c r="J799" s="5" t="str">
        <f aca="false">IF(D799&lt;8,"LOW SAMPLE",IF(F799&gt;H799*(1+Assumptions!$B$10),"UNDERPAID",IF(F799&lt;G799*(1-Assumptions!$B$10),"OVERPAID","FAIR")))</f>
        <v>UNDERPAID</v>
      </c>
      <c r="K799" s="5" t="n">
        <v>29</v>
      </c>
    </row>
    <row r="800" customFormat="false" ht="15" hidden="false" customHeight="false" outlineLevel="0" collapsed="false">
      <c r="A800" s="5" t="n">
        <v>2022</v>
      </c>
      <c r="B800" s="5" t="s">
        <v>146</v>
      </c>
      <c r="C800" s="5" t="s">
        <v>157</v>
      </c>
      <c r="D800" s="5" t="n">
        <v>24</v>
      </c>
      <c r="E800" s="13" t="n">
        <v>5.61</v>
      </c>
      <c r="F800" s="14" t="n">
        <f aca="false">E800*Assumptions!$D$5</f>
        <v>755.68125041452</v>
      </c>
      <c r="G800" s="14" t="n">
        <v>450</v>
      </c>
      <c r="H800" s="14" t="n">
        <v>615</v>
      </c>
      <c r="I800" s="14" t="n">
        <f aca="false">F800-(G800+H800)/2</f>
        <v>223.18125041452</v>
      </c>
      <c r="J800" s="5" t="str">
        <f aca="false">IF(D800&lt;8,"LOW SAMPLE",IF(F800&gt;H800*(1+Assumptions!$B$10),"UNDERPAID",IF(F800&lt;G800*(1-Assumptions!$B$10),"OVERPAID","FAIR")))</f>
        <v>UNDERPAID</v>
      </c>
      <c r="K800" s="5" t="n">
        <v>102</v>
      </c>
    </row>
    <row r="801" customFormat="false" ht="15" hidden="false" customHeight="false" outlineLevel="0" collapsed="false">
      <c r="A801" s="5" t="n">
        <v>2022</v>
      </c>
      <c r="B801" s="5" t="s">
        <v>146</v>
      </c>
      <c r="C801" s="5" t="s">
        <v>158</v>
      </c>
      <c r="D801" s="5" t="n">
        <v>2</v>
      </c>
      <c r="E801" s="13" t="n">
        <v>0.12</v>
      </c>
      <c r="F801" s="14" t="n">
        <f aca="false">E801*Assumptions!$D$5</f>
        <v>16.164304821701</v>
      </c>
      <c r="G801" s="14" t="n">
        <v>125</v>
      </c>
      <c r="H801" s="14" t="n">
        <v>225</v>
      </c>
      <c r="I801" s="14" t="n">
        <f aca="false">F801-(G801+H801)/2</f>
        <v>-158.835695178299</v>
      </c>
      <c r="J801" s="5" t="str">
        <f aca="false">IF(D801&lt;8,"LOW SAMPLE",IF(F801&gt;H801*(1+Assumptions!$B$10),"UNDERPAID",IF(F801&lt;G801*(1-Assumptions!$B$10),"OVERPAID","FAIR")))</f>
        <v>LOW SAMPLE</v>
      </c>
      <c r="K801" s="5" t="n">
        <v>9</v>
      </c>
    </row>
    <row r="802" customFormat="false" ht="15" hidden="false" customHeight="false" outlineLevel="0" collapsed="false">
      <c r="A802" s="5" t="n">
        <v>2022</v>
      </c>
      <c r="B802" s="5" t="s">
        <v>146</v>
      </c>
      <c r="C802" s="5" t="s">
        <v>742</v>
      </c>
      <c r="D802" s="5" t="n">
        <v>2</v>
      </c>
      <c r="E802" s="13" t="n">
        <v>0.04</v>
      </c>
      <c r="F802" s="14" t="n">
        <f aca="false">E802*Assumptions!$D$5</f>
        <v>5.38810160723366</v>
      </c>
      <c r="G802" s="14" t="n">
        <v>225</v>
      </c>
      <c r="H802" s="14" t="n">
        <v>345</v>
      </c>
      <c r="I802" s="14" t="n">
        <f aca="false">F802-(G802+H802)/2</f>
        <v>-279.611898392766</v>
      </c>
      <c r="J802" s="5" t="str">
        <f aca="false">IF(D802&lt;8,"LOW SAMPLE",IF(F802&gt;H802*(1+Assumptions!$B$10),"UNDERPAID",IF(F802&lt;G802*(1-Assumptions!$B$10),"OVERPAID","FAIR")))</f>
        <v>LOW SAMPLE</v>
      </c>
      <c r="K802" s="5" t="n">
        <v>0</v>
      </c>
    </row>
    <row r="803" customFormat="false" ht="15" hidden="false" customHeight="false" outlineLevel="0" collapsed="false">
      <c r="A803" s="5" t="n">
        <v>2022</v>
      </c>
      <c r="B803" s="5" t="s">
        <v>146</v>
      </c>
      <c r="C803" s="5" t="s">
        <v>159</v>
      </c>
      <c r="D803" s="5" t="n">
        <v>24</v>
      </c>
      <c r="E803" s="13" t="n">
        <v>3.78</v>
      </c>
      <c r="F803" s="14" t="n">
        <f aca="false">E803*Assumptions!$D$5</f>
        <v>509.17560188358</v>
      </c>
      <c r="G803" s="14" t="n">
        <v>345</v>
      </c>
      <c r="H803" s="14" t="n">
        <v>450</v>
      </c>
      <c r="I803" s="14" t="n">
        <f aca="false">F803-(G803+H803)/2</f>
        <v>111.67560188358</v>
      </c>
      <c r="J803" s="5" t="str">
        <f aca="false">IF(D803&lt;8,"LOW SAMPLE",IF(F803&gt;H803*(1+Assumptions!$B$10),"UNDERPAID",IF(F803&lt;G803*(1-Assumptions!$B$10),"OVERPAID","FAIR")))</f>
        <v>FAIR</v>
      </c>
      <c r="K803" s="5" t="n">
        <v>35</v>
      </c>
    </row>
    <row r="804" customFormat="false" ht="15" hidden="false" customHeight="false" outlineLevel="0" collapsed="false">
      <c r="A804" s="5" t="n">
        <v>2022</v>
      </c>
      <c r="B804" s="5" t="s">
        <v>146</v>
      </c>
      <c r="C804" s="5" t="s">
        <v>160</v>
      </c>
      <c r="D804" s="5" t="n">
        <v>25</v>
      </c>
      <c r="E804" s="13" t="n">
        <v>6.66</v>
      </c>
      <c r="F804" s="14" t="n">
        <f aca="false">E804*Assumptions!$D$5</f>
        <v>897.118917604404</v>
      </c>
      <c r="G804" s="14" t="n">
        <v>615</v>
      </c>
      <c r="H804" s="14" t="n">
        <v>855</v>
      </c>
      <c r="I804" s="14" t="n">
        <f aca="false">F804-(G804+H804)/2</f>
        <v>162.118917604404</v>
      </c>
      <c r="J804" s="5" t="str">
        <f aca="false">IF(D804&lt;8,"LOW SAMPLE",IF(F804&gt;H804*(1+Assumptions!$B$10),"UNDERPAID",IF(F804&lt;G804*(1-Assumptions!$B$10),"OVERPAID","FAIR")))</f>
        <v>FAIR</v>
      </c>
      <c r="K804" s="5" t="n">
        <v>157</v>
      </c>
    </row>
    <row r="805" customFormat="false" ht="15" hidden="false" customHeight="false" outlineLevel="0" collapsed="false">
      <c r="A805" s="5" t="n">
        <v>2022</v>
      </c>
      <c r="B805" s="5" t="s">
        <v>146</v>
      </c>
      <c r="C805" s="5" t="s">
        <v>161</v>
      </c>
      <c r="D805" s="5" t="n">
        <v>23</v>
      </c>
      <c r="E805" s="13" t="n">
        <v>3.58</v>
      </c>
      <c r="F805" s="14" t="n">
        <f aca="false">E805*Assumptions!$D$5</f>
        <v>482.235093847412</v>
      </c>
      <c r="G805" s="14" t="n">
        <v>125</v>
      </c>
      <c r="H805" s="14" t="n">
        <v>225</v>
      </c>
      <c r="I805" s="14" t="n">
        <f aca="false">F805-(G805+H805)/2</f>
        <v>307.235093847412</v>
      </c>
      <c r="J805" s="5" t="str">
        <f aca="false">IF(D805&lt;8,"LOW SAMPLE",IF(F805&gt;H805*(1+Assumptions!$B$10),"UNDERPAID",IF(F805&lt;G805*(1-Assumptions!$B$10),"OVERPAID","FAIR")))</f>
        <v>UNDERPAID</v>
      </c>
      <c r="K805" s="5" t="n">
        <v>5</v>
      </c>
    </row>
    <row r="806" customFormat="false" ht="15" hidden="false" customHeight="false" outlineLevel="0" collapsed="false">
      <c r="A806" s="5" t="n">
        <v>2022</v>
      </c>
      <c r="B806" s="5" t="s">
        <v>146</v>
      </c>
      <c r="C806" s="5" t="s">
        <v>162</v>
      </c>
      <c r="D806" s="5" t="n">
        <v>9</v>
      </c>
      <c r="E806" s="13" t="n">
        <v>0.78</v>
      </c>
      <c r="F806" s="14" t="n">
        <f aca="false">E806*Assumptions!$D$5</f>
        <v>105.067981341056</v>
      </c>
      <c r="G806" s="14" t="n">
        <v>345</v>
      </c>
      <c r="H806" s="14" t="n">
        <v>450</v>
      </c>
      <c r="I806" s="14" t="n">
        <f aca="false">F806-(G806+H806)/2</f>
        <v>-292.432018658944</v>
      </c>
      <c r="J806" s="5" t="str">
        <f aca="false">IF(D806&lt;8,"LOW SAMPLE",IF(F806&gt;H806*(1+Assumptions!$B$10),"UNDERPAID",IF(F806&lt;G806*(1-Assumptions!$B$10),"OVERPAID","FAIR")))</f>
        <v>OVERPAID</v>
      </c>
      <c r="K806" s="5" t="n">
        <v>40</v>
      </c>
    </row>
    <row r="807" customFormat="false" ht="15" hidden="false" customHeight="false" outlineLevel="0" collapsed="false">
      <c r="A807" s="5" t="n">
        <v>2022</v>
      </c>
      <c r="B807" s="5" t="s">
        <v>146</v>
      </c>
      <c r="C807" s="5" t="s">
        <v>163</v>
      </c>
      <c r="D807" s="5" t="n">
        <v>19</v>
      </c>
      <c r="E807" s="13" t="n">
        <v>3.65</v>
      </c>
      <c r="F807" s="14" t="n">
        <f aca="false">E807*Assumptions!$D$5</f>
        <v>491.664271660071</v>
      </c>
      <c r="G807" s="14" t="n">
        <v>450</v>
      </c>
      <c r="H807" s="14" t="n">
        <v>615</v>
      </c>
      <c r="I807" s="14" t="n">
        <f aca="false">F807-(G807+H807)/2</f>
        <v>-40.8357283399289</v>
      </c>
      <c r="J807" s="5" t="str">
        <f aca="false">IF(D807&lt;8,"LOW SAMPLE",IF(F807&gt;H807*(1+Assumptions!$B$10),"UNDERPAID",IF(F807&lt;G807*(1-Assumptions!$B$10),"OVERPAID","FAIR")))</f>
        <v>FAIR</v>
      </c>
      <c r="K807" s="5" t="n">
        <v>84</v>
      </c>
    </row>
    <row r="808" customFormat="false" ht="15" hidden="false" customHeight="false" outlineLevel="0" collapsed="false">
      <c r="A808" s="5" t="n">
        <v>2022</v>
      </c>
      <c r="B808" s="5" t="s">
        <v>146</v>
      </c>
      <c r="C808" s="5" t="s">
        <v>165</v>
      </c>
      <c r="D808" s="5" t="n">
        <v>24</v>
      </c>
      <c r="E808" s="13" t="n">
        <v>4.94</v>
      </c>
      <c r="F808" s="14" t="n">
        <f aca="false">E808*Assumptions!$D$5</f>
        <v>665.430548493357</v>
      </c>
      <c r="G808" s="14" t="n">
        <v>345</v>
      </c>
      <c r="H808" s="14" t="n">
        <v>450</v>
      </c>
      <c r="I808" s="14" t="n">
        <f aca="false">F808-(G808+H808)/2</f>
        <v>267.930548493357</v>
      </c>
      <c r="J808" s="5" t="str">
        <f aca="false">IF(D808&lt;8,"LOW SAMPLE",IF(F808&gt;H808*(1+Assumptions!$B$10),"UNDERPAID",IF(F808&lt;G808*(1-Assumptions!$B$10),"OVERPAID","FAIR")))</f>
        <v>UNDERPAID</v>
      </c>
      <c r="K808" s="5" t="n">
        <v>117</v>
      </c>
    </row>
    <row r="809" customFormat="false" ht="15" hidden="false" customHeight="false" outlineLevel="0" collapsed="false">
      <c r="A809" s="5" t="n">
        <v>2022</v>
      </c>
      <c r="B809" s="5" t="s">
        <v>146</v>
      </c>
      <c r="C809" s="5" t="s">
        <v>166</v>
      </c>
      <c r="D809" s="5" t="n">
        <v>25</v>
      </c>
      <c r="E809" s="13" t="n">
        <v>3.41</v>
      </c>
      <c r="F809" s="14" t="n">
        <f aca="false">E809*Assumptions!$D$5</f>
        <v>459.335662016669</v>
      </c>
      <c r="G809" s="14" t="n">
        <v>345</v>
      </c>
      <c r="H809" s="14" t="n">
        <v>450</v>
      </c>
      <c r="I809" s="14" t="n">
        <f aca="false">F809-(G809+H809)/2</f>
        <v>61.8356620166692</v>
      </c>
      <c r="J809" s="5" t="str">
        <f aca="false">IF(D809&lt;8,"LOW SAMPLE",IF(F809&gt;H809*(1+Assumptions!$B$10),"UNDERPAID",IF(F809&lt;G809*(1-Assumptions!$B$10),"OVERPAID","FAIR")))</f>
        <v>FAIR</v>
      </c>
      <c r="K809" s="5" t="n">
        <v>44</v>
      </c>
    </row>
    <row r="810" customFormat="false" ht="15" hidden="false" customHeight="false" outlineLevel="0" collapsed="false">
      <c r="A810" s="5" t="n">
        <v>2022</v>
      </c>
      <c r="B810" s="5" t="s">
        <v>146</v>
      </c>
      <c r="C810" s="5" t="s">
        <v>167</v>
      </c>
      <c r="D810" s="5" t="n">
        <v>1</v>
      </c>
      <c r="E810" s="13" t="n">
        <v>0.06</v>
      </c>
      <c r="F810" s="14" t="n">
        <f aca="false">E810*Assumptions!$D$5</f>
        <v>8.08215241085048</v>
      </c>
      <c r="G810" s="14" t="n">
        <v>450</v>
      </c>
      <c r="H810" s="14" t="n">
        <v>615</v>
      </c>
      <c r="I810" s="14" t="n">
        <f aca="false">F810-(G810+H810)/2</f>
        <v>-524.41784758915</v>
      </c>
      <c r="J810" s="5" t="str">
        <f aca="false">IF(D810&lt;8,"LOW SAMPLE",IF(F810&gt;H810*(1+Assumptions!$B$10),"UNDERPAID",IF(F810&lt;G810*(1-Assumptions!$B$10),"OVERPAID","FAIR")))</f>
        <v>LOW SAMPLE</v>
      </c>
      <c r="K810" s="5" t="n">
        <v>128</v>
      </c>
    </row>
    <row r="811" customFormat="false" ht="15" hidden="false" customHeight="false" outlineLevel="0" collapsed="false">
      <c r="A811" s="5" t="n">
        <v>2022</v>
      </c>
      <c r="B811" s="5" t="s">
        <v>146</v>
      </c>
      <c r="C811" s="5" t="s">
        <v>168</v>
      </c>
      <c r="D811" s="5" t="n">
        <v>19</v>
      </c>
      <c r="E811" s="13" t="n">
        <v>4.97</v>
      </c>
      <c r="F811" s="14" t="n">
        <f aca="false">E811*Assumptions!$D$5</f>
        <v>669.471624698782</v>
      </c>
      <c r="G811" s="14" t="n">
        <v>450</v>
      </c>
      <c r="H811" s="14" t="n">
        <v>615</v>
      </c>
      <c r="I811" s="14" t="n">
        <f aca="false">F811-(G811+H811)/2</f>
        <v>136.971624698782</v>
      </c>
      <c r="J811" s="5" t="str">
        <f aca="false">IF(D811&lt;8,"LOW SAMPLE",IF(F811&gt;H811*(1+Assumptions!$B$10),"UNDERPAID",IF(F811&lt;G811*(1-Assumptions!$B$10),"OVERPAID","FAIR")))</f>
        <v>FAIR</v>
      </c>
      <c r="K811" s="5" t="n">
        <v>118</v>
      </c>
    </row>
    <row r="812" customFormat="false" ht="15" hidden="false" customHeight="false" outlineLevel="0" collapsed="false">
      <c r="A812" s="5" t="n">
        <v>2022</v>
      </c>
      <c r="B812" s="5" t="s">
        <v>146</v>
      </c>
      <c r="C812" s="5" t="s">
        <v>743</v>
      </c>
      <c r="D812" s="5" t="n">
        <v>7</v>
      </c>
      <c r="E812" s="13" t="n">
        <v>0.88</v>
      </c>
      <c r="F812" s="14" t="n">
        <f aca="false">E812*Assumptions!$D$5</f>
        <v>118.53823535914</v>
      </c>
      <c r="G812" s="14" t="n">
        <v>225</v>
      </c>
      <c r="H812" s="14" t="n">
        <v>345</v>
      </c>
      <c r="I812" s="14" t="n">
        <f aca="false">F812-(G812+H812)/2</f>
        <v>-166.46176464086</v>
      </c>
      <c r="J812" s="5" t="str">
        <f aca="false">IF(D812&lt;8,"LOW SAMPLE",IF(F812&gt;H812*(1+Assumptions!$B$10),"UNDERPAID",IF(F812&lt;G812*(1-Assumptions!$B$10),"OVERPAID","FAIR")))</f>
        <v>LOW SAMPLE</v>
      </c>
      <c r="K812" s="5" t="n">
        <v>0</v>
      </c>
    </row>
    <row r="813" customFormat="false" ht="15" hidden="false" customHeight="false" outlineLevel="0" collapsed="false">
      <c r="A813" s="5" t="n">
        <v>2022</v>
      </c>
      <c r="B813" s="5" t="s">
        <v>146</v>
      </c>
      <c r="C813" s="5" t="s">
        <v>169</v>
      </c>
      <c r="D813" s="5" t="n">
        <v>25</v>
      </c>
      <c r="E813" s="13" t="n">
        <v>4.47</v>
      </c>
      <c r="F813" s="14" t="n">
        <f aca="false">E813*Assumptions!$D$5</f>
        <v>602.120354608361</v>
      </c>
      <c r="G813" s="14" t="n">
        <v>345</v>
      </c>
      <c r="H813" s="14" t="n">
        <v>450</v>
      </c>
      <c r="I813" s="14" t="n">
        <f aca="false">F813-(G813+H813)/2</f>
        <v>204.620354608361</v>
      </c>
      <c r="J813" s="5" t="str">
        <f aca="false">IF(D813&lt;8,"LOW SAMPLE",IF(F813&gt;H813*(1+Assumptions!$B$10),"UNDERPAID",IF(F813&lt;G813*(1-Assumptions!$B$10),"OVERPAID","FAIR")))</f>
        <v>UNDERPAID</v>
      </c>
      <c r="K813" s="5" t="n">
        <v>52</v>
      </c>
    </row>
    <row r="814" customFormat="false" ht="15" hidden="false" customHeight="false" outlineLevel="0" collapsed="false">
      <c r="A814" s="5" t="n">
        <v>2022</v>
      </c>
      <c r="B814" s="5" t="s">
        <v>146</v>
      </c>
      <c r="C814" s="5" t="s">
        <v>173</v>
      </c>
      <c r="D814" s="5" t="n">
        <v>18</v>
      </c>
      <c r="E814" s="13" t="n">
        <v>3.34</v>
      </c>
      <c r="F814" s="14" t="n">
        <f aca="false">E814*Assumptions!$D$5</f>
        <v>449.90648420401</v>
      </c>
      <c r="G814" s="14" t="n">
        <v>225</v>
      </c>
      <c r="H814" s="14" t="n">
        <v>345</v>
      </c>
      <c r="I814" s="14" t="n">
        <f aca="false">F814-(G814+H814)/2</f>
        <v>164.90648420401</v>
      </c>
      <c r="J814" s="5" t="str">
        <f aca="false">IF(D814&lt;8,"LOW SAMPLE",IF(F814&gt;H814*(1+Assumptions!$B$10),"UNDERPAID",IF(F814&lt;G814*(1-Assumptions!$B$10),"OVERPAID","FAIR")))</f>
        <v>UNDERPAID</v>
      </c>
      <c r="K814" s="5" t="n">
        <v>76</v>
      </c>
    </row>
    <row r="815" customFormat="false" ht="15" hidden="false" customHeight="false" outlineLevel="0" collapsed="false">
      <c r="A815" s="5" t="n">
        <v>2022</v>
      </c>
      <c r="B815" s="5" t="s">
        <v>146</v>
      </c>
      <c r="C815" s="5" t="s">
        <v>326</v>
      </c>
      <c r="D815" s="5" t="n">
        <v>5</v>
      </c>
      <c r="E815" s="13" t="n">
        <v>0.54</v>
      </c>
      <c r="F815" s="14" t="n">
        <f aca="false">E815*Assumptions!$D$5</f>
        <v>72.7393716976544</v>
      </c>
      <c r="G815" s="14" t="n">
        <v>125</v>
      </c>
      <c r="H815" s="14" t="n">
        <v>225</v>
      </c>
      <c r="I815" s="14" t="n">
        <f aca="false">F815-(G815+H815)/2</f>
        <v>-102.260628302346</v>
      </c>
      <c r="J815" s="5" t="str">
        <f aca="false">IF(D815&lt;8,"LOW SAMPLE",IF(F815&gt;H815*(1+Assumptions!$B$10),"UNDERPAID",IF(F815&lt;G815*(1-Assumptions!$B$10),"OVERPAID","FAIR")))</f>
        <v>LOW SAMPLE</v>
      </c>
      <c r="K815" s="5" t="n">
        <v>2</v>
      </c>
    </row>
    <row r="816" customFormat="false" ht="15" hidden="false" customHeight="false" outlineLevel="0" collapsed="false">
      <c r="A816" s="5" t="n">
        <v>2022</v>
      </c>
      <c r="B816" s="5" t="s">
        <v>146</v>
      </c>
      <c r="C816" s="5" t="s">
        <v>175</v>
      </c>
      <c r="D816" s="5" t="n">
        <v>16</v>
      </c>
      <c r="E816" s="13" t="n">
        <v>2.34</v>
      </c>
      <c r="F816" s="14" t="n">
        <f aca="false">E816*Assumptions!$D$5</f>
        <v>315.203944023169</v>
      </c>
      <c r="G816" s="14" t="n">
        <v>125</v>
      </c>
      <c r="H816" s="14" t="n">
        <v>225</v>
      </c>
      <c r="I816" s="14" t="n">
        <f aca="false">F816-(G816+H816)/2</f>
        <v>140.203944023169</v>
      </c>
      <c r="J816" s="5" t="str">
        <f aca="false">IF(D816&lt;8,"LOW SAMPLE",IF(F816&gt;H816*(1+Assumptions!$B$10),"UNDERPAID",IF(F816&lt;G816*(1-Assumptions!$B$10),"OVERPAID","FAIR")))</f>
        <v>UNDERPAID</v>
      </c>
      <c r="K816" s="5" t="n">
        <v>17</v>
      </c>
    </row>
    <row r="817" customFormat="false" ht="15" hidden="false" customHeight="false" outlineLevel="0" collapsed="false">
      <c r="A817" s="5" t="n">
        <v>2022</v>
      </c>
      <c r="B817" s="5" t="s">
        <v>146</v>
      </c>
      <c r="C817" s="5" t="s">
        <v>744</v>
      </c>
      <c r="D817" s="5" t="n">
        <v>25</v>
      </c>
      <c r="E817" s="13" t="n">
        <v>4.65</v>
      </c>
      <c r="F817" s="14" t="n">
        <f aca="false">E817*Assumptions!$D$5</f>
        <v>626.366811840913</v>
      </c>
      <c r="G817" s="14" t="n">
        <v>225</v>
      </c>
      <c r="H817" s="14" t="n">
        <v>345</v>
      </c>
      <c r="I817" s="14" t="n">
        <f aca="false">F817-(G817+H817)/2</f>
        <v>341.366811840913</v>
      </c>
      <c r="J817" s="5" t="str">
        <f aca="false">IF(D817&lt;8,"LOW SAMPLE",IF(F817&gt;H817*(1+Assumptions!$B$10),"UNDERPAID",IF(F817&lt;G817*(1-Assumptions!$B$10),"OVERPAID","FAIR")))</f>
        <v>UNDERPAID</v>
      </c>
      <c r="K817" s="5" t="n">
        <v>0</v>
      </c>
    </row>
    <row r="818" customFormat="false" ht="15" hidden="false" customHeight="false" outlineLevel="0" collapsed="false">
      <c r="A818" s="5" t="n">
        <v>2022</v>
      </c>
      <c r="B818" s="5" t="s">
        <v>146</v>
      </c>
      <c r="C818" s="5" t="s">
        <v>176</v>
      </c>
      <c r="D818" s="5" t="n">
        <v>15</v>
      </c>
      <c r="E818" s="13" t="n">
        <v>2.2</v>
      </c>
      <c r="F818" s="14" t="n">
        <f aca="false">E818*Assumptions!$D$5</f>
        <v>296.345588397851</v>
      </c>
      <c r="G818" s="14" t="n">
        <v>125</v>
      </c>
      <c r="H818" s="14" t="n">
        <v>225</v>
      </c>
      <c r="I818" s="14" t="n">
        <f aca="false">F818-(G818+H818)/2</f>
        <v>121.345588397851</v>
      </c>
      <c r="J818" s="5" t="str">
        <f aca="false">IF(D818&lt;8,"LOW SAMPLE",IF(F818&gt;H818*(1+Assumptions!$B$10),"UNDERPAID",IF(F818&lt;G818*(1-Assumptions!$B$10),"OVERPAID","FAIR")))</f>
        <v>UNDERPAID</v>
      </c>
      <c r="K818" s="5" t="n">
        <v>10</v>
      </c>
    </row>
    <row r="819" customFormat="false" ht="15" hidden="false" customHeight="false" outlineLevel="0" collapsed="false">
      <c r="A819" s="5" t="n">
        <v>2022</v>
      </c>
      <c r="B819" s="5" t="s">
        <v>146</v>
      </c>
      <c r="C819" s="5" t="s">
        <v>711</v>
      </c>
      <c r="D819" s="5" t="n">
        <v>25</v>
      </c>
      <c r="E819" s="13" t="n">
        <v>5.2</v>
      </c>
      <c r="F819" s="14" t="n">
        <f aca="false">E819*Assumptions!$D$5</f>
        <v>700.453208940375</v>
      </c>
      <c r="G819" s="14" t="n">
        <v>225</v>
      </c>
      <c r="H819" s="14" t="n">
        <v>345</v>
      </c>
      <c r="I819" s="14" t="n">
        <f aca="false">F819-(G819+H819)/2</f>
        <v>415.453208940375</v>
      </c>
      <c r="J819" s="5" t="str">
        <f aca="false">IF(D819&lt;8,"LOW SAMPLE",IF(F819&gt;H819*(1+Assumptions!$B$10),"UNDERPAID",IF(F819&lt;G819*(1-Assumptions!$B$10),"OVERPAID","FAIR")))</f>
        <v>UNDERPAID</v>
      </c>
      <c r="K819" s="5" t="n">
        <v>56</v>
      </c>
    </row>
    <row r="820" customFormat="false" ht="15" hidden="false" customHeight="false" outlineLevel="0" collapsed="false">
      <c r="A820" s="5" t="n">
        <v>2022</v>
      </c>
      <c r="B820" s="5" t="s">
        <v>146</v>
      </c>
      <c r="C820" s="5" t="s">
        <v>745</v>
      </c>
      <c r="D820" s="5" t="n">
        <v>6</v>
      </c>
      <c r="E820" s="13" t="n">
        <v>0.47</v>
      </c>
      <c r="F820" s="14" t="n">
        <f aca="false">E820*Assumptions!$D$5</f>
        <v>63.3101938849955</v>
      </c>
      <c r="G820" s="14" t="n">
        <v>225</v>
      </c>
      <c r="H820" s="14" t="n">
        <v>345</v>
      </c>
      <c r="I820" s="14" t="n">
        <f aca="false">F820-(G820+H820)/2</f>
        <v>-221.689806115005</v>
      </c>
      <c r="J820" s="5" t="str">
        <f aca="false">IF(D820&lt;8,"LOW SAMPLE",IF(F820&gt;H820*(1+Assumptions!$B$10),"UNDERPAID",IF(F820&lt;G820*(1-Assumptions!$B$10),"OVERPAID","FAIR")))</f>
        <v>LOW SAMPLE</v>
      </c>
      <c r="K820" s="5" t="n">
        <v>0</v>
      </c>
    </row>
    <row r="821" customFormat="false" ht="15" hidden="false" customHeight="false" outlineLevel="0" collapsed="false">
      <c r="A821" s="5" t="n">
        <v>2022</v>
      </c>
      <c r="B821" s="5" t="s">
        <v>146</v>
      </c>
      <c r="C821" s="5" t="s">
        <v>177</v>
      </c>
      <c r="D821" s="5" t="n">
        <v>24</v>
      </c>
      <c r="E821" s="13" t="n">
        <v>5.38</v>
      </c>
      <c r="F821" s="14" t="n">
        <f aca="false">E821*Assumptions!$D$5</f>
        <v>724.699666172927</v>
      </c>
      <c r="G821" s="14" t="n">
        <v>615</v>
      </c>
      <c r="H821" s="14" t="n">
        <v>855</v>
      </c>
      <c r="I821" s="14" t="n">
        <f aca="false">F821-(G821+H821)/2</f>
        <v>-10.3003338270734</v>
      </c>
      <c r="J821" s="5" t="str">
        <f aca="false">IF(D821&lt;8,"LOW SAMPLE",IF(F821&gt;H821*(1+Assumptions!$B$10),"UNDERPAID",IF(F821&lt;G821*(1-Assumptions!$B$10),"OVERPAID","FAIR")))</f>
        <v>FAIR</v>
      </c>
      <c r="K821" s="5" t="n">
        <v>142</v>
      </c>
    </row>
    <row r="822" customFormat="false" ht="15" hidden="false" customHeight="false" outlineLevel="0" collapsed="false">
      <c r="A822" s="5" t="n">
        <v>2022</v>
      </c>
      <c r="B822" s="5" t="s">
        <v>146</v>
      </c>
      <c r="C822" s="5" t="s">
        <v>178</v>
      </c>
      <c r="D822" s="5" t="n">
        <v>25</v>
      </c>
      <c r="E822" s="13" t="n">
        <v>4.26</v>
      </c>
      <c r="F822" s="14" t="n">
        <f aca="false">E822*Assumptions!$D$5</f>
        <v>573.832821170384</v>
      </c>
      <c r="G822" s="14" t="n">
        <v>450</v>
      </c>
      <c r="H822" s="14" t="n">
        <v>615</v>
      </c>
      <c r="I822" s="14" t="n">
        <f aca="false">F822-(G822+H822)/2</f>
        <v>41.3328211703844</v>
      </c>
      <c r="J822" s="5" t="str">
        <f aca="false">IF(D822&lt;8,"LOW SAMPLE",IF(F822&gt;H822*(1+Assumptions!$B$10),"UNDERPAID",IF(F822&lt;G822*(1-Assumptions!$B$10),"OVERPAID","FAIR")))</f>
        <v>FAIR</v>
      </c>
      <c r="K822" s="5" t="n">
        <v>137</v>
      </c>
    </row>
    <row r="823" customFormat="false" ht="15" hidden="false" customHeight="false" outlineLevel="0" collapsed="false">
      <c r="A823" s="5" t="n">
        <v>2022</v>
      </c>
      <c r="B823" s="5" t="s">
        <v>146</v>
      </c>
      <c r="C823" s="5" t="s">
        <v>179</v>
      </c>
      <c r="D823" s="5" t="n">
        <v>18</v>
      </c>
      <c r="E823" s="13" t="n">
        <v>4.07</v>
      </c>
      <c r="F823" s="14" t="n">
        <f aca="false">E823*Assumptions!$D$5</f>
        <v>548.239338536025</v>
      </c>
      <c r="G823" s="14" t="n">
        <v>450</v>
      </c>
      <c r="H823" s="14" t="n">
        <v>615</v>
      </c>
      <c r="I823" s="14" t="n">
        <f aca="false">F823-(G823+H823)/2</f>
        <v>15.7393385360245</v>
      </c>
      <c r="J823" s="5" t="str">
        <f aca="false">IF(D823&lt;8,"LOW SAMPLE",IF(F823&gt;H823*(1+Assumptions!$B$10),"UNDERPAID",IF(F823&lt;G823*(1-Assumptions!$B$10),"OVERPAID","FAIR")))</f>
        <v>FAIR</v>
      </c>
      <c r="K823" s="5" t="n">
        <v>122</v>
      </c>
    </row>
    <row r="824" customFormat="false" ht="15" hidden="false" customHeight="false" outlineLevel="0" collapsed="false">
      <c r="A824" s="5" t="n">
        <v>2022</v>
      </c>
      <c r="B824" s="5" t="s">
        <v>146</v>
      </c>
      <c r="C824" s="5" t="s">
        <v>180</v>
      </c>
      <c r="D824" s="5" t="n">
        <v>3</v>
      </c>
      <c r="E824" s="13" t="n">
        <v>0.23</v>
      </c>
      <c r="F824" s="14" t="n">
        <f aca="false">E824*Assumptions!$D$5</f>
        <v>30.9815842415935</v>
      </c>
      <c r="G824" s="14" t="n">
        <v>125</v>
      </c>
      <c r="H824" s="14" t="n">
        <v>225</v>
      </c>
      <c r="I824" s="14" t="n">
        <f aca="false">F824-(G824+H824)/2</f>
        <v>-144.018415758407</v>
      </c>
      <c r="J824" s="5" t="str">
        <f aca="false">IF(D824&lt;8,"LOW SAMPLE",IF(F824&gt;H824*(1+Assumptions!$B$10),"UNDERPAID",IF(F824&lt;G824*(1-Assumptions!$B$10),"OVERPAID","FAIR")))</f>
        <v>LOW SAMPLE</v>
      </c>
      <c r="K824" s="5" t="n">
        <v>4</v>
      </c>
    </row>
    <row r="825" customFormat="false" ht="15" hidden="false" customHeight="false" outlineLevel="0" collapsed="false">
      <c r="A825" s="5" t="n">
        <v>2022</v>
      </c>
      <c r="B825" s="5" t="s">
        <v>146</v>
      </c>
      <c r="C825" s="5" t="s">
        <v>181</v>
      </c>
      <c r="D825" s="5" t="n">
        <v>10</v>
      </c>
      <c r="E825" s="13" t="n">
        <v>0.96</v>
      </c>
      <c r="F825" s="14" t="n">
        <f aca="false">E825*Assumptions!$D$5</f>
        <v>129.314438573608</v>
      </c>
      <c r="G825" s="14" t="n">
        <v>225</v>
      </c>
      <c r="H825" s="14" t="n">
        <v>345</v>
      </c>
      <c r="I825" s="14" t="n">
        <f aca="false">F825-(G825+H825)/2</f>
        <v>-155.685561426392</v>
      </c>
      <c r="J825" s="5" t="str">
        <f aca="false">IF(D825&lt;8,"LOW SAMPLE",IF(F825&gt;H825*(1+Assumptions!$B$10),"UNDERPAID",IF(F825&lt;G825*(1-Assumptions!$B$10),"OVERPAID","FAIR")))</f>
        <v>OVERPAID</v>
      </c>
      <c r="K825" s="5" t="n">
        <v>12</v>
      </c>
    </row>
    <row r="826" customFormat="false" ht="15" hidden="false" customHeight="false" outlineLevel="0" collapsed="false">
      <c r="A826" s="5" t="n">
        <v>2022</v>
      </c>
      <c r="B826" s="5" t="s">
        <v>146</v>
      </c>
      <c r="C826" s="5" t="s">
        <v>182</v>
      </c>
      <c r="D826" s="5" t="n">
        <v>4</v>
      </c>
      <c r="E826" s="13" t="n">
        <v>0.36</v>
      </c>
      <c r="F826" s="14" t="n">
        <f aca="false">E826*Assumptions!$D$5</f>
        <v>48.4929144651029</v>
      </c>
      <c r="G826" s="14" t="n">
        <v>125</v>
      </c>
      <c r="H826" s="14" t="n">
        <v>225</v>
      </c>
      <c r="I826" s="14" t="n">
        <f aca="false">F826-(G826+H826)/2</f>
        <v>-126.507085534897</v>
      </c>
      <c r="J826" s="5" t="str">
        <f aca="false">IF(D826&lt;8,"LOW SAMPLE",IF(F826&gt;H826*(1+Assumptions!$B$10),"UNDERPAID",IF(F826&lt;G826*(1-Assumptions!$B$10),"OVERPAID","FAIR")))</f>
        <v>LOW SAMPLE</v>
      </c>
      <c r="K826" s="5" t="n">
        <v>13</v>
      </c>
    </row>
    <row r="827" customFormat="false" ht="15" hidden="false" customHeight="false" outlineLevel="0" collapsed="false">
      <c r="A827" s="5" t="n">
        <v>2022</v>
      </c>
      <c r="B827" s="5" t="s">
        <v>146</v>
      </c>
      <c r="C827" s="5" t="s">
        <v>183</v>
      </c>
      <c r="D827" s="5" t="n">
        <v>11</v>
      </c>
      <c r="E827" s="13" t="n">
        <v>0.83</v>
      </c>
      <c r="F827" s="14" t="n">
        <f aca="false">E827*Assumptions!$D$5</f>
        <v>111.803108350098</v>
      </c>
      <c r="G827" s="14" t="n">
        <v>125</v>
      </c>
      <c r="H827" s="14" t="n">
        <v>225</v>
      </c>
      <c r="I827" s="14" t="n">
        <f aca="false">F827-(G827+H827)/2</f>
        <v>-63.1968916499016</v>
      </c>
      <c r="J827" s="5" t="str">
        <f aca="false">IF(D827&lt;8,"LOW SAMPLE",IF(F827&gt;H827*(1+Assumptions!$B$10),"UNDERPAID",IF(F827&lt;G827*(1-Assumptions!$B$10),"OVERPAID","FAIR")))</f>
        <v>FAIR</v>
      </c>
      <c r="K827" s="5" t="n">
        <v>16</v>
      </c>
    </row>
    <row r="828" customFormat="false" ht="15" hidden="false" customHeight="false" outlineLevel="0" collapsed="false">
      <c r="A828" s="5" t="n">
        <v>2022</v>
      </c>
      <c r="B828" s="5" t="s">
        <v>146</v>
      </c>
      <c r="C828" s="5" t="s">
        <v>184</v>
      </c>
      <c r="D828" s="5" t="n">
        <v>24</v>
      </c>
      <c r="E828" s="13" t="n">
        <v>3.38</v>
      </c>
      <c r="F828" s="14" t="n">
        <f aca="false">E828*Assumptions!$D$5</f>
        <v>455.294585811244</v>
      </c>
      <c r="G828" s="14" t="n">
        <v>345</v>
      </c>
      <c r="H828" s="14" t="n">
        <v>450</v>
      </c>
      <c r="I828" s="14" t="n">
        <f aca="false">F828-(G828+H828)/2</f>
        <v>57.7945858112439</v>
      </c>
      <c r="J828" s="5" t="str">
        <f aca="false">IF(D828&lt;8,"LOW SAMPLE",IF(F828&gt;H828*(1+Assumptions!$B$10),"UNDERPAID",IF(F828&lt;G828*(1-Assumptions!$B$10),"OVERPAID","FAIR")))</f>
        <v>FAIR</v>
      </c>
      <c r="K828" s="5" t="n">
        <v>118</v>
      </c>
    </row>
    <row r="829" customFormat="false" ht="15" hidden="false" customHeight="false" outlineLevel="0" collapsed="false">
      <c r="A829" s="5" t="n">
        <v>2022</v>
      </c>
      <c r="B829" s="5" t="s">
        <v>186</v>
      </c>
      <c r="C829" s="5" t="s">
        <v>187</v>
      </c>
      <c r="D829" s="5" t="n">
        <v>4</v>
      </c>
      <c r="E829" s="13" t="n">
        <v>0.67</v>
      </c>
      <c r="F829" s="14" t="n">
        <f aca="false">E829*Assumptions!$D$5</f>
        <v>90.2507019211637</v>
      </c>
      <c r="G829" s="14" t="n">
        <v>345</v>
      </c>
      <c r="H829" s="14" t="n">
        <v>450</v>
      </c>
      <c r="I829" s="14" t="n">
        <f aca="false">F829-(G829+H829)/2</f>
        <v>-307.249298078836</v>
      </c>
      <c r="J829" s="5" t="str">
        <f aca="false">IF(D829&lt;8,"LOW SAMPLE",IF(F829&gt;H829*(1+Assumptions!$B$10),"UNDERPAID",IF(F829&lt;G829*(1-Assumptions!$B$10),"OVERPAID","FAIR")))</f>
        <v>LOW SAMPLE</v>
      </c>
      <c r="K829" s="5" t="n">
        <v>50</v>
      </c>
    </row>
    <row r="830" customFormat="false" ht="15" hidden="false" customHeight="false" outlineLevel="0" collapsed="false">
      <c r="A830" s="5" t="n">
        <v>2022</v>
      </c>
      <c r="B830" s="5" t="s">
        <v>186</v>
      </c>
      <c r="C830" s="5" t="s">
        <v>746</v>
      </c>
      <c r="D830" s="5" t="n">
        <v>1</v>
      </c>
      <c r="E830" s="13" t="n">
        <v>0</v>
      </c>
      <c r="F830" s="14" t="n">
        <f aca="false">E830*Assumptions!$D$5</f>
        <v>0</v>
      </c>
      <c r="G830" s="14" t="n">
        <v>225</v>
      </c>
      <c r="H830" s="14" t="n">
        <v>345</v>
      </c>
      <c r="I830" s="14" t="n">
        <f aca="false">F830-(G830+H830)/2</f>
        <v>-285</v>
      </c>
      <c r="J830" s="5" t="str">
        <f aca="false">IF(D830&lt;8,"LOW SAMPLE",IF(F830&gt;H830*(1+Assumptions!$B$10),"UNDERPAID",IF(F830&lt;G830*(1-Assumptions!$B$10),"OVERPAID","FAIR")))</f>
        <v>LOW SAMPLE</v>
      </c>
      <c r="K830" s="5" t="n">
        <v>0</v>
      </c>
    </row>
    <row r="831" customFormat="false" ht="15" hidden="false" customHeight="false" outlineLevel="0" collapsed="false">
      <c r="A831" s="5" t="n">
        <v>2022</v>
      </c>
      <c r="B831" s="5" t="s">
        <v>186</v>
      </c>
      <c r="C831" s="5" t="s">
        <v>188</v>
      </c>
      <c r="D831" s="5" t="n">
        <v>8</v>
      </c>
      <c r="E831" s="13" t="n">
        <v>1.2</v>
      </c>
      <c r="F831" s="14" t="n">
        <f aca="false">E831*Assumptions!$D$5</f>
        <v>161.64304821701</v>
      </c>
      <c r="G831" s="14" t="n">
        <v>345</v>
      </c>
      <c r="H831" s="14" t="n">
        <v>450</v>
      </c>
      <c r="I831" s="14" t="n">
        <f aca="false">F831-(G831+H831)/2</f>
        <v>-235.85695178299</v>
      </c>
      <c r="J831" s="5" t="str">
        <f aca="false">IF(D831&lt;8,"LOW SAMPLE",IF(F831&gt;H831*(1+Assumptions!$B$10),"UNDERPAID",IF(F831&lt;G831*(1-Assumptions!$B$10),"OVERPAID","FAIR")))</f>
        <v>OVERPAID</v>
      </c>
      <c r="K831" s="5" t="n">
        <v>14</v>
      </c>
    </row>
    <row r="832" customFormat="false" ht="15" hidden="false" customHeight="false" outlineLevel="0" collapsed="false">
      <c r="A832" s="5" t="n">
        <v>2022</v>
      </c>
      <c r="B832" s="5" t="s">
        <v>186</v>
      </c>
      <c r="C832" s="5" t="s">
        <v>189</v>
      </c>
      <c r="D832" s="5" t="n">
        <v>18</v>
      </c>
      <c r="E832" s="13" t="n">
        <v>3.53</v>
      </c>
      <c r="F832" s="14" t="n">
        <f aca="false">E832*Assumptions!$D$5</f>
        <v>475.49996683837</v>
      </c>
      <c r="G832" s="14" t="n">
        <v>450</v>
      </c>
      <c r="H832" s="14" t="n">
        <v>615</v>
      </c>
      <c r="I832" s="14" t="n">
        <f aca="false">F832-(G832+H832)/2</f>
        <v>-57.0000331616299</v>
      </c>
      <c r="J832" s="5" t="str">
        <f aca="false">IF(D832&lt;8,"LOW SAMPLE",IF(F832&gt;H832*(1+Assumptions!$B$10),"UNDERPAID",IF(F832&lt;G832*(1-Assumptions!$B$10),"OVERPAID","FAIR")))</f>
        <v>FAIR</v>
      </c>
      <c r="K832" s="5" t="n">
        <v>93</v>
      </c>
    </row>
    <row r="833" customFormat="false" ht="15" hidden="false" customHeight="false" outlineLevel="0" collapsed="false">
      <c r="A833" s="5" t="n">
        <v>2022</v>
      </c>
      <c r="B833" s="5" t="s">
        <v>186</v>
      </c>
      <c r="C833" s="5" t="s">
        <v>190</v>
      </c>
      <c r="D833" s="5" t="n">
        <v>10</v>
      </c>
      <c r="E833" s="13" t="n">
        <v>1.57</v>
      </c>
      <c r="F833" s="14" t="n">
        <f aca="false">E833*Assumptions!$D$5</f>
        <v>211.482988083921</v>
      </c>
      <c r="G833" s="14" t="n">
        <v>225</v>
      </c>
      <c r="H833" s="14" t="n">
        <v>345</v>
      </c>
      <c r="I833" s="14" t="n">
        <f aca="false">F833-(G833+H833)/2</f>
        <v>-73.517011916079</v>
      </c>
      <c r="J833" s="5" t="str">
        <f aca="false">IF(D833&lt;8,"LOW SAMPLE",IF(F833&gt;H833*(1+Assumptions!$B$10),"UNDERPAID",IF(F833&lt;G833*(1-Assumptions!$B$10),"OVERPAID","FAIR")))</f>
        <v>FAIR</v>
      </c>
      <c r="K833" s="5" t="n">
        <v>42</v>
      </c>
    </row>
    <row r="834" customFormat="false" ht="15" hidden="false" customHeight="false" outlineLevel="0" collapsed="false">
      <c r="A834" s="5" t="n">
        <v>2022</v>
      </c>
      <c r="B834" s="5" t="s">
        <v>186</v>
      </c>
      <c r="C834" s="5" t="s">
        <v>192</v>
      </c>
      <c r="D834" s="5" t="n">
        <v>18</v>
      </c>
      <c r="E834" s="13" t="n">
        <v>3</v>
      </c>
      <c r="F834" s="14" t="n">
        <f aca="false">E834*Assumptions!$D$5</f>
        <v>404.107620542524</v>
      </c>
      <c r="G834" s="14" t="n">
        <v>345</v>
      </c>
      <c r="H834" s="14" t="n">
        <v>450</v>
      </c>
      <c r="I834" s="14" t="n">
        <f aca="false">F834-(G834+H834)/2</f>
        <v>6.60762054252416</v>
      </c>
      <c r="J834" s="5" t="str">
        <f aca="false">IF(D834&lt;8,"LOW SAMPLE",IF(F834&gt;H834*(1+Assumptions!$B$10),"UNDERPAID",IF(F834&lt;G834*(1-Assumptions!$B$10),"OVERPAID","FAIR")))</f>
        <v>FAIR</v>
      </c>
      <c r="K834" s="5" t="n">
        <v>21</v>
      </c>
    </row>
    <row r="835" customFormat="false" ht="15" hidden="false" customHeight="false" outlineLevel="0" collapsed="false">
      <c r="A835" s="5" t="n">
        <v>2022</v>
      </c>
      <c r="B835" s="5" t="s">
        <v>186</v>
      </c>
      <c r="C835" s="5" t="s">
        <v>747</v>
      </c>
      <c r="D835" s="5" t="n">
        <v>17</v>
      </c>
      <c r="E835" s="13" t="n">
        <v>2.26</v>
      </c>
      <c r="F835" s="14" t="n">
        <f aca="false">E835*Assumptions!$D$5</f>
        <v>304.427740808702</v>
      </c>
      <c r="G835" s="14" t="n">
        <v>225</v>
      </c>
      <c r="H835" s="14" t="n">
        <v>345</v>
      </c>
      <c r="I835" s="14" t="n">
        <f aca="false">F835-(G835+H835)/2</f>
        <v>19.4277408087015</v>
      </c>
      <c r="J835" s="5" t="str">
        <f aca="false">IF(D835&lt;8,"LOW SAMPLE",IF(F835&gt;H835*(1+Assumptions!$B$10),"UNDERPAID",IF(F835&lt;G835*(1-Assumptions!$B$10),"OVERPAID","FAIR")))</f>
        <v>FAIR</v>
      </c>
      <c r="K835" s="5" t="n">
        <v>0</v>
      </c>
    </row>
    <row r="836" customFormat="false" ht="15" hidden="false" customHeight="false" outlineLevel="0" collapsed="false">
      <c r="A836" s="5" t="n">
        <v>2022</v>
      </c>
      <c r="B836" s="5" t="s">
        <v>186</v>
      </c>
      <c r="C836" s="5" t="s">
        <v>193</v>
      </c>
      <c r="D836" s="5" t="n">
        <v>12</v>
      </c>
      <c r="E836" s="13" t="n">
        <v>1.8</v>
      </c>
      <c r="F836" s="14" t="n">
        <f aca="false">E836*Assumptions!$D$5</f>
        <v>242.464572325515</v>
      </c>
      <c r="G836" s="14" t="n">
        <v>125</v>
      </c>
      <c r="H836" s="14" t="n">
        <v>225</v>
      </c>
      <c r="I836" s="14" t="n">
        <f aca="false">F836-(G836+H836)/2</f>
        <v>67.4645723255145</v>
      </c>
      <c r="J836" s="5" t="str">
        <f aca="false">IF(D836&lt;8,"LOW SAMPLE",IF(F836&gt;H836*(1+Assumptions!$B$10),"UNDERPAID",IF(F836&lt;G836*(1-Assumptions!$B$10),"OVERPAID","FAIR")))</f>
        <v>FAIR</v>
      </c>
      <c r="K836" s="5" t="n">
        <v>17</v>
      </c>
    </row>
    <row r="837" customFormat="false" ht="15" hidden="false" customHeight="false" outlineLevel="0" collapsed="false">
      <c r="A837" s="5" t="n">
        <v>2022</v>
      </c>
      <c r="B837" s="5" t="s">
        <v>186</v>
      </c>
      <c r="C837" s="5" t="s">
        <v>194</v>
      </c>
      <c r="D837" s="5" t="n">
        <v>11</v>
      </c>
      <c r="E837" s="13" t="n">
        <v>0.75</v>
      </c>
      <c r="F837" s="14" t="n">
        <f aca="false">E837*Assumptions!$D$5</f>
        <v>101.026905135631</v>
      </c>
      <c r="G837" s="14" t="n">
        <v>225</v>
      </c>
      <c r="H837" s="14" t="n">
        <v>345</v>
      </c>
      <c r="I837" s="14" t="n">
        <f aca="false">F837-(G837+H837)/2</f>
        <v>-183.973094864369</v>
      </c>
      <c r="J837" s="5" t="str">
        <f aca="false">IF(D837&lt;8,"LOW SAMPLE",IF(F837&gt;H837*(1+Assumptions!$B$10),"UNDERPAID",IF(F837&lt;G837*(1-Assumptions!$B$10),"OVERPAID","FAIR")))</f>
        <v>OVERPAID</v>
      </c>
      <c r="K837" s="5" t="n">
        <v>34</v>
      </c>
    </row>
    <row r="838" customFormat="false" ht="15" hidden="false" customHeight="false" outlineLevel="0" collapsed="false">
      <c r="A838" s="5" t="n">
        <v>2022</v>
      </c>
      <c r="B838" s="5" t="s">
        <v>186</v>
      </c>
      <c r="C838" s="5" t="s">
        <v>196</v>
      </c>
      <c r="D838" s="5" t="n">
        <v>16</v>
      </c>
      <c r="E838" s="13" t="n">
        <v>4.5</v>
      </c>
      <c r="F838" s="14" t="n">
        <f aca="false">E838*Assumptions!$D$5</f>
        <v>606.161430813786</v>
      </c>
      <c r="G838" s="14" t="n">
        <v>855</v>
      </c>
      <c r="H838" s="14" t="n">
        <v>1170</v>
      </c>
      <c r="I838" s="14" t="n">
        <f aca="false">F838-(G838+H838)/2</f>
        <v>-406.338569186214</v>
      </c>
      <c r="J838" s="5" t="str">
        <f aca="false">IF(D838&lt;8,"LOW SAMPLE",IF(F838&gt;H838*(1+Assumptions!$B$10),"UNDERPAID",IF(F838&lt;G838*(1-Assumptions!$B$10),"OVERPAID","FAIR")))</f>
        <v>OVERPAID</v>
      </c>
      <c r="K838" s="5" t="n">
        <v>116</v>
      </c>
    </row>
    <row r="839" customFormat="false" ht="15" hidden="false" customHeight="false" outlineLevel="0" collapsed="false">
      <c r="A839" s="5" t="n">
        <v>2022</v>
      </c>
      <c r="B839" s="5" t="s">
        <v>186</v>
      </c>
      <c r="C839" s="5" t="s">
        <v>198</v>
      </c>
      <c r="D839" s="5" t="n">
        <v>8</v>
      </c>
      <c r="E839" s="13" t="n">
        <v>0.99</v>
      </c>
      <c r="F839" s="14" t="n">
        <f aca="false">E839*Assumptions!$D$5</f>
        <v>133.355514779033</v>
      </c>
      <c r="G839" s="14" t="n">
        <v>345</v>
      </c>
      <c r="H839" s="14" t="n">
        <v>450</v>
      </c>
      <c r="I839" s="14" t="n">
        <f aca="false">F839-(G839+H839)/2</f>
        <v>-264.144485220967</v>
      </c>
      <c r="J839" s="5" t="str">
        <f aca="false">IF(D839&lt;8,"LOW SAMPLE",IF(F839&gt;H839*(1+Assumptions!$B$10),"UNDERPAID",IF(F839&lt;G839*(1-Assumptions!$B$10),"OVERPAID","FAIR")))</f>
        <v>OVERPAID</v>
      </c>
      <c r="K839" s="5" t="n">
        <v>115</v>
      </c>
    </row>
    <row r="840" customFormat="false" ht="15" hidden="false" customHeight="false" outlineLevel="0" collapsed="false">
      <c r="A840" s="5" t="n">
        <v>2022</v>
      </c>
      <c r="B840" s="5" t="s">
        <v>186</v>
      </c>
      <c r="C840" s="5" t="s">
        <v>200</v>
      </c>
      <c r="D840" s="5" t="n">
        <v>19</v>
      </c>
      <c r="E840" s="13" t="n">
        <v>4.75</v>
      </c>
      <c r="F840" s="14" t="n">
        <f aca="false">E840*Assumptions!$D$5</f>
        <v>639.837065858997</v>
      </c>
      <c r="G840" s="14" t="n">
        <v>345</v>
      </c>
      <c r="H840" s="14" t="n">
        <v>450</v>
      </c>
      <c r="I840" s="14" t="n">
        <f aca="false">F840-(G840+H840)/2</f>
        <v>242.337065858997</v>
      </c>
      <c r="J840" s="5" t="str">
        <f aca="false">IF(D840&lt;8,"LOW SAMPLE",IF(F840&gt;H840*(1+Assumptions!$B$10),"UNDERPAID",IF(F840&lt;G840*(1-Assumptions!$B$10),"OVERPAID","FAIR")))</f>
        <v>UNDERPAID</v>
      </c>
      <c r="K840" s="5" t="n">
        <v>130</v>
      </c>
    </row>
    <row r="841" customFormat="false" ht="15" hidden="false" customHeight="false" outlineLevel="0" collapsed="false">
      <c r="A841" s="5" t="n">
        <v>2022</v>
      </c>
      <c r="B841" s="5" t="s">
        <v>186</v>
      </c>
      <c r="C841" s="5" t="s">
        <v>201</v>
      </c>
      <c r="D841" s="5" t="n">
        <v>22</v>
      </c>
      <c r="E841" s="13" t="n">
        <v>3.89</v>
      </c>
      <c r="F841" s="14" t="n">
        <f aca="false">E841*Assumptions!$D$5</f>
        <v>523.992881303473</v>
      </c>
      <c r="G841" s="14" t="n">
        <v>345</v>
      </c>
      <c r="H841" s="14" t="n">
        <v>450</v>
      </c>
      <c r="I841" s="14" t="n">
        <f aca="false">F841-(G841+H841)/2</f>
        <v>126.492881303473</v>
      </c>
      <c r="J841" s="5" t="str">
        <f aca="false">IF(D841&lt;8,"LOW SAMPLE",IF(F841&gt;H841*(1+Assumptions!$B$10),"UNDERPAID",IF(F841&lt;G841*(1-Assumptions!$B$10),"OVERPAID","FAIR")))</f>
        <v>UNDERPAID</v>
      </c>
      <c r="K841" s="5" t="n">
        <v>107</v>
      </c>
    </row>
    <row r="842" customFormat="false" ht="15" hidden="false" customHeight="false" outlineLevel="0" collapsed="false">
      <c r="A842" s="5" t="n">
        <v>2022</v>
      </c>
      <c r="B842" s="5" t="s">
        <v>186</v>
      </c>
      <c r="C842" s="5" t="s">
        <v>202</v>
      </c>
      <c r="D842" s="5" t="n">
        <v>10</v>
      </c>
      <c r="E842" s="13" t="n">
        <v>1.52</v>
      </c>
      <c r="F842" s="14" t="n">
        <f aca="false">E842*Assumptions!$D$5</f>
        <v>204.747861074879</v>
      </c>
      <c r="G842" s="14" t="n">
        <v>225</v>
      </c>
      <c r="H842" s="14" t="n">
        <v>345</v>
      </c>
      <c r="I842" s="14" t="n">
        <f aca="false">F842-(G842+H842)/2</f>
        <v>-80.2521389251211</v>
      </c>
      <c r="J842" s="5" t="str">
        <f aca="false">IF(D842&lt;8,"LOW SAMPLE",IF(F842&gt;H842*(1+Assumptions!$B$10),"UNDERPAID",IF(F842&lt;G842*(1-Assumptions!$B$10),"OVERPAID","FAIR")))</f>
        <v>FAIR</v>
      </c>
      <c r="K842" s="5" t="n">
        <v>17</v>
      </c>
    </row>
    <row r="843" customFormat="false" ht="15" hidden="false" customHeight="false" outlineLevel="0" collapsed="false">
      <c r="A843" s="5" t="n">
        <v>2022</v>
      </c>
      <c r="B843" s="5" t="s">
        <v>186</v>
      </c>
      <c r="C843" s="5" t="s">
        <v>48</v>
      </c>
      <c r="D843" s="5" t="n">
        <v>21</v>
      </c>
      <c r="E843" s="13" t="n">
        <v>2.7</v>
      </c>
      <c r="F843" s="14" t="n">
        <f aca="false">E843*Assumptions!$D$5</f>
        <v>363.696858488272</v>
      </c>
      <c r="G843" s="14" t="n">
        <v>345</v>
      </c>
      <c r="H843" s="14" t="n">
        <v>450</v>
      </c>
      <c r="I843" s="14" t="n">
        <f aca="false">F843-(G843+H843)/2</f>
        <v>-33.8031415117282</v>
      </c>
      <c r="J843" s="5" t="str">
        <f aca="false">IF(D843&lt;8,"LOW SAMPLE",IF(F843&gt;H843*(1+Assumptions!$B$10),"UNDERPAID",IF(F843&lt;G843*(1-Assumptions!$B$10),"OVERPAID","FAIR")))</f>
        <v>FAIR</v>
      </c>
      <c r="K843" s="5" t="n">
        <v>110</v>
      </c>
    </row>
    <row r="844" customFormat="false" ht="15" hidden="false" customHeight="false" outlineLevel="0" collapsed="false">
      <c r="A844" s="5" t="n">
        <v>2022</v>
      </c>
      <c r="B844" s="5" t="s">
        <v>186</v>
      </c>
      <c r="C844" s="5" t="s">
        <v>203</v>
      </c>
      <c r="D844" s="5" t="n">
        <v>15</v>
      </c>
      <c r="E844" s="13" t="n">
        <v>3.48</v>
      </c>
      <c r="F844" s="14" t="n">
        <f aca="false">E844*Assumptions!$D$5</f>
        <v>468.764839829328</v>
      </c>
      <c r="G844" s="14" t="n">
        <v>450</v>
      </c>
      <c r="H844" s="14" t="n">
        <v>615</v>
      </c>
      <c r="I844" s="14" t="n">
        <f aca="false">F844-(G844+H844)/2</f>
        <v>-63.7351601706719</v>
      </c>
      <c r="J844" s="5" t="str">
        <f aca="false">IF(D844&lt;8,"LOW SAMPLE",IF(F844&gt;H844*(1+Assumptions!$B$10),"UNDERPAID",IF(F844&lt;G844*(1-Assumptions!$B$10),"OVERPAID","FAIR")))</f>
        <v>FAIR</v>
      </c>
      <c r="K844" s="5" t="n">
        <v>129</v>
      </c>
    </row>
    <row r="845" customFormat="false" ht="15" hidden="false" customHeight="false" outlineLevel="0" collapsed="false">
      <c r="A845" s="5" t="n">
        <v>2022</v>
      </c>
      <c r="B845" s="5" t="s">
        <v>186</v>
      </c>
      <c r="C845" s="5" t="s">
        <v>204</v>
      </c>
      <c r="D845" s="5" t="n">
        <v>6</v>
      </c>
      <c r="E845" s="13" t="n">
        <v>0.91</v>
      </c>
      <c r="F845" s="14" t="n">
        <f aca="false">E845*Assumptions!$D$5</f>
        <v>122.579311564566</v>
      </c>
      <c r="G845" s="14" t="n">
        <v>345</v>
      </c>
      <c r="H845" s="14" t="n">
        <v>450</v>
      </c>
      <c r="I845" s="14" t="n">
        <f aca="false">F845-(G845+H845)/2</f>
        <v>-274.920688435434</v>
      </c>
      <c r="J845" s="5" t="str">
        <f aca="false">IF(D845&lt;8,"LOW SAMPLE",IF(F845&gt;H845*(1+Assumptions!$B$10),"UNDERPAID",IF(F845&lt;G845*(1-Assumptions!$B$10),"OVERPAID","FAIR")))</f>
        <v>LOW SAMPLE</v>
      </c>
      <c r="K845" s="5" t="n">
        <v>68</v>
      </c>
    </row>
    <row r="846" customFormat="false" ht="15" hidden="false" customHeight="false" outlineLevel="0" collapsed="false">
      <c r="A846" s="5" t="n">
        <v>2022</v>
      </c>
      <c r="B846" s="5" t="s">
        <v>186</v>
      </c>
      <c r="C846" s="5" t="s">
        <v>205</v>
      </c>
      <c r="D846" s="5" t="n">
        <v>22</v>
      </c>
      <c r="E846" s="13" t="n">
        <v>3.56</v>
      </c>
      <c r="F846" s="14" t="n">
        <f aca="false">E846*Assumptions!$D$5</f>
        <v>479.541043043795</v>
      </c>
      <c r="G846" s="14" t="n">
        <v>345</v>
      </c>
      <c r="H846" s="14" t="n">
        <v>450</v>
      </c>
      <c r="I846" s="14" t="n">
        <f aca="false">F846-(G846+H846)/2</f>
        <v>82.0410430437954</v>
      </c>
      <c r="J846" s="5" t="str">
        <f aca="false">IF(D846&lt;8,"LOW SAMPLE",IF(F846&gt;H846*(1+Assumptions!$B$10),"UNDERPAID",IF(F846&lt;G846*(1-Assumptions!$B$10),"OVERPAID","FAIR")))</f>
        <v>FAIR</v>
      </c>
      <c r="K846" s="5" t="n">
        <v>69</v>
      </c>
    </row>
    <row r="847" customFormat="false" ht="15" hidden="false" customHeight="false" outlineLevel="0" collapsed="false">
      <c r="A847" s="5" t="n">
        <v>2022</v>
      </c>
      <c r="B847" s="5" t="s">
        <v>186</v>
      </c>
      <c r="C847" s="5" t="s">
        <v>206</v>
      </c>
      <c r="D847" s="5" t="n">
        <v>20</v>
      </c>
      <c r="E847" s="13" t="n">
        <v>4.04</v>
      </c>
      <c r="F847" s="14" t="n">
        <f aca="false">E847*Assumptions!$D$5</f>
        <v>544.198262330599</v>
      </c>
      <c r="G847" s="14" t="n">
        <v>450</v>
      </c>
      <c r="H847" s="14" t="n">
        <v>615</v>
      </c>
      <c r="I847" s="14" t="n">
        <f aca="false">F847-(G847+H847)/2</f>
        <v>11.6982623305993</v>
      </c>
      <c r="J847" s="5" t="str">
        <f aca="false">IF(D847&lt;8,"LOW SAMPLE",IF(F847&gt;H847*(1+Assumptions!$B$10),"UNDERPAID",IF(F847&lt;G847*(1-Assumptions!$B$10),"OVERPAID","FAIR")))</f>
        <v>FAIR</v>
      </c>
      <c r="K847" s="5" t="n">
        <v>48</v>
      </c>
    </row>
    <row r="848" customFormat="false" ht="15" hidden="false" customHeight="false" outlineLevel="0" collapsed="false">
      <c r="A848" s="5" t="n">
        <v>2022</v>
      </c>
      <c r="B848" s="5" t="s">
        <v>186</v>
      </c>
      <c r="C848" s="5" t="s">
        <v>207</v>
      </c>
      <c r="D848" s="5" t="n">
        <v>20</v>
      </c>
      <c r="E848" s="13" t="n">
        <v>4.23</v>
      </c>
      <c r="F848" s="14" t="n">
        <f aca="false">E848*Assumptions!$D$5</f>
        <v>569.791744964959</v>
      </c>
      <c r="G848" s="14" t="n">
        <v>125</v>
      </c>
      <c r="H848" s="14" t="n">
        <v>225</v>
      </c>
      <c r="I848" s="14" t="n">
        <f aca="false">F848-(G848+H848)/2</f>
        <v>394.791744964959</v>
      </c>
      <c r="J848" s="5" t="str">
        <f aca="false">IF(D848&lt;8,"LOW SAMPLE",IF(F848&gt;H848*(1+Assumptions!$B$10),"UNDERPAID",IF(F848&lt;G848*(1-Assumptions!$B$10),"OVERPAID","FAIR")))</f>
        <v>UNDERPAID</v>
      </c>
      <c r="K848" s="5" t="n">
        <v>14</v>
      </c>
    </row>
    <row r="849" customFormat="false" ht="15" hidden="false" customHeight="false" outlineLevel="0" collapsed="false">
      <c r="A849" s="5" t="n">
        <v>2022</v>
      </c>
      <c r="B849" s="5" t="s">
        <v>186</v>
      </c>
      <c r="C849" s="5" t="s">
        <v>748</v>
      </c>
      <c r="D849" s="5" t="n">
        <v>2</v>
      </c>
      <c r="E849" s="13" t="n">
        <v>0.22</v>
      </c>
      <c r="F849" s="14" t="n">
        <f aca="false">E849*Assumptions!$D$5</f>
        <v>29.6345588397851</v>
      </c>
      <c r="G849" s="14" t="n">
        <v>225</v>
      </c>
      <c r="H849" s="14" t="n">
        <v>345</v>
      </c>
      <c r="I849" s="14" t="n">
        <f aca="false">F849-(G849+H849)/2</f>
        <v>-255.365441160215</v>
      </c>
      <c r="J849" s="5" t="str">
        <f aca="false">IF(D849&lt;8,"LOW SAMPLE",IF(F849&gt;H849*(1+Assumptions!$B$10),"UNDERPAID",IF(F849&lt;G849*(1-Assumptions!$B$10),"OVERPAID","FAIR")))</f>
        <v>LOW SAMPLE</v>
      </c>
      <c r="K849" s="5" t="n">
        <v>0</v>
      </c>
    </row>
    <row r="850" customFormat="false" ht="15" hidden="false" customHeight="false" outlineLevel="0" collapsed="false">
      <c r="A850" s="5" t="n">
        <v>2022</v>
      </c>
      <c r="B850" s="5" t="s">
        <v>186</v>
      </c>
      <c r="C850" s="5" t="s">
        <v>749</v>
      </c>
      <c r="D850" s="5" t="n">
        <v>4</v>
      </c>
      <c r="E850" s="13" t="n">
        <v>0.46</v>
      </c>
      <c r="F850" s="14" t="n">
        <f aca="false">E850*Assumptions!$D$5</f>
        <v>61.9631684831871</v>
      </c>
      <c r="G850" s="14" t="n">
        <v>225</v>
      </c>
      <c r="H850" s="14" t="n">
        <v>345</v>
      </c>
      <c r="I850" s="14" t="n">
        <f aca="false">F850-(G850+H850)/2</f>
        <v>-223.036831516813</v>
      </c>
      <c r="J850" s="5" t="str">
        <f aca="false">IF(D850&lt;8,"LOW SAMPLE",IF(F850&gt;H850*(1+Assumptions!$B$10),"UNDERPAID",IF(F850&lt;G850*(1-Assumptions!$B$10),"OVERPAID","FAIR")))</f>
        <v>LOW SAMPLE</v>
      </c>
      <c r="K850" s="5" t="n">
        <v>0</v>
      </c>
    </row>
    <row r="851" customFormat="false" ht="15" hidden="false" customHeight="false" outlineLevel="0" collapsed="false">
      <c r="A851" s="5" t="n">
        <v>2022</v>
      </c>
      <c r="B851" s="5" t="s">
        <v>186</v>
      </c>
      <c r="C851" s="5" t="s">
        <v>208</v>
      </c>
      <c r="D851" s="5" t="n">
        <v>9</v>
      </c>
      <c r="E851" s="13" t="n">
        <v>1.5</v>
      </c>
      <c r="F851" s="14" t="n">
        <f aca="false">E851*Assumptions!$D$5</f>
        <v>202.053810271262</v>
      </c>
      <c r="G851" s="14" t="n">
        <v>450</v>
      </c>
      <c r="H851" s="14" t="n">
        <v>615</v>
      </c>
      <c r="I851" s="14" t="n">
        <f aca="false">F851-(G851+H851)/2</f>
        <v>-330.446189728738</v>
      </c>
      <c r="J851" s="5" t="str">
        <f aca="false">IF(D851&lt;8,"LOW SAMPLE",IF(F851&gt;H851*(1+Assumptions!$B$10),"UNDERPAID",IF(F851&lt;G851*(1-Assumptions!$B$10),"OVERPAID","FAIR")))</f>
        <v>OVERPAID</v>
      </c>
      <c r="K851" s="5" t="n">
        <v>98</v>
      </c>
    </row>
    <row r="852" customFormat="false" ht="15" hidden="false" customHeight="false" outlineLevel="0" collapsed="false">
      <c r="A852" s="5" t="n">
        <v>2022</v>
      </c>
      <c r="B852" s="5" t="s">
        <v>186</v>
      </c>
      <c r="C852" s="5" t="s">
        <v>210</v>
      </c>
      <c r="D852" s="5" t="n">
        <v>20</v>
      </c>
      <c r="E852" s="13" t="n">
        <v>3.99</v>
      </c>
      <c r="F852" s="14" t="n">
        <f aca="false">E852*Assumptions!$D$5</f>
        <v>537.463135321557</v>
      </c>
      <c r="G852" s="14" t="n">
        <v>345</v>
      </c>
      <c r="H852" s="14" t="n">
        <v>450</v>
      </c>
      <c r="I852" s="14" t="n">
        <f aca="false">F852-(G852+H852)/2</f>
        <v>139.963135321557</v>
      </c>
      <c r="J852" s="5" t="str">
        <f aca="false">IF(D852&lt;8,"LOW SAMPLE",IF(F852&gt;H852*(1+Assumptions!$B$10),"UNDERPAID",IF(F852&lt;G852*(1-Assumptions!$B$10),"OVERPAID","FAIR")))</f>
        <v>UNDERPAID</v>
      </c>
      <c r="K852" s="5" t="n">
        <v>60</v>
      </c>
    </row>
    <row r="853" customFormat="false" ht="15" hidden="false" customHeight="false" outlineLevel="0" collapsed="false">
      <c r="A853" s="5" t="n">
        <v>2022</v>
      </c>
      <c r="B853" s="5" t="s">
        <v>186</v>
      </c>
      <c r="C853" s="5" t="s">
        <v>750</v>
      </c>
      <c r="D853" s="5" t="n">
        <v>8</v>
      </c>
      <c r="E853" s="13" t="n">
        <v>0.92</v>
      </c>
      <c r="F853" s="14" t="n">
        <f aca="false">E853*Assumptions!$D$5</f>
        <v>123.926336966374</v>
      </c>
      <c r="G853" s="14" t="n">
        <v>225</v>
      </c>
      <c r="H853" s="14" t="n">
        <v>345</v>
      </c>
      <c r="I853" s="14" t="n">
        <f aca="false">F853-(G853+H853)/2</f>
        <v>-161.073663033626</v>
      </c>
      <c r="J853" s="5" t="str">
        <f aca="false">IF(D853&lt;8,"LOW SAMPLE",IF(F853&gt;H853*(1+Assumptions!$B$10),"UNDERPAID",IF(F853&lt;G853*(1-Assumptions!$B$10),"OVERPAID","FAIR")))</f>
        <v>OVERPAID</v>
      </c>
      <c r="K853" s="5" t="n">
        <v>0</v>
      </c>
    </row>
    <row r="854" customFormat="false" ht="15" hidden="false" customHeight="false" outlineLevel="0" collapsed="false">
      <c r="A854" s="5" t="n">
        <v>2022</v>
      </c>
      <c r="B854" s="5" t="s">
        <v>186</v>
      </c>
      <c r="C854" s="5" t="s">
        <v>211</v>
      </c>
      <c r="D854" s="5" t="n">
        <v>20</v>
      </c>
      <c r="E854" s="13" t="n">
        <v>3.52</v>
      </c>
      <c r="F854" s="14" t="n">
        <f aca="false">E854*Assumptions!$D$5</f>
        <v>474.152941436562</v>
      </c>
      <c r="G854" s="14" t="n">
        <v>345</v>
      </c>
      <c r="H854" s="14" t="n">
        <v>450</v>
      </c>
      <c r="I854" s="14" t="n">
        <f aca="false">F854-(G854+H854)/2</f>
        <v>76.6529414365617</v>
      </c>
      <c r="J854" s="5" t="str">
        <f aca="false">IF(D854&lt;8,"LOW SAMPLE",IF(F854&gt;H854*(1+Assumptions!$B$10),"UNDERPAID",IF(F854&lt;G854*(1-Assumptions!$B$10),"OVERPAID","FAIR")))</f>
        <v>FAIR</v>
      </c>
      <c r="K854" s="5" t="n">
        <v>63</v>
      </c>
    </row>
    <row r="855" customFormat="false" ht="15" hidden="false" customHeight="false" outlineLevel="0" collapsed="false">
      <c r="A855" s="5" t="n">
        <v>2022</v>
      </c>
      <c r="B855" s="5" t="s">
        <v>186</v>
      </c>
      <c r="C855" s="5" t="s">
        <v>751</v>
      </c>
      <c r="D855" s="5" t="n">
        <v>1</v>
      </c>
      <c r="E855" s="13" t="n">
        <v>0.12</v>
      </c>
      <c r="F855" s="14" t="n">
        <f aca="false">E855*Assumptions!$D$5</f>
        <v>16.164304821701</v>
      </c>
      <c r="G855" s="14" t="n">
        <v>450</v>
      </c>
      <c r="H855" s="14" t="n">
        <v>615</v>
      </c>
      <c r="I855" s="14" t="n">
        <f aca="false">F855-(G855+H855)/2</f>
        <v>-516.335695178299</v>
      </c>
      <c r="J855" s="5" t="str">
        <f aca="false">IF(D855&lt;8,"LOW SAMPLE",IF(F855&gt;H855*(1+Assumptions!$B$10),"UNDERPAID",IF(F855&lt;G855*(1-Assumptions!$B$10),"OVERPAID","FAIR")))</f>
        <v>LOW SAMPLE</v>
      </c>
      <c r="K855" s="5" t="n">
        <v>93</v>
      </c>
    </row>
    <row r="856" customFormat="false" ht="15" hidden="false" customHeight="false" outlineLevel="0" collapsed="false">
      <c r="A856" s="5" t="n">
        <v>2022</v>
      </c>
      <c r="B856" s="5" t="s">
        <v>186</v>
      </c>
      <c r="C856" s="5" t="s">
        <v>752</v>
      </c>
      <c r="D856" s="5" t="n">
        <v>21</v>
      </c>
      <c r="E856" s="13" t="n">
        <v>3.99</v>
      </c>
      <c r="F856" s="14" t="n">
        <f aca="false">E856*Assumptions!$D$5</f>
        <v>537.463135321557</v>
      </c>
      <c r="G856" s="14" t="n">
        <v>225</v>
      </c>
      <c r="H856" s="14" t="n">
        <v>345</v>
      </c>
      <c r="I856" s="14" t="n">
        <f aca="false">F856-(G856+H856)/2</f>
        <v>252.463135321557</v>
      </c>
      <c r="J856" s="5" t="str">
        <f aca="false">IF(D856&lt;8,"LOW SAMPLE",IF(F856&gt;H856*(1+Assumptions!$B$10),"UNDERPAID",IF(F856&lt;G856*(1-Assumptions!$B$10),"OVERPAID","FAIR")))</f>
        <v>UNDERPAID</v>
      </c>
      <c r="K856" s="5" t="n">
        <v>0</v>
      </c>
    </row>
    <row r="857" customFormat="false" ht="15" hidden="false" customHeight="false" outlineLevel="0" collapsed="false">
      <c r="A857" s="5" t="n">
        <v>2022</v>
      </c>
      <c r="B857" s="5" t="s">
        <v>186</v>
      </c>
      <c r="C857" s="5" t="s">
        <v>213</v>
      </c>
      <c r="D857" s="5" t="n">
        <v>5</v>
      </c>
      <c r="E857" s="13" t="n">
        <v>0.71</v>
      </c>
      <c r="F857" s="14" t="n">
        <f aca="false">E857*Assumptions!$D$5</f>
        <v>95.6388035283974</v>
      </c>
      <c r="G857" s="14" t="n">
        <v>125</v>
      </c>
      <c r="H857" s="14" t="n">
        <v>225</v>
      </c>
      <c r="I857" s="14" t="n">
        <f aca="false">F857-(G857+H857)/2</f>
        <v>-79.3611964716026</v>
      </c>
      <c r="J857" s="5" t="str">
        <f aca="false">IF(D857&lt;8,"LOW SAMPLE",IF(F857&gt;H857*(1+Assumptions!$B$10),"UNDERPAID",IF(F857&lt;G857*(1-Assumptions!$B$10),"OVERPAID","FAIR")))</f>
        <v>LOW SAMPLE</v>
      </c>
      <c r="K857" s="5" t="n">
        <v>1</v>
      </c>
    </row>
    <row r="858" customFormat="false" ht="15" hidden="false" customHeight="false" outlineLevel="0" collapsed="false">
      <c r="A858" s="5" t="n">
        <v>2022</v>
      </c>
      <c r="B858" s="5" t="s">
        <v>186</v>
      </c>
      <c r="C858" s="5" t="s">
        <v>214</v>
      </c>
      <c r="D858" s="5" t="n">
        <v>21</v>
      </c>
      <c r="E858" s="13" t="n">
        <v>4.42</v>
      </c>
      <c r="F858" s="14" t="n">
        <f aca="false">E858*Assumptions!$D$5</f>
        <v>595.385227599319</v>
      </c>
      <c r="G858" s="14" t="n">
        <v>345</v>
      </c>
      <c r="H858" s="14" t="n">
        <v>450</v>
      </c>
      <c r="I858" s="14" t="n">
        <f aca="false">F858-(G858+H858)/2</f>
        <v>197.885227599319</v>
      </c>
      <c r="J858" s="5" t="str">
        <f aca="false">IF(D858&lt;8,"LOW SAMPLE",IF(F858&gt;H858*(1+Assumptions!$B$10),"UNDERPAID",IF(F858&lt;G858*(1-Assumptions!$B$10),"OVERPAID","FAIR")))</f>
        <v>UNDERPAID</v>
      </c>
      <c r="K858" s="5" t="n">
        <v>43</v>
      </c>
    </row>
    <row r="859" customFormat="false" ht="15" hidden="false" customHeight="false" outlineLevel="0" collapsed="false">
      <c r="A859" s="5" t="n">
        <v>2022</v>
      </c>
      <c r="B859" s="5" t="s">
        <v>186</v>
      </c>
      <c r="C859" s="5" t="s">
        <v>215</v>
      </c>
      <c r="D859" s="5" t="n">
        <v>5</v>
      </c>
      <c r="E859" s="13" t="n">
        <v>0.53</v>
      </c>
      <c r="F859" s="14" t="n">
        <f aca="false">E859*Assumptions!$D$5</f>
        <v>71.3923462958459</v>
      </c>
      <c r="G859" s="14" t="n">
        <v>345</v>
      </c>
      <c r="H859" s="14" t="n">
        <v>450</v>
      </c>
      <c r="I859" s="14" t="n">
        <f aca="false">F859-(G859+H859)/2</f>
        <v>-326.107653704154</v>
      </c>
      <c r="J859" s="5" t="str">
        <f aca="false">IF(D859&lt;8,"LOW SAMPLE",IF(F859&gt;H859*(1+Assumptions!$B$10),"UNDERPAID",IF(F859&lt;G859*(1-Assumptions!$B$10),"OVERPAID","FAIR")))</f>
        <v>LOW SAMPLE</v>
      </c>
      <c r="K859" s="5" t="n">
        <v>22</v>
      </c>
    </row>
    <row r="860" customFormat="false" ht="15" hidden="false" customHeight="false" outlineLevel="0" collapsed="false">
      <c r="A860" s="5" t="n">
        <v>2022</v>
      </c>
      <c r="B860" s="5" t="s">
        <v>186</v>
      </c>
      <c r="C860" s="5" t="s">
        <v>217</v>
      </c>
      <c r="D860" s="5" t="n">
        <v>22</v>
      </c>
      <c r="E860" s="13" t="n">
        <v>6.38</v>
      </c>
      <c r="F860" s="14" t="n">
        <f aca="false">E860*Assumptions!$D$5</f>
        <v>859.402206353768</v>
      </c>
      <c r="G860" s="14" t="n">
        <v>450</v>
      </c>
      <c r="H860" s="14" t="n">
        <v>615</v>
      </c>
      <c r="I860" s="14" t="n">
        <f aca="false">F860-(G860+H860)/2</f>
        <v>326.902206353768</v>
      </c>
      <c r="J860" s="5" t="str">
        <f aca="false">IF(D860&lt;8,"LOW SAMPLE",IF(F860&gt;H860*(1+Assumptions!$B$10),"UNDERPAID",IF(F860&lt;G860*(1-Assumptions!$B$10),"OVERPAID","FAIR")))</f>
        <v>UNDERPAID</v>
      </c>
      <c r="K860" s="5" t="n">
        <v>87</v>
      </c>
    </row>
    <row r="861" customFormat="false" ht="15" hidden="false" customHeight="false" outlineLevel="0" collapsed="false">
      <c r="A861" s="5" t="n">
        <v>2022</v>
      </c>
      <c r="B861" s="5" t="s">
        <v>186</v>
      </c>
      <c r="C861" s="5" t="s">
        <v>218</v>
      </c>
      <c r="D861" s="5" t="n">
        <v>22</v>
      </c>
      <c r="E861" s="13" t="n">
        <v>5.3</v>
      </c>
      <c r="F861" s="14" t="n">
        <f aca="false">E861*Assumptions!$D$5</f>
        <v>713.923462958459</v>
      </c>
      <c r="G861" s="14" t="n">
        <v>345</v>
      </c>
      <c r="H861" s="14" t="n">
        <v>450</v>
      </c>
      <c r="I861" s="14" t="n">
        <f aca="false">F861-(G861+H861)/2</f>
        <v>316.423462958459</v>
      </c>
      <c r="J861" s="5" t="str">
        <f aca="false">IF(D861&lt;8,"LOW SAMPLE",IF(F861&gt;H861*(1+Assumptions!$B$10),"UNDERPAID",IF(F861&lt;G861*(1-Assumptions!$B$10),"OVERPAID","FAIR")))</f>
        <v>UNDERPAID</v>
      </c>
      <c r="K861" s="5" t="n">
        <v>21</v>
      </c>
    </row>
    <row r="862" customFormat="false" ht="15" hidden="false" customHeight="false" outlineLevel="0" collapsed="false">
      <c r="A862" s="5" t="n">
        <v>2022</v>
      </c>
      <c r="B862" s="5" t="s">
        <v>186</v>
      </c>
      <c r="C862" s="5" t="s">
        <v>219</v>
      </c>
      <c r="D862" s="5" t="n">
        <v>20</v>
      </c>
      <c r="E862" s="13" t="n">
        <v>2.85</v>
      </c>
      <c r="F862" s="14" t="n">
        <f aca="false">E862*Assumptions!$D$5</f>
        <v>383.902239515398</v>
      </c>
      <c r="G862" s="14" t="n">
        <v>125</v>
      </c>
      <c r="H862" s="14" t="n">
        <v>225</v>
      </c>
      <c r="I862" s="14" t="n">
        <f aca="false">F862-(G862+H862)/2</f>
        <v>208.902239515398</v>
      </c>
      <c r="J862" s="5" t="str">
        <f aca="false">IF(D862&lt;8,"LOW SAMPLE",IF(F862&gt;H862*(1+Assumptions!$B$10),"UNDERPAID",IF(F862&lt;G862*(1-Assumptions!$B$10),"OVERPAID","FAIR")))</f>
        <v>UNDERPAID</v>
      </c>
      <c r="K862" s="5" t="n">
        <v>7</v>
      </c>
    </row>
    <row r="863" customFormat="false" ht="15" hidden="false" customHeight="false" outlineLevel="0" collapsed="false">
      <c r="A863" s="5" t="n">
        <v>2022</v>
      </c>
      <c r="B863" s="5" t="s">
        <v>186</v>
      </c>
      <c r="C863" s="5" t="s">
        <v>753</v>
      </c>
      <c r="D863" s="5" t="n">
        <v>5</v>
      </c>
      <c r="E863" s="13" t="n">
        <v>0.18</v>
      </c>
      <c r="F863" s="14" t="n">
        <f aca="false">E863*Assumptions!$D$5</f>
        <v>24.2464572325515</v>
      </c>
      <c r="G863" s="14" t="n">
        <v>225</v>
      </c>
      <c r="H863" s="14" t="n">
        <v>345</v>
      </c>
      <c r="I863" s="14" t="n">
        <f aca="false">F863-(G863+H863)/2</f>
        <v>-260.753542767449</v>
      </c>
      <c r="J863" s="5" t="str">
        <f aca="false">IF(D863&lt;8,"LOW SAMPLE",IF(F863&gt;H863*(1+Assumptions!$B$10),"UNDERPAID",IF(F863&lt;G863*(1-Assumptions!$B$10),"OVERPAID","FAIR")))</f>
        <v>LOW SAMPLE</v>
      </c>
      <c r="K863" s="5" t="n">
        <v>0</v>
      </c>
    </row>
    <row r="864" customFormat="false" ht="15" hidden="false" customHeight="false" outlineLevel="0" collapsed="false">
      <c r="A864" s="5" t="n">
        <v>2022</v>
      </c>
      <c r="B864" s="5" t="s">
        <v>186</v>
      </c>
      <c r="C864" s="5" t="s">
        <v>220</v>
      </c>
      <c r="D864" s="5" t="n">
        <v>9</v>
      </c>
      <c r="E864" s="13" t="n">
        <v>1.77</v>
      </c>
      <c r="F864" s="14" t="n">
        <f aca="false">E864*Assumptions!$D$5</f>
        <v>238.423496120089</v>
      </c>
      <c r="G864" s="14" t="n">
        <v>225</v>
      </c>
      <c r="H864" s="14" t="n">
        <v>345</v>
      </c>
      <c r="I864" s="14" t="n">
        <f aca="false">F864-(G864+H864)/2</f>
        <v>-46.5765038799107</v>
      </c>
      <c r="J864" s="5" t="str">
        <f aca="false">IF(D864&lt;8,"LOW SAMPLE",IF(F864&gt;H864*(1+Assumptions!$B$10),"UNDERPAID",IF(F864&lt;G864*(1-Assumptions!$B$10),"OVERPAID","FAIR")))</f>
        <v>FAIR</v>
      </c>
      <c r="K864" s="5" t="n">
        <v>80</v>
      </c>
    </row>
    <row r="865" customFormat="false" ht="15" hidden="false" customHeight="false" outlineLevel="0" collapsed="false">
      <c r="A865" s="5" t="n">
        <v>2022</v>
      </c>
      <c r="B865" s="5" t="s">
        <v>186</v>
      </c>
      <c r="C865" s="5" t="s">
        <v>221</v>
      </c>
      <c r="D865" s="5" t="n">
        <v>8</v>
      </c>
      <c r="E865" s="13" t="n">
        <v>0.87</v>
      </c>
      <c r="F865" s="14" t="n">
        <f aca="false">E865*Assumptions!$D$5</f>
        <v>117.191209957332</v>
      </c>
      <c r="G865" s="14" t="n">
        <v>345</v>
      </c>
      <c r="H865" s="14" t="n">
        <v>450</v>
      </c>
      <c r="I865" s="14" t="n">
        <f aca="false">F865-(G865+H865)/2</f>
        <v>-280.308790042668</v>
      </c>
      <c r="J865" s="5" t="str">
        <f aca="false">IF(D865&lt;8,"LOW SAMPLE",IF(F865&gt;H865*(1+Assumptions!$B$10),"UNDERPAID",IF(F865&lt;G865*(1-Assumptions!$B$10),"OVERPAID","FAIR")))</f>
        <v>OVERPAID</v>
      </c>
      <c r="K865" s="5" t="n">
        <v>42</v>
      </c>
    </row>
    <row r="866" customFormat="false" ht="15" hidden="false" customHeight="false" outlineLevel="0" collapsed="false">
      <c r="A866" s="5" t="n">
        <v>2022</v>
      </c>
      <c r="B866" s="5" t="s">
        <v>186</v>
      </c>
      <c r="C866" s="5" t="s">
        <v>222</v>
      </c>
      <c r="D866" s="5" t="n">
        <v>19</v>
      </c>
      <c r="E866" s="13" t="n">
        <v>5.52</v>
      </c>
      <c r="F866" s="14" t="n">
        <f aca="false">E866*Assumptions!$D$5</f>
        <v>743.558021798245</v>
      </c>
      <c r="G866" s="14" t="n">
        <v>855</v>
      </c>
      <c r="H866" s="14" t="n">
        <v>1170</v>
      </c>
      <c r="I866" s="14" t="n">
        <f aca="false">F866-(G866+H866)/2</f>
        <v>-268.941978201756</v>
      </c>
      <c r="J866" s="5" t="str">
        <f aca="false">IF(D866&lt;8,"LOW SAMPLE",IF(F866&gt;H866*(1+Assumptions!$B$10),"UNDERPAID",IF(F866&lt;G866*(1-Assumptions!$B$10),"OVERPAID","FAIR")))</f>
        <v>FAIR</v>
      </c>
      <c r="K866" s="5" t="n">
        <v>145</v>
      </c>
    </row>
    <row r="867" customFormat="false" ht="15" hidden="false" customHeight="false" outlineLevel="0" collapsed="false">
      <c r="A867" s="5" t="n">
        <v>2022</v>
      </c>
      <c r="B867" s="5" t="s">
        <v>186</v>
      </c>
      <c r="C867" s="5" t="s">
        <v>223</v>
      </c>
      <c r="D867" s="5" t="n">
        <v>7</v>
      </c>
      <c r="E867" s="13" t="n">
        <v>0.72</v>
      </c>
      <c r="F867" s="14" t="n">
        <f aca="false">E867*Assumptions!$D$5</f>
        <v>96.9858289302058</v>
      </c>
      <c r="G867" s="14" t="n">
        <v>125</v>
      </c>
      <c r="H867" s="14" t="n">
        <v>225</v>
      </c>
      <c r="I867" s="14" t="n">
        <f aca="false">F867-(G867+H867)/2</f>
        <v>-78.0141710697942</v>
      </c>
      <c r="J867" s="5" t="str">
        <f aca="false">IF(D867&lt;8,"LOW SAMPLE",IF(F867&gt;H867*(1+Assumptions!$B$10),"UNDERPAID",IF(F867&lt;G867*(1-Assumptions!$B$10),"OVERPAID","FAIR")))</f>
        <v>LOW SAMPLE</v>
      </c>
      <c r="K867" s="5" t="n">
        <v>1</v>
      </c>
    </row>
    <row r="868" customFormat="false" ht="15" hidden="false" customHeight="false" outlineLevel="0" collapsed="false">
      <c r="A868" s="5" t="n">
        <v>2022</v>
      </c>
      <c r="B868" s="5" t="s">
        <v>224</v>
      </c>
      <c r="C868" s="5" t="s">
        <v>226</v>
      </c>
      <c r="D868" s="5" t="n">
        <v>21</v>
      </c>
      <c r="E868" s="13" t="n">
        <v>3.41</v>
      </c>
      <c r="F868" s="14" t="n">
        <f aca="false">E868*Assumptions!$D$5</f>
        <v>459.335662016669</v>
      </c>
      <c r="G868" s="14" t="n">
        <v>225</v>
      </c>
      <c r="H868" s="14" t="n">
        <v>345</v>
      </c>
      <c r="I868" s="14" t="n">
        <f aca="false">F868-(G868+H868)/2</f>
        <v>174.335662016669</v>
      </c>
      <c r="J868" s="5" t="str">
        <f aca="false">IF(D868&lt;8,"LOW SAMPLE",IF(F868&gt;H868*(1+Assumptions!$B$10),"UNDERPAID",IF(F868&lt;G868*(1-Assumptions!$B$10),"OVERPAID","FAIR")))</f>
        <v>UNDERPAID</v>
      </c>
      <c r="K868" s="5" t="n">
        <v>63</v>
      </c>
    </row>
    <row r="869" customFormat="false" ht="15" hidden="false" customHeight="false" outlineLevel="0" collapsed="false">
      <c r="A869" s="5" t="n">
        <v>2022</v>
      </c>
      <c r="B869" s="5" t="s">
        <v>224</v>
      </c>
      <c r="C869" s="5" t="s">
        <v>227</v>
      </c>
      <c r="D869" s="5" t="n">
        <v>24</v>
      </c>
      <c r="E869" s="13" t="n">
        <v>6.57</v>
      </c>
      <c r="F869" s="14" t="n">
        <f aca="false">E869*Assumptions!$D$5</f>
        <v>884.995688988128</v>
      </c>
      <c r="G869" s="14" t="n">
        <v>615</v>
      </c>
      <c r="H869" s="14" t="n">
        <v>855</v>
      </c>
      <c r="I869" s="14" t="n">
        <f aca="false">F869-(G869+H869)/2</f>
        <v>149.995688988128</v>
      </c>
      <c r="J869" s="5" t="str">
        <f aca="false">IF(D869&lt;8,"LOW SAMPLE",IF(F869&gt;H869*(1+Assumptions!$B$10),"UNDERPAID",IF(F869&lt;G869*(1-Assumptions!$B$10),"OVERPAID","FAIR")))</f>
        <v>FAIR</v>
      </c>
      <c r="K869" s="5" t="n">
        <v>76</v>
      </c>
    </row>
    <row r="870" customFormat="false" ht="15" hidden="false" customHeight="false" outlineLevel="0" collapsed="false">
      <c r="A870" s="5" t="n">
        <v>2022</v>
      </c>
      <c r="B870" s="5" t="s">
        <v>224</v>
      </c>
      <c r="C870" s="5" t="s">
        <v>228</v>
      </c>
      <c r="D870" s="5" t="n">
        <v>23</v>
      </c>
      <c r="E870" s="13" t="n">
        <v>2.23</v>
      </c>
      <c r="F870" s="14" t="n">
        <f aca="false">E870*Assumptions!$D$5</f>
        <v>300.386664603276</v>
      </c>
      <c r="G870" s="14" t="n">
        <v>225</v>
      </c>
      <c r="H870" s="14" t="n">
        <v>345</v>
      </c>
      <c r="I870" s="14" t="n">
        <f aca="false">F870-(G870+H870)/2</f>
        <v>15.3866646032763</v>
      </c>
      <c r="J870" s="5" t="str">
        <f aca="false">IF(D870&lt;8,"LOW SAMPLE",IF(F870&gt;H870*(1+Assumptions!$B$10),"UNDERPAID",IF(F870&lt;G870*(1-Assumptions!$B$10),"OVERPAID","FAIR")))</f>
        <v>FAIR</v>
      </c>
      <c r="K870" s="5" t="n">
        <v>38</v>
      </c>
    </row>
    <row r="871" customFormat="false" ht="15" hidden="false" customHeight="false" outlineLevel="0" collapsed="false">
      <c r="A871" s="5" t="n">
        <v>2022</v>
      </c>
      <c r="B871" s="5" t="s">
        <v>224</v>
      </c>
      <c r="C871" s="5" t="s">
        <v>229</v>
      </c>
      <c r="D871" s="5" t="n">
        <v>20</v>
      </c>
      <c r="E871" s="13" t="n">
        <v>4.04</v>
      </c>
      <c r="F871" s="14" t="n">
        <f aca="false">E871*Assumptions!$D$5</f>
        <v>544.198262330599</v>
      </c>
      <c r="G871" s="14" t="n">
        <v>345</v>
      </c>
      <c r="H871" s="14" t="n">
        <v>450</v>
      </c>
      <c r="I871" s="14" t="n">
        <f aca="false">F871-(G871+H871)/2</f>
        <v>146.698262330599</v>
      </c>
      <c r="J871" s="5" t="str">
        <f aca="false">IF(D871&lt;8,"LOW SAMPLE",IF(F871&gt;H871*(1+Assumptions!$B$10),"UNDERPAID",IF(F871&lt;G871*(1-Assumptions!$B$10),"OVERPAID","FAIR")))</f>
        <v>UNDERPAID</v>
      </c>
      <c r="K871" s="5" t="n">
        <v>97</v>
      </c>
    </row>
    <row r="872" customFormat="false" ht="15" hidden="false" customHeight="false" outlineLevel="0" collapsed="false">
      <c r="A872" s="5" t="n">
        <v>2022</v>
      </c>
      <c r="B872" s="5" t="s">
        <v>224</v>
      </c>
      <c r="C872" s="5" t="s">
        <v>230</v>
      </c>
      <c r="D872" s="5" t="n">
        <v>21</v>
      </c>
      <c r="E872" s="13" t="n">
        <v>2.62</v>
      </c>
      <c r="F872" s="14" t="n">
        <f aca="false">E872*Assumptions!$D$5</f>
        <v>352.920655273804</v>
      </c>
      <c r="G872" s="14" t="n">
        <v>125</v>
      </c>
      <c r="H872" s="14" t="n">
        <v>225</v>
      </c>
      <c r="I872" s="14" t="n">
        <f aca="false">F872-(G872+H872)/2</f>
        <v>177.920655273804</v>
      </c>
      <c r="J872" s="5" t="str">
        <f aca="false">IF(D872&lt;8,"LOW SAMPLE",IF(F872&gt;H872*(1+Assumptions!$B$10),"UNDERPAID",IF(F872&lt;G872*(1-Assumptions!$B$10),"OVERPAID","FAIR")))</f>
        <v>UNDERPAID</v>
      </c>
      <c r="K872" s="5" t="n">
        <v>10</v>
      </c>
    </row>
    <row r="873" customFormat="false" ht="15" hidden="false" customHeight="false" outlineLevel="0" collapsed="false">
      <c r="A873" s="5" t="n">
        <v>2022</v>
      </c>
      <c r="B873" s="5" t="s">
        <v>224</v>
      </c>
      <c r="C873" s="5" t="s">
        <v>231</v>
      </c>
      <c r="D873" s="5" t="n">
        <v>23</v>
      </c>
      <c r="E873" s="13" t="n">
        <v>5.55</v>
      </c>
      <c r="F873" s="14" t="n">
        <f aca="false">E873*Assumptions!$D$5</f>
        <v>747.59909800367</v>
      </c>
      <c r="G873" s="14" t="n">
        <v>345</v>
      </c>
      <c r="H873" s="14" t="n">
        <v>450</v>
      </c>
      <c r="I873" s="14" t="n">
        <f aca="false">F873-(G873+H873)/2</f>
        <v>350.09909800367</v>
      </c>
      <c r="J873" s="5" t="str">
        <f aca="false">IF(D873&lt;8,"LOW SAMPLE",IF(F873&gt;H873*(1+Assumptions!$B$10),"UNDERPAID",IF(F873&lt;G873*(1-Assumptions!$B$10),"OVERPAID","FAIR")))</f>
        <v>UNDERPAID</v>
      </c>
      <c r="K873" s="5" t="n">
        <v>59</v>
      </c>
    </row>
    <row r="874" customFormat="false" ht="15" hidden="false" customHeight="false" outlineLevel="0" collapsed="false">
      <c r="A874" s="5" t="n">
        <v>2022</v>
      </c>
      <c r="B874" s="5" t="s">
        <v>224</v>
      </c>
      <c r="C874" s="5" t="s">
        <v>233</v>
      </c>
      <c r="D874" s="5" t="n">
        <v>22</v>
      </c>
      <c r="E874" s="13" t="n">
        <v>5.07</v>
      </c>
      <c r="F874" s="14" t="n">
        <f aca="false">E874*Assumptions!$D$5</f>
        <v>682.941878716866</v>
      </c>
      <c r="G874" s="14" t="n">
        <v>450</v>
      </c>
      <c r="H874" s="14" t="n">
        <v>615</v>
      </c>
      <c r="I874" s="14" t="n">
        <f aca="false">F874-(G874+H874)/2</f>
        <v>150.441878716866</v>
      </c>
      <c r="J874" s="5" t="str">
        <f aca="false">IF(D874&lt;8,"LOW SAMPLE",IF(F874&gt;H874*(1+Assumptions!$B$10),"UNDERPAID",IF(F874&lt;G874*(1-Assumptions!$B$10),"OVERPAID","FAIR")))</f>
        <v>FAIR</v>
      </c>
      <c r="K874" s="5" t="n">
        <v>36</v>
      </c>
    </row>
    <row r="875" customFormat="false" ht="15" hidden="false" customHeight="false" outlineLevel="0" collapsed="false">
      <c r="A875" s="5" t="n">
        <v>2022</v>
      </c>
      <c r="B875" s="5" t="s">
        <v>224</v>
      </c>
      <c r="C875" s="5" t="s">
        <v>235</v>
      </c>
      <c r="D875" s="5" t="n">
        <v>14</v>
      </c>
      <c r="E875" s="13" t="n">
        <v>1.41</v>
      </c>
      <c r="F875" s="14" t="n">
        <f aca="false">E875*Assumptions!$D$5</f>
        <v>189.930581654986</v>
      </c>
      <c r="G875" s="14" t="n">
        <v>345</v>
      </c>
      <c r="H875" s="14" t="n">
        <v>450</v>
      </c>
      <c r="I875" s="14" t="n">
        <f aca="false">F875-(G875+H875)/2</f>
        <v>-207.569418345014</v>
      </c>
      <c r="J875" s="5" t="str">
        <f aca="false">IF(D875&lt;8,"LOW SAMPLE",IF(F875&gt;H875*(1+Assumptions!$B$10),"UNDERPAID",IF(F875&lt;G875*(1-Assumptions!$B$10),"OVERPAID","FAIR")))</f>
        <v>OVERPAID</v>
      </c>
      <c r="K875" s="5" t="n">
        <v>94</v>
      </c>
    </row>
    <row r="876" customFormat="false" ht="15" hidden="false" customHeight="false" outlineLevel="0" collapsed="false">
      <c r="A876" s="5" t="n">
        <v>2022</v>
      </c>
      <c r="B876" s="5" t="s">
        <v>224</v>
      </c>
      <c r="C876" s="5" t="s">
        <v>236</v>
      </c>
      <c r="D876" s="5" t="n">
        <v>22</v>
      </c>
      <c r="E876" s="13" t="n">
        <v>4.4</v>
      </c>
      <c r="F876" s="14" t="n">
        <f aca="false">E876*Assumptions!$D$5</f>
        <v>592.691176795702</v>
      </c>
      <c r="G876" s="14" t="n">
        <v>615</v>
      </c>
      <c r="H876" s="14" t="n">
        <v>855</v>
      </c>
      <c r="I876" s="14" t="n">
        <f aca="false">F876-(G876+H876)/2</f>
        <v>-142.308823204298</v>
      </c>
      <c r="J876" s="5" t="str">
        <f aca="false">IF(D876&lt;8,"LOW SAMPLE",IF(F876&gt;H876*(1+Assumptions!$B$10),"UNDERPAID",IF(F876&lt;G876*(1-Assumptions!$B$10),"OVERPAID","FAIR")))</f>
        <v>FAIR</v>
      </c>
      <c r="K876" s="5" t="n">
        <v>144</v>
      </c>
    </row>
    <row r="877" customFormat="false" ht="15" hidden="false" customHeight="false" outlineLevel="0" collapsed="false">
      <c r="A877" s="5" t="n">
        <v>2022</v>
      </c>
      <c r="B877" s="5" t="s">
        <v>224</v>
      </c>
      <c r="C877" s="5" t="s">
        <v>237</v>
      </c>
      <c r="D877" s="5" t="n">
        <v>6</v>
      </c>
      <c r="E877" s="13" t="n">
        <v>0.78</v>
      </c>
      <c r="F877" s="14" t="n">
        <f aca="false">E877*Assumptions!$D$5</f>
        <v>105.067981341056</v>
      </c>
      <c r="G877" s="14" t="n">
        <v>345</v>
      </c>
      <c r="H877" s="14" t="n">
        <v>450</v>
      </c>
      <c r="I877" s="14" t="n">
        <f aca="false">F877-(G877+H877)/2</f>
        <v>-292.432018658944</v>
      </c>
      <c r="J877" s="5" t="str">
        <f aca="false">IF(D877&lt;8,"LOW SAMPLE",IF(F877&gt;H877*(1+Assumptions!$B$10),"UNDERPAID",IF(F877&lt;G877*(1-Assumptions!$B$10),"OVERPAID","FAIR")))</f>
        <v>LOW SAMPLE</v>
      </c>
      <c r="K877" s="5" t="n">
        <v>75</v>
      </c>
    </row>
    <row r="878" customFormat="false" ht="15" hidden="false" customHeight="false" outlineLevel="0" collapsed="false">
      <c r="A878" s="5" t="n">
        <v>2022</v>
      </c>
      <c r="B878" s="5" t="s">
        <v>224</v>
      </c>
      <c r="C878" s="5" t="s">
        <v>238</v>
      </c>
      <c r="D878" s="5" t="n">
        <v>20</v>
      </c>
      <c r="E878" s="13" t="n">
        <v>4.17</v>
      </c>
      <c r="F878" s="14" t="n">
        <f aca="false">E878*Assumptions!$D$5</f>
        <v>561.709592554109</v>
      </c>
      <c r="G878" s="14" t="n">
        <v>225</v>
      </c>
      <c r="H878" s="14" t="n">
        <v>345</v>
      </c>
      <c r="I878" s="14" t="n">
        <f aca="false">F878-(G878+H878)/2</f>
        <v>276.709592554109</v>
      </c>
      <c r="J878" s="5" t="str">
        <f aca="false">IF(D878&lt;8,"LOW SAMPLE",IF(F878&gt;H878*(1+Assumptions!$B$10),"UNDERPAID",IF(F878&lt;G878*(1-Assumptions!$B$10),"OVERPAID","FAIR")))</f>
        <v>UNDERPAID</v>
      </c>
      <c r="K878" s="5" t="n">
        <v>44</v>
      </c>
    </row>
    <row r="879" customFormat="false" ht="15" hidden="false" customHeight="false" outlineLevel="0" collapsed="false">
      <c r="A879" s="5" t="n">
        <v>2022</v>
      </c>
      <c r="B879" s="5" t="s">
        <v>224</v>
      </c>
      <c r="C879" s="5" t="s">
        <v>239</v>
      </c>
      <c r="D879" s="5" t="n">
        <v>22</v>
      </c>
      <c r="E879" s="13" t="n">
        <v>4.78</v>
      </c>
      <c r="F879" s="14" t="n">
        <f aca="false">E879*Assumptions!$D$5</f>
        <v>643.878142064422</v>
      </c>
      <c r="G879" s="14" t="n">
        <v>125</v>
      </c>
      <c r="H879" s="14" t="n">
        <v>225</v>
      </c>
      <c r="I879" s="14" t="n">
        <f aca="false">F879-(G879+H879)/2</f>
        <v>468.878142064422</v>
      </c>
      <c r="J879" s="5" t="str">
        <f aca="false">IF(D879&lt;8,"LOW SAMPLE",IF(F879&gt;H879*(1+Assumptions!$B$10),"UNDERPAID",IF(F879&lt;G879*(1-Assumptions!$B$10),"OVERPAID","FAIR")))</f>
        <v>UNDERPAID</v>
      </c>
      <c r="K879" s="5" t="n">
        <v>13</v>
      </c>
    </row>
    <row r="880" customFormat="false" ht="15" hidden="false" customHeight="false" outlineLevel="0" collapsed="false">
      <c r="A880" s="5" t="n">
        <v>2022</v>
      </c>
      <c r="B880" s="5" t="s">
        <v>224</v>
      </c>
      <c r="C880" s="5" t="s">
        <v>240</v>
      </c>
      <c r="D880" s="5" t="n">
        <v>17</v>
      </c>
      <c r="E880" s="13" t="n">
        <v>2.86</v>
      </c>
      <c r="F880" s="14" t="n">
        <f aca="false">E880*Assumptions!$D$5</f>
        <v>385.249264917206</v>
      </c>
      <c r="G880" s="14" t="n">
        <v>125</v>
      </c>
      <c r="H880" s="14" t="n">
        <v>225</v>
      </c>
      <c r="I880" s="14" t="n">
        <f aca="false">F880-(G880+H880)/2</f>
        <v>210.249264917206</v>
      </c>
      <c r="J880" s="5" t="str">
        <f aca="false">IF(D880&lt;8,"LOW SAMPLE",IF(F880&gt;H880*(1+Assumptions!$B$10),"UNDERPAID",IF(F880&lt;G880*(1-Assumptions!$B$10),"OVERPAID","FAIR")))</f>
        <v>UNDERPAID</v>
      </c>
      <c r="K880" s="5" t="n">
        <v>6</v>
      </c>
    </row>
    <row r="881" customFormat="false" ht="15" hidden="false" customHeight="false" outlineLevel="0" collapsed="false">
      <c r="A881" s="5" t="n">
        <v>2022</v>
      </c>
      <c r="B881" s="5" t="s">
        <v>224</v>
      </c>
      <c r="C881" s="5" t="s">
        <v>241</v>
      </c>
      <c r="D881" s="5" t="n">
        <v>23</v>
      </c>
      <c r="E881" s="13" t="n">
        <v>3.97</v>
      </c>
      <c r="F881" s="14" t="n">
        <f aca="false">E881*Assumptions!$D$5</f>
        <v>534.76908451794</v>
      </c>
      <c r="G881" s="14" t="n">
        <v>345</v>
      </c>
      <c r="H881" s="14" t="n">
        <v>450</v>
      </c>
      <c r="I881" s="14" t="n">
        <f aca="false">F881-(G881+H881)/2</f>
        <v>137.26908451794</v>
      </c>
      <c r="J881" s="5" t="str">
        <f aca="false">IF(D881&lt;8,"LOW SAMPLE",IF(F881&gt;H881*(1+Assumptions!$B$10),"UNDERPAID",IF(F881&lt;G881*(1-Assumptions!$B$10),"OVERPAID","FAIR")))</f>
        <v>UNDERPAID</v>
      </c>
      <c r="K881" s="5" t="n">
        <v>99</v>
      </c>
    </row>
    <row r="882" customFormat="false" ht="15" hidden="false" customHeight="false" outlineLevel="0" collapsed="false">
      <c r="A882" s="5" t="n">
        <v>2022</v>
      </c>
      <c r="B882" s="5" t="s">
        <v>224</v>
      </c>
      <c r="C882" s="5" t="s">
        <v>242</v>
      </c>
      <c r="D882" s="5" t="n">
        <v>1</v>
      </c>
      <c r="E882" s="13" t="n">
        <v>0.12</v>
      </c>
      <c r="F882" s="14" t="n">
        <f aca="false">E882*Assumptions!$D$5</f>
        <v>16.164304821701</v>
      </c>
      <c r="G882" s="14" t="n">
        <v>225</v>
      </c>
      <c r="H882" s="14" t="n">
        <v>345</v>
      </c>
      <c r="I882" s="14" t="n">
        <f aca="false">F882-(G882+H882)/2</f>
        <v>-268.835695178299</v>
      </c>
      <c r="J882" s="5" t="str">
        <f aca="false">IF(D882&lt;8,"LOW SAMPLE",IF(F882&gt;H882*(1+Assumptions!$B$10),"UNDERPAID",IF(F882&lt;G882*(1-Assumptions!$B$10),"OVERPAID","FAIR")))</f>
        <v>LOW SAMPLE</v>
      </c>
      <c r="K882" s="5" t="n">
        <v>86</v>
      </c>
    </row>
    <row r="883" customFormat="false" ht="15" hidden="false" customHeight="false" outlineLevel="0" collapsed="false">
      <c r="A883" s="5" t="n">
        <v>2022</v>
      </c>
      <c r="B883" s="5" t="s">
        <v>224</v>
      </c>
      <c r="C883" s="5" t="s">
        <v>318</v>
      </c>
      <c r="D883" s="5" t="n">
        <v>24</v>
      </c>
      <c r="E883" s="13" t="n">
        <v>4.98</v>
      </c>
      <c r="F883" s="14" t="n">
        <f aca="false">E883*Assumptions!$D$5</f>
        <v>670.81865010059</v>
      </c>
      <c r="G883" s="14" t="n">
        <v>225</v>
      </c>
      <c r="H883" s="14" t="n">
        <v>345</v>
      </c>
      <c r="I883" s="14" t="n">
        <f aca="false">F883-(G883+H883)/2</f>
        <v>385.81865010059</v>
      </c>
      <c r="J883" s="5" t="str">
        <f aca="false">IF(D883&lt;8,"LOW SAMPLE",IF(F883&gt;H883*(1+Assumptions!$B$10),"UNDERPAID",IF(F883&lt;G883*(1-Assumptions!$B$10),"OVERPAID","FAIR")))</f>
        <v>UNDERPAID</v>
      </c>
      <c r="K883" s="5" t="n">
        <v>32</v>
      </c>
    </row>
    <row r="884" customFormat="false" ht="15" hidden="false" customHeight="false" outlineLevel="0" collapsed="false">
      <c r="A884" s="5" t="n">
        <v>2022</v>
      </c>
      <c r="B884" s="5" t="s">
        <v>224</v>
      </c>
      <c r="C884" s="5" t="s">
        <v>244</v>
      </c>
      <c r="D884" s="5" t="n">
        <v>4</v>
      </c>
      <c r="E884" s="13" t="n">
        <v>0.53</v>
      </c>
      <c r="F884" s="14" t="n">
        <f aca="false">E884*Assumptions!$D$5</f>
        <v>71.3923462958459</v>
      </c>
      <c r="G884" s="14" t="n">
        <v>225</v>
      </c>
      <c r="H884" s="14" t="n">
        <v>345</v>
      </c>
      <c r="I884" s="14" t="n">
        <f aca="false">F884-(G884+H884)/2</f>
        <v>-213.607653704154</v>
      </c>
      <c r="J884" s="5" t="str">
        <f aca="false">IF(D884&lt;8,"LOW SAMPLE",IF(F884&gt;H884*(1+Assumptions!$B$10),"UNDERPAID",IF(F884&lt;G884*(1-Assumptions!$B$10),"OVERPAID","FAIR")))</f>
        <v>LOW SAMPLE</v>
      </c>
      <c r="K884" s="5" t="n">
        <v>15</v>
      </c>
    </row>
    <row r="885" customFormat="false" ht="15" hidden="false" customHeight="false" outlineLevel="0" collapsed="false">
      <c r="A885" s="5" t="n">
        <v>2022</v>
      </c>
      <c r="B885" s="5" t="s">
        <v>224</v>
      </c>
      <c r="C885" s="5" t="s">
        <v>754</v>
      </c>
      <c r="D885" s="5" t="n">
        <v>3</v>
      </c>
      <c r="E885" s="13" t="n">
        <v>0.59</v>
      </c>
      <c r="F885" s="14" t="n">
        <f aca="false">E885*Assumptions!$D$5</f>
        <v>79.4744987066964</v>
      </c>
      <c r="G885" s="14" t="n">
        <v>225</v>
      </c>
      <c r="H885" s="14" t="n">
        <v>345</v>
      </c>
      <c r="I885" s="14" t="n">
        <f aca="false">F885-(G885+H885)/2</f>
        <v>-205.525501293304</v>
      </c>
      <c r="J885" s="5" t="str">
        <f aca="false">IF(D885&lt;8,"LOW SAMPLE",IF(F885&gt;H885*(1+Assumptions!$B$10),"UNDERPAID",IF(F885&lt;G885*(1-Assumptions!$B$10),"OVERPAID","FAIR")))</f>
        <v>LOW SAMPLE</v>
      </c>
      <c r="K885" s="5" t="n">
        <v>0</v>
      </c>
    </row>
    <row r="886" customFormat="false" ht="15" hidden="false" customHeight="false" outlineLevel="0" collapsed="false">
      <c r="A886" s="5" t="n">
        <v>2022</v>
      </c>
      <c r="B886" s="5" t="s">
        <v>224</v>
      </c>
      <c r="C886" s="5" t="s">
        <v>245</v>
      </c>
      <c r="D886" s="5" t="n">
        <v>23</v>
      </c>
      <c r="E886" s="13" t="n">
        <v>4.39</v>
      </c>
      <c r="F886" s="14" t="n">
        <f aca="false">E886*Assumptions!$D$5</f>
        <v>591.344151393894</v>
      </c>
      <c r="G886" s="14" t="n">
        <v>345</v>
      </c>
      <c r="H886" s="14" t="n">
        <v>450</v>
      </c>
      <c r="I886" s="14" t="n">
        <f aca="false">F886-(G886+H886)/2</f>
        <v>193.844151393894</v>
      </c>
      <c r="J886" s="5" t="str">
        <f aca="false">IF(D886&lt;8,"LOW SAMPLE",IF(F886&gt;H886*(1+Assumptions!$B$10),"UNDERPAID",IF(F886&lt;G886*(1-Assumptions!$B$10),"OVERPAID","FAIR")))</f>
        <v>UNDERPAID</v>
      </c>
      <c r="K886" s="5" t="n">
        <v>44</v>
      </c>
    </row>
    <row r="887" customFormat="false" ht="15" hidden="false" customHeight="false" outlineLevel="0" collapsed="false">
      <c r="A887" s="5" t="n">
        <v>2022</v>
      </c>
      <c r="B887" s="5" t="s">
        <v>224</v>
      </c>
      <c r="C887" s="5" t="s">
        <v>246</v>
      </c>
      <c r="D887" s="5" t="n">
        <v>7</v>
      </c>
      <c r="E887" s="13" t="n">
        <v>0.46</v>
      </c>
      <c r="F887" s="14" t="n">
        <f aca="false">E887*Assumptions!$D$5</f>
        <v>61.9631684831871</v>
      </c>
      <c r="G887" s="14" t="n">
        <v>225</v>
      </c>
      <c r="H887" s="14" t="n">
        <v>345</v>
      </c>
      <c r="I887" s="14" t="n">
        <f aca="false">F887-(G887+H887)/2</f>
        <v>-223.036831516813</v>
      </c>
      <c r="J887" s="5" t="str">
        <f aca="false">IF(D887&lt;8,"LOW SAMPLE",IF(F887&gt;H887*(1+Assumptions!$B$10),"UNDERPAID",IF(F887&lt;G887*(1-Assumptions!$B$10),"OVERPAID","FAIR")))</f>
        <v>LOW SAMPLE</v>
      </c>
      <c r="K887" s="5" t="n">
        <v>20</v>
      </c>
    </row>
    <row r="888" customFormat="false" ht="15" hidden="false" customHeight="false" outlineLevel="0" collapsed="false">
      <c r="A888" s="5" t="n">
        <v>2022</v>
      </c>
      <c r="B888" s="5" t="s">
        <v>224</v>
      </c>
      <c r="C888" s="5" t="s">
        <v>247</v>
      </c>
      <c r="D888" s="5" t="n">
        <v>6</v>
      </c>
      <c r="E888" s="13" t="n">
        <v>1.26</v>
      </c>
      <c r="F888" s="14" t="n">
        <f aca="false">E888*Assumptions!$D$5</f>
        <v>169.72520062786</v>
      </c>
      <c r="G888" s="14" t="n">
        <v>125</v>
      </c>
      <c r="H888" s="14" t="n">
        <v>225</v>
      </c>
      <c r="I888" s="14" t="n">
        <f aca="false">F888-(G888+H888)/2</f>
        <v>-5.27479937213985</v>
      </c>
      <c r="J888" s="5" t="str">
        <f aca="false">IF(D888&lt;8,"LOW SAMPLE",IF(F888&gt;H888*(1+Assumptions!$B$10),"UNDERPAID",IF(F888&lt;G888*(1-Assumptions!$B$10),"OVERPAID","FAIR")))</f>
        <v>LOW SAMPLE</v>
      </c>
      <c r="K888" s="5" t="n">
        <v>9</v>
      </c>
    </row>
    <row r="889" customFormat="false" ht="15" hidden="false" customHeight="false" outlineLevel="0" collapsed="false">
      <c r="A889" s="5" t="n">
        <v>2022</v>
      </c>
      <c r="B889" s="5" t="s">
        <v>224</v>
      </c>
      <c r="C889" s="5" t="s">
        <v>248</v>
      </c>
      <c r="D889" s="5" t="n">
        <v>24</v>
      </c>
      <c r="E889" s="13" t="n">
        <v>6.07</v>
      </c>
      <c r="F889" s="14" t="n">
        <f aca="false">E889*Assumptions!$D$5</f>
        <v>817.644418897707</v>
      </c>
      <c r="G889" s="14" t="n">
        <v>615</v>
      </c>
      <c r="H889" s="14" t="n">
        <v>855</v>
      </c>
      <c r="I889" s="14" t="n">
        <f aca="false">F889-(G889+H889)/2</f>
        <v>82.6444188977073</v>
      </c>
      <c r="J889" s="5" t="str">
        <f aca="false">IF(D889&lt;8,"LOW SAMPLE",IF(F889&gt;H889*(1+Assumptions!$B$10),"UNDERPAID",IF(F889&lt;G889*(1-Assumptions!$B$10),"OVERPAID","FAIR")))</f>
        <v>FAIR</v>
      </c>
      <c r="K889" s="5" t="n">
        <v>85</v>
      </c>
    </row>
    <row r="890" customFormat="false" ht="15" hidden="false" customHeight="false" outlineLevel="0" collapsed="false">
      <c r="A890" s="5" t="n">
        <v>2022</v>
      </c>
      <c r="B890" s="5" t="s">
        <v>224</v>
      </c>
      <c r="C890" s="5" t="s">
        <v>249</v>
      </c>
      <c r="D890" s="5" t="n">
        <v>13</v>
      </c>
      <c r="E890" s="13" t="n">
        <v>2.32</v>
      </c>
      <c r="F890" s="14" t="n">
        <f aca="false">E890*Assumptions!$D$5</f>
        <v>312.509893219552</v>
      </c>
      <c r="G890" s="14" t="n">
        <v>450</v>
      </c>
      <c r="H890" s="14" t="n">
        <v>615</v>
      </c>
      <c r="I890" s="14" t="n">
        <f aca="false">F890-(G890+H890)/2</f>
        <v>-219.990106780448</v>
      </c>
      <c r="J890" s="5" t="str">
        <f aca="false">IF(D890&lt;8,"LOW SAMPLE",IF(F890&gt;H890*(1+Assumptions!$B$10),"UNDERPAID",IF(F890&lt;G890*(1-Assumptions!$B$10),"OVERPAID","FAIR")))</f>
        <v>OVERPAID</v>
      </c>
      <c r="K890" s="5" t="n">
        <v>90</v>
      </c>
    </row>
    <row r="891" customFormat="false" ht="15" hidden="false" customHeight="false" outlineLevel="0" collapsed="false">
      <c r="A891" s="5" t="n">
        <v>2022</v>
      </c>
      <c r="B891" s="5" t="s">
        <v>224</v>
      </c>
      <c r="C891" s="5" t="s">
        <v>250</v>
      </c>
      <c r="D891" s="5" t="n">
        <v>22</v>
      </c>
      <c r="E891" s="13" t="n">
        <v>3.33</v>
      </c>
      <c r="F891" s="14" t="n">
        <f aca="false">E891*Assumptions!$D$5</f>
        <v>448.559458802202</v>
      </c>
      <c r="G891" s="14" t="n">
        <v>125</v>
      </c>
      <c r="H891" s="14" t="n">
        <v>225</v>
      </c>
      <c r="I891" s="14" t="n">
        <f aca="false">F891-(G891+H891)/2</f>
        <v>273.559458802202</v>
      </c>
      <c r="J891" s="5" t="str">
        <f aca="false">IF(D891&lt;8,"LOW SAMPLE",IF(F891&gt;H891*(1+Assumptions!$B$10),"UNDERPAID",IF(F891&lt;G891*(1-Assumptions!$B$10),"OVERPAID","FAIR")))</f>
        <v>UNDERPAID</v>
      </c>
      <c r="K891" s="5" t="n">
        <v>17</v>
      </c>
    </row>
    <row r="892" customFormat="false" ht="15" hidden="false" customHeight="false" outlineLevel="0" collapsed="false">
      <c r="A892" s="5" t="n">
        <v>2022</v>
      </c>
      <c r="B892" s="5" t="s">
        <v>224</v>
      </c>
      <c r="C892" s="5" t="s">
        <v>251</v>
      </c>
      <c r="D892" s="5" t="n">
        <v>21</v>
      </c>
      <c r="E892" s="13" t="n">
        <v>3.59</v>
      </c>
      <c r="F892" s="14" t="n">
        <f aca="false">E892*Assumptions!$D$5</f>
        <v>483.582119249221</v>
      </c>
      <c r="G892" s="14" t="n">
        <v>450</v>
      </c>
      <c r="H892" s="14" t="n">
        <v>615</v>
      </c>
      <c r="I892" s="14" t="n">
        <f aca="false">F892-(G892+H892)/2</f>
        <v>-48.9178807507794</v>
      </c>
      <c r="J892" s="5" t="str">
        <f aca="false">IF(D892&lt;8,"LOW SAMPLE",IF(F892&gt;H892*(1+Assumptions!$B$10),"UNDERPAID",IF(F892&lt;G892*(1-Assumptions!$B$10),"OVERPAID","FAIR")))</f>
        <v>FAIR</v>
      </c>
      <c r="K892" s="5" t="n">
        <v>131</v>
      </c>
    </row>
    <row r="893" customFormat="false" ht="15" hidden="false" customHeight="false" outlineLevel="0" collapsed="false">
      <c r="A893" s="5" t="n">
        <v>2022</v>
      </c>
      <c r="B893" s="5" t="s">
        <v>224</v>
      </c>
      <c r="C893" s="5" t="s">
        <v>252</v>
      </c>
      <c r="D893" s="5" t="n">
        <v>2</v>
      </c>
      <c r="E893" s="13" t="n">
        <v>0</v>
      </c>
      <c r="F893" s="14" t="n">
        <f aca="false">E893*Assumptions!$D$5</f>
        <v>0</v>
      </c>
      <c r="G893" s="14" t="n">
        <v>225</v>
      </c>
      <c r="H893" s="14" t="n">
        <v>345</v>
      </c>
      <c r="I893" s="14" t="n">
        <f aca="false">F893-(G893+H893)/2</f>
        <v>-285</v>
      </c>
      <c r="J893" s="5" t="str">
        <f aca="false">IF(D893&lt;8,"LOW SAMPLE",IF(F893&gt;H893*(1+Assumptions!$B$10),"UNDERPAID",IF(F893&lt;G893*(1-Assumptions!$B$10),"OVERPAID","FAIR")))</f>
        <v>LOW SAMPLE</v>
      </c>
      <c r="K893" s="5" t="n">
        <v>40</v>
      </c>
    </row>
    <row r="894" customFormat="false" ht="15" hidden="false" customHeight="false" outlineLevel="0" collapsed="false">
      <c r="A894" s="5" t="n">
        <v>2022</v>
      </c>
      <c r="B894" s="5" t="s">
        <v>224</v>
      </c>
      <c r="C894" s="5" t="s">
        <v>253</v>
      </c>
      <c r="D894" s="5" t="n">
        <v>7</v>
      </c>
      <c r="E894" s="13" t="n">
        <v>1.39</v>
      </c>
      <c r="F894" s="14" t="n">
        <f aca="false">E894*Assumptions!$D$5</f>
        <v>187.23653085137</v>
      </c>
      <c r="G894" s="14" t="n">
        <v>615</v>
      </c>
      <c r="H894" s="14" t="n">
        <v>855</v>
      </c>
      <c r="I894" s="14" t="n">
        <f aca="false">F894-(G894+H894)/2</f>
        <v>-547.763469148631</v>
      </c>
      <c r="J894" s="5" t="str">
        <f aca="false">IF(D894&lt;8,"LOW SAMPLE",IF(F894&gt;H894*(1+Assumptions!$B$10),"UNDERPAID",IF(F894&lt;G894*(1-Assumptions!$B$10),"OVERPAID","FAIR")))</f>
        <v>LOW SAMPLE</v>
      </c>
      <c r="K894" s="5" t="n">
        <v>110</v>
      </c>
    </row>
    <row r="895" customFormat="false" ht="15" hidden="false" customHeight="false" outlineLevel="0" collapsed="false">
      <c r="A895" s="5" t="n">
        <v>2022</v>
      </c>
      <c r="B895" s="5" t="s">
        <v>224</v>
      </c>
      <c r="C895" s="5" t="s">
        <v>755</v>
      </c>
      <c r="D895" s="5" t="n">
        <v>12</v>
      </c>
      <c r="E895" s="13" t="n">
        <v>1.8</v>
      </c>
      <c r="F895" s="14" t="n">
        <f aca="false">E895*Assumptions!$D$5</f>
        <v>242.464572325515</v>
      </c>
      <c r="G895" s="14" t="n">
        <v>225</v>
      </c>
      <c r="H895" s="14" t="n">
        <v>345</v>
      </c>
      <c r="I895" s="14" t="n">
        <f aca="false">F895-(G895+H895)/2</f>
        <v>-42.5354276744855</v>
      </c>
      <c r="J895" s="5" t="str">
        <f aca="false">IF(D895&lt;8,"LOW SAMPLE",IF(F895&gt;H895*(1+Assumptions!$B$10),"UNDERPAID",IF(F895&lt;G895*(1-Assumptions!$B$10),"OVERPAID","FAIR")))</f>
        <v>FAIR</v>
      </c>
      <c r="K895" s="5" t="n">
        <v>0</v>
      </c>
    </row>
    <row r="896" customFormat="false" ht="15" hidden="false" customHeight="false" outlineLevel="0" collapsed="false">
      <c r="A896" s="5" t="n">
        <v>2022</v>
      </c>
      <c r="B896" s="5" t="s">
        <v>224</v>
      </c>
      <c r="C896" s="5" t="s">
        <v>254</v>
      </c>
      <c r="D896" s="5" t="n">
        <v>2</v>
      </c>
      <c r="E896" s="13" t="n">
        <v>0.32</v>
      </c>
      <c r="F896" s="14" t="n">
        <f aca="false">E896*Assumptions!$D$5</f>
        <v>43.1048128578693</v>
      </c>
      <c r="G896" s="14" t="n">
        <v>450</v>
      </c>
      <c r="H896" s="14" t="n">
        <v>615</v>
      </c>
      <c r="I896" s="14" t="n">
        <f aca="false">F896-(G896+H896)/2</f>
        <v>-489.395187142131</v>
      </c>
      <c r="J896" s="5" t="str">
        <f aca="false">IF(D896&lt;8,"LOW SAMPLE",IF(F896&gt;H896*(1+Assumptions!$B$10),"UNDERPAID",IF(F896&lt;G896*(1-Assumptions!$B$10),"OVERPAID","FAIR")))</f>
        <v>LOW SAMPLE</v>
      </c>
      <c r="K896" s="5" t="n">
        <v>130</v>
      </c>
    </row>
    <row r="897" customFormat="false" ht="15" hidden="false" customHeight="false" outlineLevel="0" collapsed="false">
      <c r="A897" s="5" t="n">
        <v>2022</v>
      </c>
      <c r="B897" s="5" t="s">
        <v>224</v>
      </c>
      <c r="C897" s="5" t="s">
        <v>756</v>
      </c>
      <c r="D897" s="5" t="n">
        <v>5</v>
      </c>
      <c r="E897" s="13" t="n">
        <v>0.44</v>
      </c>
      <c r="F897" s="14" t="n">
        <f aca="false">E897*Assumptions!$D$5</f>
        <v>59.2691176795702</v>
      </c>
      <c r="G897" s="14" t="n">
        <v>225</v>
      </c>
      <c r="H897" s="14" t="n">
        <v>345</v>
      </c>
      <c r="I897" s="14" t="n">
        <f aca="false">F897-(G897+H897)/2</f>
        <v>-225.73088232043</v>
      </c>
      <c r="J897" s="5" t="str">
        <f aca="false">IF(D897&lt;8,"LOW SAMPLE",IF(F897&gt;H897*(1+Assumptions!$B$10),"UNDERPAID",IF(F897&lt;G897*(1-Assumptions!$B$10),"OVERPAID","FAIR")))</f>
        <v>LOW SAMPLE</v>
      </c>
      <c r="K897" s="5" t="n">
        <v>0</v>
      </c>
    </row>
    <row r="898" customFormat="false" ht="15" hidden="false" customHeight="false" outlineLevel="0" collapsed="false">
      <c r="A898" s="5" t="n">
        <v>2022</v>
      </c>
      <c r="B898" s="5" t="s">
        <v>224</v>
      </c>
      <c r="C898" s="5" t="s">
        <v>256</v>
      </c>
      <c r="D898" s="5" t="n">
        <v>21</v>
      </c>
      <c r="E898" s="13" t="n">
        <v>5.47</v>
      </c>
      <c r="F898" s="14" t="n">
        <f aca="false">E898*Assumptions!$D$5</f>
        <v>736.822894789203</v>
      </c>
      <c r="G898" s="14" t="n">
        <v>450</v>
      </c>
      <c r="H898" s="14" t="n">
        <v>615</v>
      </c>
      <c r="I898" s="14" t="n">
        <f aca="false">F898-(G898+H898)/2</f>
        <v>204.322894789202</v>
      </c>
      <c r="J898" s="5" t="str">
        <f aca="false">IF(D898&lt;8,"LOW SAMPLE",IF(F898&gt;H898*(1+Assumptions!$B$10),"UNDERPAID",IF(F898&lt;G898*(1-Assumptions!$B$10),"OVERPAID","FAIR")))</f>
        <v>UNDERPAID</v>
      </c>
      <c r="K898" s="5" t="n">
        <v>117</v>
      </c>
    </row>
    <row r="899" customFormat="false" ht="15" hidden="false" customHeight="false" outlineLevel="0" collapsed="false">
      <c r="A899" s="5" t="n">
        <v>2022</v>
      </c>
      <c r="B899" s="5" t="s">
        <v>224</v>
      </c>
      <c r="C899" s="5" t="s">
        <v>258</v>
      </c>
      <c r="D899" s="5" t="n">
        <v>14</v>
      </c>
      <c r="E899" s="13" t="n">
        <v>2.71</v>
      </c>
      <c r="F899" s="14" t="n">
        <f aca="false">E899*Assumptions!$D$5</f>
        <v>365.04388389008</v>
      </c>
      <c r="G899" s="14" t="n">
        <v>345</v>
      </c>
      <c r="H899" s="14" t="n">
        <v>450</v>
      </c>
      <c r="I899" s="14" t="n">
        <f aca="false">F899-(G899+H899)/2</f>
        <v>-32.4561161099198</v>
      </c>
      <c r="J899" s="5" t="str">
        <f aca="false">IF(D899&lt;8,"LOW SAMPLE",IF(F899&gt;H899*(1+Assumptions!$B$10),"UNDERPAID",IF(F899&lt;G899*(1-Assumptions!$B$10),"OVERPAID","FAIR")))</f>
        <v>FAIR</v>
      </c>
      <c r="K899" s="5" t="n">
        <v>32</v>
      </c>
    </row>
    <row r="900" customFormat="false" ht="15" hidden="false" customHeight="false" outlineLevel="0" collapsed="false">
      <c r="A900" s="5" t="n">
        <v>2022</v>
      </c>
      <c r="B900" s="5" t="s">
        <v>224</v>
      </c>
      <c r="C900" s="5" t="s">
        <v>259</v>
      </c>
      <c r="D900" s="5" t="n">
        <v>21</v>
      </c>
      <c r="E900" s="13" t="n">
        <v>5.51</v>
      </c>
      <c r="F900" s="14" t="n">
        <f aca="false">E900*Assumptions!$D$5</f>
        <v>742.210996396436</v>
      </c>
      <c r="G900" s="14" t="n">
        <v>615</v>
      </c>
      <c r="H900" s="14" t="n">
        <v>855</v>
      </c>
      <c r="I900" s="14" t="n">
        <f aca="false">F900-(G900+H900)/2</f>
        <v>7.21099639643603</v>
      </c>
      <c r="J900" s="5" t="str">
        <f aca="false">IF(D900&lt;8,"LOW SAMPLE",IF(F900&gt;H900*(1+Assumptions!$B$10),"UNDERPAID",IF(F900&lt;G900*(1-Assumptions!$B$10),"OVERPAID","FAIR")))</f>
        <v>FAIR</v>
      </c>
      <c r="K900" s="5" t="n">
        <v>62</v>
      </c>
    </row>
    <row r="901" customFormat="false" ht="15" hidden="false" customHeight="false" outlineLevel="0" collapsed="false">
      <c r="A901" s="5" t="n">
        <v>2022</v>
      </c>
      <c r="B901" s="5" t="s">
        <v>224</v>
      </c>
      <c r="C901" s="5" t="s">
        <v>263</v>
      </c>
      <c r="D901" s="5" t="n">
        <v>18</v>
      </c>
      <c r="E901" s="13" t="n">
        <v>2.36</v>
      </c>
      <c r="F901" s="14" t="n">
        <f aca="false">E901*Assumptions!$D$5</f>
        <v>317.897994826786</v>
      </c>
      <c r="G901" s="14" t="n">
        <v>345</v>
      </c>
      <c r="H901" s="14" t="n">
        <v>450</v>
      </c>
      <c r="I901" s="14" t="n">
        <f aca="false">F901-(G901+H901)/2</f>
        <v>-79.6020051732143</v>
      </c>
      <c r="J901" s="5" t="str">
        <f aca="false">IF(D901&lt;8,"LOW SAMPLE",IF(F901&gt;H901*(1+Assumptions!$B$10),"UNDERPAID",IF(F901&lt;G901*(1-Assumptions!$B$10),"OVERPAID","FAIR")))</f>
        <v>FAIR</v>
      </c>
      <c r="K901" s="5" t="n">
        <v>82</v>
      </c>
    </row>
    <row r="902" customFormat="false" ht="15" hidden="false" customHeight="false" outlineLevel="0" collapsed="false">
      <c r="A902" s="5" t="n">
        <v>2022</v>
      </c>
      <c r="B902" s="5" t="s">
        <v>224</v>
      </c>
      <c r="C902" s="5" t="s">
        <v>376</v>
      </c>
      <c r="D902" s="5" t="n">
        <v>24</v>
      </c>
      <c r="E902" s="13" t="n">
        <v>5.77</v>
      </c>
      <c r="F902" s="14" t="n">
        <f aca="false">E902*Assumptions!$D$5</f>
        <v>777.233656843455</v>
      </c>
      <c r="G902" s="14" t="n">
        <v>125</v>
      </c>
      <c r="H902" s="14" t="n">
        <v>225</v>
      </c>
      <c r="I902" s="14" t="n">
        <f aca="false">F902-(G902+H902)/2</f>
        <v>602.233656843455</v>
      </c>
      <c r="J902" s="5" t="str">
        <f aca="false">IF(D902&lt;8,"LOW SAMPLE",IF(F902&gt;H902*(1+Assumptions!$B$10),"UNDERPAID",IF(F902&lt;G902*(1-Assumptions!$B$10),"OVERPAID","FAIR")))</f>
        <v>UNDERPAID</v>
      </c>
      <c r="K902" s="5" t="n">
        <v>25</v>
      </c>
    </row>
    <row r="903" customFormat="false" ht="15" hidden="false" customHeight="false" outlineLevel="0" collapsed="false">
      <c r="A903" s="5" t="n">
        <v>2022</v>
      </c>
      <c r="B903" s="5" t="s">
        <v>264</v>
      </c>
      <c r="C903" s="5" t="s">
        <v>265</v>
      </c>
      <c r="D903" s="5" t="n">
        <v>18</v>
      </c>
      <c r="E903" s="13" t="n">
        <v>2.15</v>
      </c>
      <c r="F903" s="14" t="n">
        <f aca="false">E903*Assumptions!$D$5</f>
        <v>289.610461388809</v>
      </c>
      <c r="G903" s="14" t="n">
        <v>225</v>
      </c>
      <c r="H903" s="14" t="n">
        <v>345</v>
      </c>
      <c r="I903" s="14" t="n">
        <f aca="false">F903-(G903+H903)/2</f>
        <v>4.61046138880897</v>
      </c>
      <c r="J903" s="5" t="str">
        <f aca="false">IF(D903&lt;8,"LOW SAMPLE",IF(F903&gt;H903*(1+Assumptions!$B$10),"UNDERPAID",IF(F903&lt;G903*(1-Assumptions!$B$10),"OVERPAID","FAIR")))</f>
        <v>FAIR</v>
      </c>
      <c r="K903" s="5" t="n">
        <v>76</v>
      </c>
    </row>
    <row r="904" customFormat="false" ht="15" hidden="false" customHeight="false" outlineLevel="0" collapsed="false">
      <c r="A904" s="5" t="n">
        <v>2022</v>
      </c>
      <c r="B904" s="5" t="s">
        <v>264</v>
      </c>
      <c r="C904" s="5" t="s">
        <v>266</v>
      </c>
      <c r="D904" s="5" t="n">
        <v>11</v>
      </c>
      <c r="E904" s="13" t="n">
        <v>1.4</v>
      </c>
      <c r="F904" s="14" t="n">
        <f aca="false">E904*Assumptions!$D$5</f>
        <v>188.583556253178</v>
      </c>
      <c r="G904" s="14" t="n">
        <v>225</v>
      </c>
      <c r="H904" s="14" t="n">
        <v>345</v>
      </c>
      <c r="I904" s="14" t="n">
        <f aca="false">F904-(G904+H904)/2</f>
        <v>-96.4164437468221</v>
      </c>
      <c r="J904" s="5" t="str">
        <f aca="false">IF(D904&lt;8,"LOW SAMPLE",IF(F904&gt;H904*(1+Assumptions!$B$10),"UNDERPAID",IF(F904&lt;G904*(1-Assumptions!$B$10),"OVERPAID","FAIR")))</f>
        <v>OVERPAID</v>
      </c>
      <c r="K904" s="5" t="n">
        <v>30</v>
      </c>
    </row>
    <row r="905" customFormat="false" ht="15" hidden="false" customHeight="false" outlineLevel="0" collapsed="false">
      <c r="A905" s="5" t="n">
        <v>2022</v>
      </c>
      <c r="B905" s="5" t="s">
        <v>264</v>
      </c>
      <c r="C905" s="5" t="s">
        <v>757</v>
      </c>
      <c r="D905" s="5" t="n">
        <v>10</v>
      </c>
      <c r="E905" s="13" t="n">
        <v>2.68</v>
      </c>
      <c r="F905" s="14" t="n">
        <f aca="false">E905*Assumptions!$D$5</f>
        <v>361.002807684655</v>
      </c>
      <c r="G905" s="14" t="n">
        <v>125</v>
      </c>
      <c r="H905" s="14" t="n">
        <v>225</v>
      </c>
      <c r="I905" s="14" t="n">
        <f aca="false">F905-(G905+H905)/2</f>
        <v>186.002807684655</v>
      </c>
      <c r="J905" s="5" t="str">
        <f aca="false">IF(D905&lt;8,"LOW SAMPLE",IF(F905&gt;H905*(1+Assumptions!$B$10),"UNDERPAID",IF(F905&lt;G905*(1-Assumptions!$B$10),"OVERPAID","FAIR")))</f>
        <v>UNDERPAID</v>
      </c>
      <c r="K905" s="5" t="n">
        <v>18</v>
      </c>
    </row>
    <row r="906" customFormat="false" ht="15" hidden="false" customHeight="false" outlineLevel="0" collapsed="false">
      <c r="A906" s="5" t="n">
        <v>2022</v>
      </c>
      <c r="B906" s="5" t="s">
        <v>264</v>
      </c>
      <c r="C906" s="5" t="s">
        <v>268</v>
      </c>
      <c r="D906" s="5" t="n">
        <v>22</v>
      </c>
      <c r="E906" s="13" t="n">
        <v>4.19</v>
      </c>
      <c r="F906" s="14" t="n">
        <f aca="false">E906*Assumptions!$D$5</f>
        <v>564.403643357726</v>
      </c>
      <c r="G906" s="14" t="n">
        <v>345</v>
      </c>
      <c r="H906" s="14" t="n">
        <v>450</v>
      </c>
      <c r="I906" s="14" t="n">
        <f aca="false">F906-(G906+H906)/2</f>
        <v>166.903643357726</v>
      </c>
      <c r="J906" s="5" t="str">
        <f aca="false">IF(D906&lt;8,"LOW SAMPLE",IF(F906&gt;H906*(1+Assumptions!$B$10),"UNDERPAID",IF(F906&lt;G906*(1-Assumptions!$B$10),"OVERPAID","FAIR")))</f>
        <v>UNDERPAID</v>
      </c>
      <c r="K906" s="5" t="n">
        <v>127</v>
      </c>
    </row>
    <row r="907" customFormat="false" ht="15" hidden="false" customHeight="false" outlineLevel="0" collapsed="false">
      <c r="A907" s="5" t="n">
        <v>2022</v>
      </c>
      <c r="B907" s="5" t="s">
        <v>264</v>
      </c>
      <c r="C907" s="5" t="s">
        <v>154</v>
      </c>
      <c r="D907" s="5" t="n">
        <v>8</v>
      </c>
      <c r="E907" s="13" t="n">
        <v>0.92</v>
      </c>
      <c r="F907" s="14" t="n">
        <f aca="false">E907*Assumptions!$D$5</f>
        <v>123.926336966374</v>
      </c>
      <c r="G907" s="14" t="n">
        <v>345</v>
      </c>
      <c r="H907" s="14" t="n">
        <v>450</v>
      </c>
      <c r="I907" s="14" t="n">
        <f aca="false">F907-(G907+H907)/2</f>
        <v>-273.573663033626</v>
      </c>
      <c r="J907" s="5" t="str">
        <f aca="false">IF(D907&lt;8,"LOW SAMPLE",IF(F907&gt;H907*(1+Assumptions!$B$10),"UNDERPAID",IF(F907&lt;G907*(1-Assumptions!$B$10),"OVERPAID","FAIR")))</f>
        <v>OVERPAID</v>
      </c>
      <c r="K907" s="5" t="n">
        <v>66</v>
      </c>
    </row>
    <row r="908" customFormat="false" ht="15" hidden="false" customHeight="false" outlineLevel="0" collapsed="false">
      <c r="A908" s="5" t="n">
        <v>2022</v>
      </c>
      <c r="B908" s="5" t="s">
        <v>264</v>
      </c>
      <c r="C908" s="5" t="s">
        <v>269</v>
      </c>
      <c r="D908" s="5" t="n">
        <v>16</v>
      </c>
      <c r="E908" s="13" t="n">
        <v>2.29</v>
      </c>
      <c r="F908" s="14" t="n">
        <f aca="false">E908*Assumptions!$D$5</f>
        <v>308.468817014127</v>
      </c>
      <c r="G908" s="14" t="n">
        <v>225</v>
      </c>
      <c r="H908" s="14" t="n">
        <v>345</v>
      </c>
      <c r="I908" s="14" t="n">
        <f aca="false">F908-(G908+H908)/2</f>
        <v>23.4688170141268</v>
      </c>
      <c r="J908" s="5" t="str">
        <f aca="false">IF(D908&lt;8,"LOW SAMPLE",IF(F908&gt;H908*(1+Assumptions!$B$10),"UNDERPAID",IF(F908&lt;G908*(1-Assumptions!$B$10),"OVERPAID","FAIR")))</f>
        <v>FAIR</v>
      </c>
      <c r="K908" s="5" t="n">
        <v>26</v>
      </c>
    </row>
    <row r="909" customFormat="false" ht="15" hidden="false" customHeight="false" outlineLevel="0" collapsed="false">
      <c r="A909" s="5" t="n">
        <v>2022</v>
      </c>
      <c r="B909" s="5" t="s">
        <v>264</v>
      </c>
      <c r="C909" s="5" t="s">
        <v>270</v>
      </c>
      <c r="D909" s="5" t="n">
        <v>1</v>
      </c>
      <c r="E909" s="13" t="n">
        <v>0.06</v>
      </c>
      <c r="F909" s="14" t="n">
        <f aca="false">E909*Assumptions!$D$5</f>
        <v>8.08215241085048</v>
      </c>
      <c r="G909" s="14" t="n">
        <v>125</v>
      </c>
      <c r="H909" s="14" t="n">
        <v>225</v>
      </c>
      <c r="I909" s="14" t="n">
        <f aca="false">F909-(G909+H909)/2</f>
        <v>-166.91784758915</v>
      </c>
      <c r="J909" s="5" t="str">
        <f aca="false">IF(D909&lt;8,"LOW SAMPLE",IF(F909&gt;H909*(1+Assumptions!$B$10),"UNDERPAID",IF(F909&lt;G909*(1-Assumptions!$B$10),"OVERPAID","FAIR")))</f>
        <v>LOW SAMPLE</v>
      </c>
      <c r="K909" s="5" t="n">
        <v>5</v>
      </c>
    </row>
    <row r="910" customFormat="false" ht="15" hidden="false" customHeight="false" outlineLevel="0" collapsed="false">
      <c r="A910" s="5" t="n">
        <v>2022</v>
      </c>
      <c r="B910" s="5" t="s">
        <v>264</v>
      </c>
      <c r="C910" s="5" t="s">
        <v>758</v>
      </c>
      <c r="D910" s="5" t="n">
        <v>4</v>
      </c>
      <c r="E910" s="13" t="n">
        <v>0.36</v>
      </c>
      <c r="F910" s="14" t="n">
        <f aca="false">E910*Assumptions!$D$5</f>
        <v>48.4929144651029</v>
      </c>
      <c r="G910" s="14" t="n">
        <v>225</v>
      </c>
      <c r="H910" s="14" t="n">
        <v>345</v>
      </c>
      <c r="I910" s="14" t="n">
        <f aca="false">F910-(G910+H910)/2</f>
        <v>-236.507085534897</v>
      </c>
      <c r="J910" s="5" t="str">
        <f aca="false">IF(D910&lt;8,"LOW SAMPLE",IF(F910&gt;H910*(1+Assumptions!$B$10),"UNDERPAID",IF(F910&lt;G910*(1-Assumptions!$B$10),"OVERPAID","FAIR")))</f>
        <v>LOW SAMPLE</v>
      </c>
      <c r="K910" s="5" t="n">
        <v>0</v>
      </c>
    </row>
    <row r="911" customFormat="false" ht="15" hidden="false" customHeight="false" outlineLevel="0" collapsed="false">
      <c r="A911" s="5" t="n">
        <v>2022</v>
      </c>
      <c r="B911" s="5" t="s">
        <v>264</v>
      </c>
      <c r="C911" s="5" t="s">
        <v>271</v>
      </c>
      <c r="D911" s="5" t="n">
        <v>11</v>
      </c>
      <c r="E911" s="13" t="n">
        <v>1.23</v>
      </c>
      <c r="F911" s="14" t="n">
        <f aca="false">E911*Assumptions!$D$5</f>
        <v>165.684124422435</v>
      </c>
      <c r="G911" s="14" t="n">
        <v>345</v>
      </c>
      <c r="H911" s="14" t="n">
        <v>450</v>
      </c>
      <c r="I911" s="14" t="n">
        <f aca="false">F911-(G911+H911)/2</f>
        <v>-231.815875577565</v>
      </c>
      <c r="J911" s="5" t="str">
        <f aca="false">IF(D911&lt;8,"LOW SAMPLE",IF(F911&gt;H911*(1+Assumptions!$B$10),"UNDERPAID",IF(F911&lt;G911*(1-Assumptions!$B$10),"OVERPAID","FAIR")))</f>
        <v>OVERPAID</v>
      </c>
      <c r="K911" s="5" t="n">
        <v>67</v>
      </c>
    </row>
    <row r="912" customFormat="false" ht="15" hidden="false" customHeight="false" outlineLevel="0" collapsed="false">
      <c r="A912" s="5" t="n">
        <v>2022</v>
      </c>
      <c r="B912" s="5" t="s">
        <v>264</v>
      </c>
      <c r="C912" s="5" t="s">
        <v>759</v>
      </c>
      <c r="D912" s="5" t="n">
        <v>5</v>
      </c>
      <c r="E912" s="13" t="n">
        <v>0.65</v>
      </c>
      <c r="F912" s="14" t="n">
        <f aca="false">E912*Assumptions!$D$5</f>
        <v>87.5566511175469</v>
      </c>
      <c r="G912" s="14" t="n">
        <v>225</v>
      </c>
      <c r="H912" s="14" t="n">
        <v>345</v>
      </c>
      <c r="I912" s="14" t="n">
        <f aca="false">F912-(G912+H912)/2</f>
        <v>-197.443348882453</v>
      </c>
      <c r="J912" s="5" t="str">
        <f aca="false">IF(D912&lt;8,"LOW SAMPLE",IF(F912&gt;H912*(1+Assumptions!$B$10),"UNDERPAID",IF(F912&lt;G912*(1-Assumptions!$B$10),"OVERPAID","FAIR")))</f>
        <v>LOW SAMPLE</v>
      </c>
      <c r="K912" s="5" t="n">
        <v>0</v>
      </c>
    </row>
    <row r="913" customFormat="false" ht="15" hidden="false" customHeight="false" outlineLevel="0" collapsed="false">
      <c r="A913" s="5" t="n">
        <v>2022</v>
      </c>
      <c r="B913" s="5" t="s">
        <v>264</v>
      </c>
      <c r="C913" s="5" t="s">
        <v>272</v>
      </c>
      <c r="D913" s="5" t="n">
        <v>22</v>
      </c>
      <c r="E913" s="13" t="n">
        <v>5.49</v>
      </c>
      <c r="F913" s="14" t="n">
        <f aca="false">E913*Assumptions!$D$5</f>
        <v>739.516945592819</v>
      </c>
      <c r="G913" s="14" t="n">
        <v>615</v>
      </c>
      <c r="H913" s="14" t="n">
        <v>855</v>
      </c>
      <c r="I913" s="14" t="n">
        <f aca="false">F913-(G913+H913)/2</f>
        <v>4.5169455928193</v>
      </c>
      <c r="J913" s="5" t="str">
        <f aca="false">IF(D913&lt;8,"LOW SAMPLE",IF(F913&gt;H913*(1+Assumptions!$B$10),"UNDERPAID",IF(F913&lt;G913*(1-Assumptions!$B$10),"OVERPAID","FAIR")))</f>
        <v>FAIR</v>
      </c>
      <c r="K913" s="5" t="n">
        <v>105</v>
      </c>
    </row>
    <row r="914" customFormat="false" ht="15" hidden="false" customHeight="false" outlineLevel="0" collapsed="false">
      <c r="A914" s="5" t="n">
        <v>2022</v>
      </c>
      <c r="B914" s="5" t="s">
        <v>264</v>
      </c>
      <c r="C914" s="5" t="s">
        <v>273</v>
      </c>
      <c r="D914" s="5" t="n">
        <v>16</v>
      </c>
      <c r="E914" s="13" t="n">
        <v>3.27</v>
      </c>
      <c r="F914" s="14" t="n">
        <f aca="false">E914*Assumptions!$D$5</f>
        <v>440.477306391351</v>
      </c>
      <c r="G914" s="14" t="n">
        <v>450</v>
      </c>
      <c r="H914" s="14" t="n">
        <v>615</v>
      </c>
      <c r="I914" s="14" t="n">
        <f aca="false">F914-(G914+H914)/2</f>
        <v>-92.0226936086486</v>
      </c>
      <c r="J914" s="5" t="str">
        <f aca="false">IF(D914&lt;8,"LOW SAMPLE",IF(F914&gt;H914*(1+Assumptions!$B$10),"UNDERPAID",IF(F914&lt;G914*(1-Assumptions!$B$10),"OVERPAID","FAIR")))</f>
        <v>FAIR</v>
      </c>
      <c r="K914" s="5" t="n">
        <v>70</v>
      </c>
    </row>
    <row r="915" customFormat="false" ht="15" hidden="false" customHeight="false" outlineLevel="0" collapsed="false">
      <c r="A915" s="5" t="n">
        <v>2022</v>
      </c>
      <c r="B915" s="5" t="s">
        <v>264</v>
      </c>
      <c r="C915" s="5" t="s">
        <v>274</v>
      </c>
      <c r="D915" s="5" t="n">
        <v>21</v>
      </c>
      <c r="E915" s="13" t="n">
        <v>4.77</v>
      </c>
      <c r="F915" s="14" t="n">
        <f aca="false">E915*Assumptions!$D$5</f>
        <v>642.531116662613</v>
      </c>
      <c r="G915" s="14" t="n">
        <v>345</v>
      </c>
      <c r="H915" s="14" t="n">
        <v>450</v>
      </c>
      <c r="I915" s="14" t="n">
        <f aca="false">F915-(G915+H915)/2</f>
        <v>245.031116662613</v>
      </c>
      <c r="J915" s="5" t="str">
        <f aca="false">IF(D915&lt;8,"LOW SAMPLE",IF(F915&gt;H915*(1+Assumptions!$B$10),"UNDERPAID",IF(F915&lt;G915*(1-Assumptions!$B$10),"OVERPAID","FAIR")))</f>
        <v>UNDERPAID</v>
      </c>
      <c r="K915" s="5" t="n">
        <v>34</v>
      </c>
    </row>
    <row r="916" customFormat="false" ht="15" hidden="false" customHeight="false" outlineLevel="0" collapsed="false">
      <c r="A916" s="5" t="n">
        <v>2022</v>
      </c>
      <c r="B916" s="5" t="s">
        <v>264</v>
      </c>
      <c r="C916" s="5" t="s">
        <v>276</v>
      </c>
      <c r="D916" s="5" t="n">
        <v>7</v>
      </c>
      <c r="E916" s="13" t="n">
        <v>1.36</v>
      </c>
      <c r="F916" s="14" t="n">
        <f aca="false">E916*Assumptions!$D$5</f>
        <v>183.195454645944</v>
      </c>
      <c r="G916" s="14" t="n">
        <v>615</v>
      </c>
      <c r="H916" s="14" t="n">
        <v>855</v>
      </c>
      <c r="I916" s="14" t="n">
        <f aca="false">F916-(G916+H916)/2</f>
        <v>-551.804545354056</v>
      </c>
      <c r="J916" s="5" t="str">
        <f aca="false">IF(D916&lt;8,"LOW SAMPLE",IF(F916&gt;H916*(1+Assumptions!$B$10),"UNDERPAID",IF(F916&lt;G916*(1-Assumptions!$B$10),"OVERPAID","FAIR")))</f>
        <v>LOW SAMPLE</v>
      </c>
      <c r="K916" s="5" t="n">
        <v>107</v>
      </c>
    </row>
    <row r="917" customFormat="false" ht="15" hidden="false" customHeight="false" outlineLevel="0" collapsed="false">
      <c r="A917" s="5" t="n">
        <v>2022</v>
      </c>
      <c r="B917" s="5" t="s">
        <v>264</v>
      </c>
      <c r="C917" s="5" t="s">
        <v>760</v>
      </c>
      <c r="D917" s="5" t="n">
        <v>10</v>
      </c>
      <c r="E917" s="13" t="n">
        <v>1.42</v>
      </c>
      <c r="F917" s="14" t="n">
        <f aca="false">E917*Assumptions!$D$5</f>
        <v>191.277607056795</v>
      </c>
      <c r="G917" s="14" t="n">
        <v>225</v>
      </c>
      <c r="H917" s="14" t="n">
        <v>345</v>
      </c>
      <c r="I917" s="14" t="n">
        <f aca="false">F917-(G917+H917)/2</f>
        <v>-93.7223929432052</v>
      </c>
      <c r="J917" s="5" t="str">
        <f aca="false">IF(D917&lt;8,"LOW SAMPLE",IF(F917&gt;H917*(1+Assumptions!$B$10),"UNDERPAID",IF(F917&lt;G917*(1-Assumptions!$B$10),"OVERPAID","FAIR")))</f>
        <v>FAIR</v>
      </c>
      <c r="K917" s="5" t="n">
        <v>0</v>
      </c>
    </row>
    <row r="918" customFormat="false" ht="15" hidden="false" customHeight="false" outlineLevel="0" collapsed="false">
      <c r="A918" s="5" t="n">
        <v>2022</v>
      </c>
      <c r="B918" s="5" t="s">
        <v>264</v>
      </c>
      <c r="C918" s="5" t="s">
        <v>277</v>
      </c>
      <c r="D918" s="5" t="n">
        <v>15</v>
      </c>
      <c r="E918" s="13" t="n">
        <v>2.29</v>
      </c>
      <c r="F918" s="14" t="n">
        <f aca="false">E918*Assumptions!$D$5</f>
        <v>308.468817014127</v>
      </c>
      <c r="G918" s="14" t="n">
        <v>125</v>
      </c>
      <c r="H918" s="14" t="n">
        <v>225</v>
      </c>
      <c r="I918" s="14" t="n">
        <f aca="false">F918-(G918+H918)/2</f>
        <v>133.468817014127</v>
      </c>
      <c r="J918" s="5" t="str">
        <f aca="false">IF(D918&lt;8,"LOW SAMPLE",IF(F918&gt;H918*(1+Assumptions!$B$10),"UNDERPAID",IF(F918&lt;G918*(1-Assumptions!$B$10),"OVERPAID","FAIR")))</f>
        <v>UNDERPAID</v>
      </c>
      <c r="K918" s="5" t="n">
        <v>14</v>
      </c>
    </row>
    <row r="919" customFormat="false" ht="15" hidden="false" customHeight="false" outlineLevel="0" collapsed="false">
      <c r="A919" s="5" t="n">
        <v>2022</v>
      </c>
      <c r="B919" s="5" t="s">
        <v>264</v>
      </c>
      <c r="C919" s="5" t="s">
        <v>278</v>
      </c>
      <c r="D919" s="5" t="n">
        <v>9</v>
      </c>
      <c r="E919" s="13" t="n">
        <v>0.91</v>
      </c>
      <c r="F919" s="14" t="n">
        <f aca="false">E919*Assumptions!$D$5</f>
        <v>122.579311564566</v>
      </c>
      <c r="G919" s="14" t="n">
        <v>125</v>
      </c>
      <c r="H919" s="14" t="n">
        <v>225</v>
      </c>
      <c r="I919" s="14" t="n">
        <f aca="false">F919-(G919+H919)/2</f>
        <v>-52.4206884354343</v>
      </c>
      <c r="J919" s="5" t="str">
        <f aca="false">IF(D919&lt;8,"LOW SAMPLE",IF(F919&gt;H919*(1+Assumptions!$B$10),"UNDERPAID",IF(F919&lt;G919*(1-Assumptions!$B$10),"OVERPAID","FAIR")))</f>
        <v>FAIR</v>
      </c>
      <c r="K919" s="5" t="n">
        <v>11</v>
      </c>
    </row>
    <row r="920" customFormat="false" ht="15" hidden="false" customHeight="false" outlineLevel="0" collapsed="false">
      <c r="A920" s="5" t="n">
        <v>2022</v>
      </c>
      <c r="B920" s="5" t="s">
        <v>264</v>
      </c>
      <c r="C920" s="5" t="s">
        <v>279</v>
      </c>
      <c r="D920" s="5" t="n">
        <v>12</v>
      </c>
      <c r="E920" s="13" t="n">
        <v>1.56</v>
      </c>
      <c r="F920" s="14" t="n">
        <f aca="false">E920*Assumptions!$D$5</f>
        <v>210.135962682113</v>
      </c>
      <c r="G920" s="14" t="n">
        <v>125</v>
      </c>
      <c r="H920" s="14" t="n">
        <v>225</v>
      </c>
      <c r="I920" s="14" t="n">
        <f aca="false">F920-(G920+H920)/2</f>
        <v>35.1359626821126</v>
      </c>
      <c r="J920" s="5" t="str">
        <f aca="false">IF(D920&lt;8,"LOW SAMPLE",IF(F920&gt;H920*(1+Assumptions!$B$10),"UNDERPAID",IF(F920&lt;G920*(1-Assumptions!$B$10),"OVERPAID","FAIR")))</f>
        <v>FAIR</v>
      </c>
      <c r="K920" s="5" t="n">
        <v>4</v>
      </c>
    </row>
    <row r="921" customFormat="false" ht="15" hidden="false" customHeight="false" outlineLevel="0" collapsed="false">
      <c r="A921" s="5" t="n">
        <v>2022</v>
      </c>
      <c r="B921" s="5" t="s">
        <v>264</v>
      </c>
      <c r="C921" s="5" t="s">
        <v>663</v>
      </c>
      <c r="D921" s="5" t="n">
        <v>5</v>
      </c>
      <c r="E921" s="13" t="n">
        <v>0.7</v>
      </c>
      <c r="F921" s="14" t="n">
        <f aca="false">E921*Assumptions!$D$5</f>
        <v>94.291778126589</v>
      </c>
      <c r="G921" s="14" t="n">
        <v>125</v>
      </c>
      <c r="H921" s="14" t="n">
        <v>225</v>
      </c>
      <c r="I921" s="14" t="n">
        <f aca="false">F921-(G921+H921)/2</f>
        <v>-80.708221873411</v>
      </c>
      <c r="J921" s="5" t="str">
        <f aca="false">IF(D921&lt;8,"LOW SAMPLE",IF(F921&gt;H921*(1+Assumptions!$B$10),"UNDERPAID",IF(F921&lt;G921*(1-Assumptions!$B$10),"OVERPAID","FAIR")))</f>
        <v>LOW SAMPLE</v>
      </c>
      <c r="K921" s="5" t="n">
        <v>22</v>
      </c>
    </row>
    <row r="922" customFormat="false" ht="15" hidden="false" customHeight="false" outlineLevel="0" collapsed="false">
      <c r="A922" s="5" t="n">
        <v>2022</v>
      </c>
      <c r="B922" s="5" t="s">
        <v>264</v>
      </c>
      <c r="C922" s="5" t="s">
        <v>281</v>
      </c>
      <c r="D922" s="5" t="n">
        <v>18</v>
      </c>
      <c r="E922" s="13" t="n">
        <v>4.55</v>
      </c>
      <c r="F922" s="14" t="n">
        <f aca="false">E922*Assumptions!$D$5</f>
        <v>612.896557822828</v>
      </c>
      <c r="G922" s="14" t="n">
        <v>225</v>
      </c>
      <c r="H922" s="14" t="n">
        <v>345</v>
      </c>
      <c r="I922" s="14" t="n">
        <f aca="false">F922-(G922+H922)/2</f>
        <v>327.896557822828</v>
      </c>
      <c r="J922" s="5" t="str">
        <f aca="false">IF(D922&lt;8,"LOW SAMPLE",IF(F922&gt;H922*(1+Assumptions!$B$10),"UNDERPAID",IF(F922&lt;G922*(1-Assumptions!$B$10),"OVERPAID","FAIR")))</f>
        <v>UNDERPAID</v>
      </c>
      <c r="K922" s="5" t="n">
        <v>99</v>
      </c>
    </row>
    <row r="923" customFormat="false" ht="15" hidden="false" customHeight="false" outlineLevel="0" collapsed="false">
      <c r="A923" s="5" t="n">
        <v>2022</v>
      </c>
      <c r="B923" s="5" t="s">
        <v>264</v>
      </c>
      <c r="C923" s="5" t="s">
        <v>282</v>
      </c>
      <c r="D923" s="5" t="n">
        <v>21</v>
      </c>
      <c r="E923" s="13" t="n">
        <v>5.37</v>
      </c>
      <c r="F923" s="14" t="n">
        <f aca="false">E923*Assumptions!$D$5</f>
        <v>723.352640771118</v>
      </c>
      <c r="G923" s="14" t="n">
        <v>615</v>
      </c>
      <c r="H923" s="14" t="n">
        <v>855</v>
      </c>
      <c r="I923" s="14" t="n">
        <f aca="false">F923-(G923+H923)/2</f>
        <v>-11.6473592288817</v>
      </c>
      <c r="J923" s="5" t="str">
        <f aca="false">IF(D923&lt;8,"LOW SAMPLE",IF(F923&gt;H923*(1+Assumptions!$B$10),"UNDERPAID",IF(F923&lt;G923*(1-Assumptions!$B$10),"OVERPAID","FAIR")))</f>
        <v>FAIR</v>
      </c>
      <c r="K923" s="5" t="n">
        <v>137</v>
      </c>
    </row>
    <row r="924" customFormat="false" ht="15" hidden="false" customHeight="false" outlineLevel="0" collapsed="false">
      <c r="A924" s="5" t="n">
        <v>2022</v>
      </c>
      <c r="B924" s="5" t="s">
        <v>264</v>
      </c>
      <c r="C924" s="5" t="s">
        <v>283</v>
      </c>
      <c r="D924" s="5" t="n">
        <v>4</v>
      </c>
      <c r="E924" s="13" t="n">
        <v>0.78</v>
      </c>
      <c r="F924" s="14" t="n">
        <f aca="false">E924*Assumptions!$D$5</f>
        <v>105.067981341056</v>
      </c>
      <c r="G924" s="14" t="n">
        <v>125</v>
      </c>
      <c r="H924" s="14" t="n">
        <v>225</v>
      </c>
      <c r="I924" s="14" t="n">
        <f aca="false">F924-(G924+H924)/2</f>
        <v>-69.9320186589437</v>
      </c>
      <c r="J924" s="5" t="str">
        <f aca="false">IF(D924&lt;8,"LOW SAMPLE",IF(F924&gt;H924*(1+Assumptions!$B$10),"UNDERPAID",IF(F924&lt;G924*(1-Assumptions!$B$10),"OVERPAID","FAIR")))</f>
        <v>LOW SAMPLE</v>
      </c>
      <c r="K924" s="5" t="n">
        <v>5</v>
      </c>
    </row>
    <row r="925" customFormat="false" ht="15" hidden="false" customHeight="false" outlineLevel="0" collapsed="false">
      <c r="A925" s="5" t="n">
        <v>2022</v>
      </c>
      <c r="B925" s="5" t="s">
        <v>264</v>
      </c>
      <c r="C925" s="5" t="s">
        <v>284</v>
      </c>
      <c r="D925" s="5" t="n">
        <v>21</v>
      </c>
      <c r="E925" s="13" t="n">
        <v>3.23</v>
      </c>
      <c r="F925" s="14" t="n">
        <f aca="false">E925*Assumptions!$D$5</f>
        <v>435.089204784118</v>
      </c>
      <c r="G925" s="14" t="n">
        <v>345</v>
      </c>
      <c r="H925" s="14" t="n">
        <v>450</v>
      </c>
      <c r="I925" s="14" t="n">
        <f aca="false">F925-(G925+H925)/2</f>
        <v>37.5892047841177</v>
      </c>
      <c r="J925" s="5" t="str">
        <f aca="false">IF(D925&lt;8,"LOW SAMPLE",IF(F925&gt;H925*(1+Assumptions!$B$10),"UNDERPAID",IF(F925&lt;G925*(1-Assumptions!$B$10),"OVERPAID","FAIR")))</f>
        <v>FAIR</v>
      </c>
      <c r="K925" s="5" t="n">
        <v>35</v>
      </c>
    </row>
    <row r="926" customFormat="false" ht="15" hidden="false" customHeight="false" outlineLevel="0" collapsed="false">
      <c r="A926" s="5" t="n">
        <v>2022</v>
      </c>
      <c r="B926" s="5" t="s">
        <v>264</v>
      </c>
      <c r="C926" s="5" t="s">
        <v>285</v>
      </c>
      <c r="D926" s="5" t="n">
        <v>18</v>
      </c>
      <c r="E926" s="13" t="n">
        <v>3.73</v>
      </c>
      <c r="F926" s="14" t="n">
        <f aca="false">E926*Assumptions!$D$5</f>
        <v>502.440474874538</v>
      </c>
      <c r="G926" s="14" t="n">
        <v>450</v>
      </c>
      <c r="H926" s="14" t="n">
        <v>615</v>
      </c>
      <c r="I926" s="14" t="n">
        <f aca="false">F926-(G926+H926)/2</f>
        <v>-30.0595251254616</v>
      </c>
      <c r="J926" s="5" t="str">
        <f aca="false">IF(D926&lt;8,"LOW SAMPLE",IF(F926&gt;H926*(1+Assumptions!$B$10),"UNDERPAID",IF(F926&lt;G926*(1-Assumptions!$B$10),"OVERPAID","FAIR")))</f>
        <v>FAIR</v>
      </c>
      <c r="K926" s="5" t="n">
        <v>137</v>
      </c>
    </row>
    <row r="927" customFormat="false" ht="15" hidden="false" customHeight="false" outlineLevel="0" collapsed="false">
      <c r="A927" s="5" t="n">
        <v>2022</v>
      </c>
      <c r="B927" s="5" t="s">
        <v>264</v>
      </c>
      <c r="C927" s="5" t="s">
        <v>286</v>
      </c>
      <c r="D927" s="5" t="n">
        <v>18</v>
      </c>
      <c r="E927" s="13" t="n">
        <v>2</v>
      </c>
      <c r="F927" s="14" t="n">
        <f aca="false">E927*Assumptions!$D$5</f>
        <v>269.405080361683</v>
      </c>
      <c r="G927" s="14" t="n">
        <v>225</v>
      </c>
      <c r="H927" s="14" t="n">
        <v>345</v>
      </c>
      <c r="I927" s="14" t="n">
        <f aca="false">F927-(G927+H927)/2</f>
        <v>-15.5949196383172</v>
      </c>
      <c r="J927" s="5" t="str">
        <f aca="false">IF(D927&lt;8,"LOW SAMPLE",IF(F927&gt;H927*(1+Assumptions!$B$10),"UNDERPAID",IF(F927&lt;G927*(1-Assumptions!$B$10),"OVERPAID","FAIR")))</f>
        <v>FAIR</v>
      </c>
      <c r="K927" s="5" t="n">
        <v>39</v>
      </c>
    </row>
    <row r="928" customFormat="false" ht="15" hidden="false" customHeight="false" outlineLevel="0" collapsed="false">
      <c r="A928" s="5" t="n">
        <v>2022</v>
      </c>
      <c r="B928" s="5" t="s">
        <v>264</v>
      </c>
      <c r="C928" s="5" t="s">
        <v>761</v>
      </c>
      <c r="D928" s="5" t="n">
        <v>4</v>
      </c>
      <c r="E928" s="13" t="n">
        <v>0.49</v>
      </c>
      <c r="F928" s="14" t="n">
        <f aca="false">E928*Assumptions!$D$5</f>
        <v>66.0042446886123</v>
      </c>
      <c r="G928" s="14" t="n">
        <v>225</v>
      </c>
      <c r="H928" s="14" t="n">
        <v>345</v>
      </c>
      <c r="I928" s="14" t="n">
        <f aca="false">F928-(G928+H928)/2</f>
        <v>-218.995755311388</v>
      </c>
      <c r="J928" s="5" t="str">
        <f aca="false">IF(D928&lt;8,"LOW SAMPLE",IF(F928&gt;H928*(1+Assumptions!$B$10),"UNDERPAID",IF(F928&lt;G928*(1-Assumptions!$B$10),"OVERPAID","FAIR")))</f>
        <v>LOW SAMPLE</v>
      </c>
      <c r="K928" s="5" t="n">
        <v>0</v>
      </c>
    </row>
    <row r="929" customFormat="false" ht="15" hidden="false" customHeight="false" outlineLevel="0" collapsed="false">
      <c r="A929" s="5" t="n">
        <v>2022</v>
      </c>
      <c r="B929" s="5" t="s">
        <v>264</v>
      </c>
      <c r="C929" s="5" t="s">
        <v>288</v>
      </c>
      <c r="D929" s="5" t="n">
        <v>12</v>
      </c>
      <c r="E929" s="13" t="n">
        <v>2.49</v>
      </c>
      <c r="F929" s="14" t="n">
        <f aca="false">E929*Assumptions!$D$5</f>
        <v>335.409325050295</v>
      </c>
      <c r="G929" s="14" t="n">
        <v>345</v>
      </c>
      <c r="H929" s="14" t="n">
        <v>450</v>
      </c>
      <c r="I929" s="14" t="n">
        <f aca="false">F929-(G929+H929)/2</f>
        <v>-62.0906749497049</v>
      </c>
      <c r="J929" s="5" t="str">
        <f aca="false">IF(D929&lt;8,"LOW SAMPLE",IF(F929&gt;H929*(1+Assumptions!$B$10),"UNDERPAID",IF(F929&lt;G929*(1-Assumptions!$B$10),"OVERPAID","FAIR")))</f>
        <v>FAIR</v>
      </c>
      <c r="K929" s="5" t="n">
        <v>12</v>
      </c>
    </row>
    <row r="930" customFormat="false" ht="15" hidden="false" customHeight="false" outlineLevel="0" collapsed="false">
      <c r="A930" s="5" t="n">
        <v>2022</v>
      </c>
      <c r="B930" s="5" t="s">
        <v>264</v>
      </c>
      <c r="C930" s="5" t="s">
        <v>289</v>
      </c>
      <c r="D930" s="5" t="n">
        <v>12</v>
      </c>
      <c r="E930" s="13" t="n">
        <v>1.24</v>
      </c>
      <c r="F930" s="14" t="n">
        <f aca="false">E930*Assumptions!$D$5</f>
        <v>167.031149824243</v>
      </c>
      <c r="G930" s="14" t="n">
        <v>225</v>
      </c>
      <c r="H930" s="14" t="n">
        <v>345</v>
      </c>
      <c r="I930" s="14" t="n">
        <f aca="false">F930-(G930+H930)/2</f>
        <v>-117.968850175757</v>
      </c>
      <c r="J930" s="5" t="str">
        <f aca="false">IF(D930&lt;8,"LOW SAMPLE",IF(F930&gt;H930*(1+Assumptions!$B$10),"UNDERPAID",IF(F930&lt;G930*(1-Assumptions!$B$10),"OVERPAID","FAIR")))</f>
        <v>OVERPAID</v>
      </c>
      <c r="K930" s="5" t="n">
        <v>96</v>
      </c>
    </row>
    <row r="931" customFormat="false" ht="15" hidden="false" customHeight="false" outlineLevel="0" collapsed="false">
      <c r="A931" s="5" t="n">
        <v>2022</v>
      </c>
      <c r="B931" s="5" t="s">
        <v>264</v>
      </c>
      <c r="C931" s="5" t="s">
        <v>290</v>
      </c>
      <c r="D931" s="5" t="n">
        <v>17</v>
      </c>
      <c r="E931" s="13" t="n">
        <v>2.22</v>
      </c>
      <c r="F931" s="14" t="n">
        <f aca="false">E931*Assumptions!$D$5</f>
        <v>299.039639201468</v>
      </c>
      <c r="G931" s="14" t="n">
        <v>450</v>
      </c>
      <c r="H931" s="14" t="n">
        <v>615</v>
      </c>
      <c r="I931" s="14" t="n">
        <f aca="false">F931-(G931+H931)/2</f>
        <v>-233.460360798532</v>
      </c>
      <c r="J931" s="5" t="str">
        <f aca="false">IF(D931&lt;8,"LOW SAMPLE",IF(F931&gt;H931*(1+Assumptions!$B$10),"UNDERPAID",IF(F931&lt;G931*(1-Assumptions!$B$10),"OVERPAID","FAIR")))</f>
        <v>OVERPAID</v>
      </c>
      <c r="K931" s="5" t="n">
        <v>139</v>
      </c>
    </row>
    <row r="932" customFormat="false" ht="15" hidden="false" customHeight="false" outlineLevel="0" collapsed="false">
      <c r="A932" s="5" t="n">
        <v>2022</v>
      </c>
      <c r="B932" s="5" t="s">
        <v>264</v>
      </c>
      <c r="C932" s="5" t="s">
        <v>292</v>
      </c>
      <c r="D932" s="5" t="n">
        <v>5</v>
      </c>
      <c r="E932" s="13" t="n">
        <v>0.74</v>
      </c>
      <c r="F932" s="14" t="n">
        <f aca="false">E932*Assumptions!$D$5</f>
        <v>99.6798797338226</v>
      </c>
      <c r="G932" s="14" t="n">
        <v>345</v>
      </c>
      <c r="H932" s="14" t="n">
        <v>450</v>
      </c>
      <c r="I932" s="14" t="n">
        <f aca="false">F932-(G932+H932)/2</f>
        <v>-297.820120266177</v>
      </c>
      <c r="J932" s="5" t="str">
        <f aca="false">IF(D932&lt;8,"LOW SAMPLE",IF(F932&gt;H932*(1+Assumptions!$B$10),"UNDERPAID",IF(F932&lt;G932*(1-Assumptions!$B$10),"OVERPAID","FAIR")))</f>
        <v>LOW SAMPLE</v>
      </c>
      <c r="K932" s="5" t="n">
        <v>123</v>
      </c>
    </row>
    <row r="933" customFormat="false" ht="15" hidden="false" customHeight="false" outlineLevel="0" collapsed="false">
      <c r="A933" s="5" t="n">
        <v>2022</v>
      </c>
      <c r="B933" s="5" t="s">
        <v>264</v>
      </c>
      <c r="C933" s="5" t="s">
        <v>762</v>
      </c>
      <c r="D933" s="5" t="n">
        <v>1</v>
      </c>
      <c r="E933" s="13" t="n">
        <v>0.02</v>
      </c>
      <c r="F933" s="14" t="n">
        <f aca="false">E933*Assumptions!$D$5</f>
        <v>2.69405080361683</v>
      </c>
      <c r="G933" s="14" t="n">
        <v>225</v>
      </c>
      <c r="H933" s="14" t="n">
        <v>345</v>
      </c>
      <c r="I933" s="14" t="n">
        <f aca="false">F933-(G933+H933)/2</f>
        <v>-282.305949196383</v>
      </c>
      <c r="J933" s="5" t="str">
        <f aca="false">IF(D933&lt;8,"LOW SAMPLE",IF(F933&gt;H933*(1+Assumptions!$B$10),"UNDERPAID",IF(F933&lt;G933*(1-Assumptions!$B$10),"OVERPAID","FAIR")))</f>
        <v>LOW SAMPLE</v>
      </c>
      <c r="K933" s="5" t="n">
        <v>0</v>
      </c>
    </row>
    <row r="934" customFormat="false" ht="15" hidden="false" customHeight="false" outlineLevel="0" collapsed="false">
      <c r="A934" s="5" t="n">
        <v>2022</v>
      </c>
      <c r="B934" s="5" t="s">
        <v>264</v>
      </c>
      <c r="C934" s="5" t="s">
        <v>294</v>
      </c>
      <c r="D934" s="5" t="n">
        <v>22</v>
      </c>
      <c r="E934" s="13" t="n">
        <v>5.22</v>
      </c>
      <c r="F934" s="14" t="n">
        <f aca="false">E934*Assumptions!$D$5</f>
        <v>703.147259743992</v>
      </c>
      <c r="G934" s="14" t="n">
        <v>345</v>
      </c>
      <c r="H934" s="14" t="n">
        <v>450</v>
      </c>
      <c r="I934" s="14" t="n">
        <f aca="false">F934-(G934+H934)/2</f>
        <v>305.647259743992</v>
      </c>
      <c r="J934" s="5" t="str">
        <f aca="false">IF(D934&lt;8,"LOW SAMPLE",IF(F934&gt;H934*(1+Assumptions!$B$10),"UNDERPAID",IF(F934&lt;G934*(1-Assumptions!$B$10),"OVERPAID","FAIR")))</f>
        <v>UNDERPAID</v>
      </c>
      <c r="K934" s="5" t="n">
        <v>53</v>
      </c>
    </row>
    <row r="935" customFormat="false" ht="15" hidden="false" customHeight="false" outlineLevel="0" collapsed="false">
      <c r="A935" s="5" t="n">
        <v>2022</v>
      </c>
      <c r="B935" s="5" t="s">
        <v>264</v>
      </c>
      <c r="C935" s="5" t="s">
        <v>296</v>
      </c>
      <c r="D935" s="5" t="n">
        <v>21</v>
      </c>
      <c r="E935" s="13" t="n">
        <v>5.3</v>
      </c>
      <c r="F935" s="14" t="n">
        <f aca="false">E935*Assumptions!$D$5</f>
        <v>713.923462958459</v>
      </c>
      <c r="G935" s="14" t="n">
        <v>345</v>
      </c>
      <c r="H935" s="14" t="n">
        <v>450</v>
      </c>
      <c r="I935" s="14" t="n">
        <f aca="false">F935-(G935+H935)/2</f>
        <v>316.423462958459</v>
      </c>
      <c r="J935" s="5" t="str">
        <f aca="false">IF(D935&lt;8,"LOW SAMPLE",IF(F935&gt;H935*(1+Assumptions!$B$10),"UNDERPAID",IF(F935&lt;G935*(1-Assumptions!$B$10),"OVERPAID","FAIR")))</f>
        <v>UNDERPAID</v>
      </c>
      <c r="K935" s="5" t="n">
        <v>112</v>
      </c>
    </row>
    <row r="936" customFormat="false" ht="15" hidden="false" customHeight="false" outlineLevel="0" collapsed="false">
      <c r="A936" s="5" t="n">
        <v>2022</v>
      </c>
      <c r="B936" s="5" t="s">
        <v>264</v>
      </c>
      <c r="C936" s="5" t="s">
        <v>297</v>
      </c>
      <c r="D936" s="5" t="n">
        <v>17</v>
      </c>
      <c r="E936" s="13" t="n">
        <v>2.31</v>
      </c>
      <c r="F936" s="14" t="n">
        <f aca="false">E936*Assumptions!$D$5</f>
        <v>311.162867817744</v>
      </c>
      <c r="G936" s="14" t="n">
        <v>125</v>
      </c>
      <c r="H936" s="14" t="n">
        <v>225</v>
      </c>
      <c r="I936" s="14" t="n">
        <f aca="false">F936-(G936+H936)/2</f>
        <v>136.162867817744</v>
      </c>
      <c r="J936" s="5" t="str">
        <f aca="false">IF(D936&lt;8,"LOW SAMPLE",IF(F936&gt;H936*(1+Assumptions!$B$10),"UNDERPAID",IF(F936&lt;G936*(1-Assumptions!$B$10),"OVERPAID","FAIR")))</f>
        <v>UNDERPAID</v>
      </c>
      <c r="K936" s="5" t="n">
        <v>13</v>
      </c>
    </row>
    <row r="937" customFormat="false" ht="15" hidden="false" customHeight="false" outlineLevel="0" collapsed="false">
      <c r="A937" s="5" t="n">
        <v>2022</v>
      </c>
      <c r="B937" s="5" t="s">
        <v>264</v>
      </c>
      <c r="C937" s="5" t="s">
        <v>298</v>
      </c>
      <c r="D937" s="5" t="n">
        <v>16</v>
      </c>
      <c r="E937" s="13" t="n">
        <v>4.01</v>
      </c>
      <c r="F937" s="14" t="n">
        <f aca="false">E937*Assumptions!$D$5</f>
        <v>540.157186125174</v>
      </c>
      <c r="G937" s="14" t="n">
        <v>615</v>
      </c>
      <c r="H937" s="14" t="n">
        <v>855</v>
      </c>
      <c r="I937" s="14" t="n">
        <f aca="false">F937-(G937+H937)/2</f>
        <v>-194.842813874826</v>
      </c>
      <c r="J937" s="5" t="str">
        <f aca="false">IF(D937&lt;8,"LOW SAMPLE",IF(F937&gt;H937*(1+Assumptions!$B$10),"UNDERPAID",IF(F937&lt;G937*(1-Assumptions!$B$10),"OVERPAID","FAIR")))</f>
        <v>FAIR</v>
      </c>
      <c r="K937" s="5" t="n">
        <v>98</v>
      </c>
    </row>
    <row r="938" customFormat="false" ht="15" hidden="false" customHeight="false" outlineLevel="0" collapsed="false">
      <c r="A938" s="5" t="n">
        <v>2022</v>
      </c>
      <c r="B938" s="5" t="s">
        <v>264</v>
      </c>
      <c r="C938" s="5" t="s">
        <v>299</v>
      </c>
      <c r="D938" s="5" t="n">
        <v>15</v>
      </c>
      <c r="E938" s="13" t="n">
        <v>4</v>
      </c>
      <c r="F938" s="14" t="n">
        <f aca="false">E938*Assumptions!$D$5</f>
        <v>538.810160723366</v>
      </c>
      <c r="G938" s="14" t="n">
        <v>615</v>
      </c>
      <c r="H938" s="14" t="n">
        <v>855</v>
      </c>
      <c r="I938" s="14" t="n">
        <f aca="false">F938-(G938+H938)/2</f>
        <v>-196.189839276634</v>
      </c>
      <c r="J938" s="5" t="str">
        <f aca="false">IF(D938&lt;8,"LOW SAMPLE",IF(F938&gt;H938*(1+Assumptions!$B$10),"UNDERPAID",IF(F938&lt;G938*(1-Assumptions!$B$10),"OVERPAID","FAIR")))</f>
        <v>FAIR</v>
      </c>
      <c r="K938" s="5" t="n">
        <v>123</v>
      </c>
    </row>
    <row r="939" customFormat="false" ht="15" hidden="false" customHeight="false" outlineLevel="0" collapsed="false">
      <c r="A939" s="5" t="n">
        <v>2022</v>
      </c>
      <c r="B939" s="5" t="s">
        <v>264</v>
      </c>
      <c r="C939" s="5" t="s">
        <v>300</v>
      </c>
      <c r="D939" s="5" t="n">
        <v>21</v>
      </c>
      <c r="E939" s="13" t="n">
        <v>5.41</v>
      </c>
      <c r="F939" s="14" t="n">
        <f aca="false">E939*Assumptions!$D$5</f>
        <v>728.740742378352</v>
      </c>
      <c r="G939" s="14" t="n">
        <v>345</v>
      </c>
      <c r="H939" s="14" t="n">
        <v>450</v>
      </c>
      <c r="I939" s="14" t="n">
        <f aca="false">F939-(G939+H939)/2</f>
        <v>331.240742378352</v>
      </c>
      <c r="J939" s="5" t="str">
        <f aca="false">IF(D939&lt;8,"LOW SAMPLE",IF(F939&gt;H939*(1+Assumptions!$B$10),"UNDERPAID",IF(F939&lt;G939*(1-Assumptions!$B$10),"OVERPAID","FAIR")))</f>
        <v>UNDERPAID</v>
      </c>
      <c r="K939" s="5" t="n">
        <v>24</v>
      </c>
    </row>
    <row r="940" customFormat="false" ht="15" hidden="false" customHeight="false" outlineLevel="0" collapsed="false">
      <c r="A940" s="5" t="n">
        <v>2022</v>
      </c>
      <c r="B940" s="5" t="s">
        <v>264</v>
      </c>
      <c r="C940" s="5" t="s">
        <v>301</v>
      </c>
      <c r="D940" s="5" t="n">
        <v>14</v>
      </c>
      <c r="E940" s="13" t="n">
        <v>1.31</v>
      </c>
      <c r="F940" s="14" t="n">
        <f aca="false">E940*Assumptions!$D$5</f>
        <v>176.460327636902</v>
      </c>
      <c r="G940" s="14" t="n">
        <v>125</v>
      </c>
      <c r="H940" s="14" t="n">
        <v>225</v>
      </c>
      <c r="I940" s="14" t="n">
        <f aca="false">F940-(G940+H940)/2</f>
        <v>1.46032763690224</v>
      </c>
      <c r="J940" s="5" t="str">
        <f aca="false">IF(D940&lt;8,"LOW SAMPLE",IF(F940&gt;H940*(1+Assumptions!$B$10),"UNDERPAID",IF(F940&lt;G940*(1-Assumptions!$B$10),"OVERPAID","FAIR")))</f>
        <v>FAIR</v>
      </c>
      <c r="K940" s="5" t="n">
        <v>19</v>
      </c>
    </row>
    <row r="941" customFormat="false" ht="15" hidden="false" customHeight="false" outlineLevel="0" collapsed="false">
      <c r="A941" s="5" t="n">
        <v>2022</v>
      </c>
      <c r="B941" s="5" t="s">
        <v>264</v>
      </c>
      <c r="C941" s="5" t="s">
        <v>302</v>
      </c>
      <c r="D941" s="5" t="n">
        <v>6</v>
      </c>
      <c r="E941" s="13" t="n">
        <v>0.6</v>
      </c>
      <c r="F941" s="14" t="n">
        <f aca="false">E941*Assumptions!$D$5</f>
        <v>80.8215241085048</v>
      </c>
      <c r="G941" s="14" t="n">
        <v>125</v>
      </c>
      <c r="H941" s="14" t="n">
        <v>225</v>
      </c>
      <c r="I941" s="14" t="n">
        <f aca="false">F941-(G941+H941)/2</f>
        <v>-94.1784758914952</v>
      </c>
      <c r="J941" s="5" t="str">
        <f aca="false">IF(D941&lt;8,"LOW SAMPLE",IF(F941&gt;H941*(1+Assumptions!$B$10),"UNDERPAID",IF(F941&lt;G941*(1-Assumptions!$B$10),"OVERPAID","FAIR")))</f>
        <v>LOW SAMPLE</v>
      </c>
      <c r="K941" s="5" t="n">
        <v>11</v>
      </c>
    </row>
    <row r="942" customFormat="false" ht="15" hidden="false" customHeight="false" outlineLevel="0" collapsed="false">
      <c r="A942" s="5" t="n">
        <v>2022</v>
      </c>
      <c r="B942" s="5" t="s">
        <v>303</v>
      </c>
      <c r="C942" s="5" t="s">
        <v>304</v>
      </c>
      <c r="D942" s="5" t="n">
        <v>25</v>
      </c>
      <c r="E942" s="13" t="n">
        <v>4.88</v>
      </c>
      <c r="F942" s="14" t="n">
        <f aca="false">E942*Assumptions!$D$5</f>
        <v>657.348396082506</v>
      </c>
      <c r="G942" s="14" t="n">
        <v>345</v>
      </c>
      <c r="H942" s="14" t="n">
        <v>450</v>
      </c>
      <c r="I942" s="14" t="n">
        <f aca="false">F942-(G942+H942)/2</f>
        <v>259.848396082506</v>
      </c>
      <c r="J942" s="5" t="str">
        <f aca="false">IF(D942&lt;8,"LOW SAMPLE",IF(F942&gt;H942*(1+Assumptions!$B$10),"UNDERPAID",IF(F942&lt;G942*(1-Assumptions!$B$10),"OVERPAID","FAIR")))</f>
        <v>UNDERPAID</v>
      </c>
      <c r="K942" s="5" t="n">
        <v>30</v>
      </c>
    </row>
    <row r="943" customFormat="false" ht="15" hidden="false" customHeight="false" outlineLevel="0" collapsed="false">
      <c r="A943" s="5" t="n">
        <v>2022</v>
      </c>
      <c r="B943" s="5" t="s">
        <v>303</v>
      </c>
      <c r="C943" s="5" t="s">
        <v>305</v>
      </c>
      <c r="D943" s="5" t="n">
        <v>17</v>
      </c>
      <c r="E943" s="13" t="n">
        <v>3.76</v>
      </c>
      <c r="F943" s="14" t="n">
        <f aca="false">E943*Assumptions!$D$5</f>
        <v>506.481551079964</v>
      </c>
      <c r="G943" s="14" t="n">
        <v>450</v>
      </c>
      <c r="H943" s="14" t="n">
        <v>615</v>
      </c>
      <c r="I943" s="14" t="n">
        <f aca="false">F943-(G943+H943)/2</f>
        <v>-26.0184489200364</v>
      </c>
      <c r="J943" s="5" t="str">
        <f aca="false">IF(D943&lt;8,"LOW SAMPLE",IF(F943&gt;H943*(1+Assumptions!$B$10),"UNDERPAID",IF(F943&lt;G943*(1-Assumptions!$B$10),"OVERPAID","FAIR")))</f>
        <v>FAIR</v>
      </c>
      <c r="K943" s="5" t="n">
        <v>95</v>
      </c>
    </row>
    <row r="944" customFormat="false" ht="15" hidden="false" customHeight="false" outlineLevel="0" collapsed="false">
      <c r="A944" s="5" t="n">
        <v>2022</v>
      </c>
      <c r="B944" s="5" t="s">
        <v>303</v>
      </c>
      <c r="C944" s="5" t="s">
        <v>306</v>
      </c>
      <c r="D944" s="5" t="n">
        <v>25</v>
      </c>
      <c r="E944" s="13" t="n">
        <v>5.79</v>
      </c>
      <c r="F944" s="14" t="n">
        <f aca="false">E944*Assumptions!$D$5</f>
        <v>779.927707647072</v>
      </c>
      <c r="G944" s="14" t="n">
        <v>615</v>
      </c>
      <c r="H944" s="14" t="n">
        <v>855</v>
      </c>
      <c r="I944" s="14" t="n">
        <f aca="false">F944-(G944+H944)/2</f>
        <v>44.9277076470717</v>
      </c>
      <c r="J944" s="5" t="str">
        <f aca="false">IF(D944&lt;8,"LOW SAMPLE",IF(F944&gt;H944*(1+Assumptions!$B$10),"UNDERPAID",IF(F944&lt;G944*(1-Assumptions!$B$10),"OVERPAID","FAIR")))</f>
        <v>FAIR</v>
      </c>
      <c r="K944" s="5" t="n">
        <v>141</v>
      </c>
    </row>
    <row r="945" customFormat="false" ht="15" hidden="false" customHeight="false" outlineLevel="0" collapsed="false">
      <c r="A945" s="5" t="n">
        <v>2022</v>
      </c>
      <c r="B945" s="5" t="s">
        <v>303</v>
      </c>
      <c r="C945" s="5" t="s">
        <v>763</v>
      </c>
      <c r="D945" s="5" t="n">
        <v>7</v>
      </c>
      <c r="E945" s="13" t="n">
        <v>0.76</v>
      </c>
      <c r="F945" s="14" t="n">
        <f aca="false">E945*Assumptions!$D$5</f>
        <v>102.373930537439</v>
      </c>
      <c r="G945" s="14" t="n">
        <v>225</v>
      </c>
      <c r="H945" s="14" t="n">
        <v>345</v>
      </c>
      <c r="I945" s="14" t="n">
        <f aca="false">F945-(G945+H945)/2</f>
        <v>-182.626069462561</v>
      </c>
      <c r="J945" s="5" t="str">
        <f aca="false">IF(D945&lt;8,"LOW SAMPLE",IF(F945&gt;H945*(1+Assumptions!$B$10),"UNDERPAID",IF(F945&lt;G945*(1-Assumptions!$B$10),"OVERPAID","FAIR")))</f>
        <v>LOW SAMPLE</v>
      </c>
      <c r="K945" s="5" t="n">
        <v>0</v>
      </c>
    </row>
    <row r="946" customFormat="false" ht="15" hidden="false" customHeight="false" outlineLevel="0" collapsed="false">
      <c r="A946" s="5" t="n">
        <v>2022</v>
      </c>
      <c r="B946" s="5" t="s">
        <v>303</v>
      </c>
      <c r="C946" s="5" t="s">
        <v>308</v>
      </c>
      <c r="D946" s="5" t="n">
        <v>4</v>
      </c>
      <c r="E946" s="13" t="n">
        <v>0.44</v>
      </c>
      <c r="F946" s="14" t="n">
        <f aca="false">E946*Assumptions!$D$5</f>
        <v>59.2691176795702</v>
      </c>
      <c r="G946" s="14" t="n">
        <v>345</v>
      </c>
      <c r="H946" s="14" t="n">
        <v>450</v>
      </c>
      <c r="I946" s="14" t="n">
        <f aca="false">F946-(G946+H946)/2</f>
        <v>-338.23088232043</v>
      </c>
      <c r="J946" s="5" t="str">
        <f aca="false">IF(D946&lt;8,"LOW SAMPLE",IF(F946&gt;H946*(1+Assumptions!$B$10),"UNDERPAID",IF(F946&lt;G946*(1-Assumptions!$B$10),"OVERPAID","FAIR")))</f>
        <v>LOW SAMPLE</v>
      </c>
      <c r="K946" s="5" t="n">
        <v>55</v>
      </c>
    </row>
    <row r="947" customFormat="false" ht="15" hidden="false" customHeight="false" outlineLevel="0" collapsed="false">
      <c r="A947" s="5" t="n">
        <v>2022</v>
      </c>
      <c r="B947" s="5" t="s">
        <v>303</v>
      </c>
      <c r="C947" s="5" t="s">
        <v>309</v>
      </c>
      <c r="D947" s="5" t="n">
        <v>5</v>
      </c>
      <c r="E947" s="13" t="n">
        <v>0.33</v>
      </c>
      <c r="F947" s="14" t="n">
        <f aca="false">E947*Assumptions!$D$5</f>
        <v>44.4518382596777</v>
      </c>
      <c r="G947" s="14" t="n">
        <v>125</v>
      </c>
      <c r="H947" s="14" t="n">
        <v>225</v>
      </c>
      <c r="I947" s="14" t="n">
        <f aca="false">F947-(G947+H947)/2</f>
        <v>-130.548161740322</v>
      </c>
      <c r="J947" s="5" t="str">
        <f aca="false">IF(D947&lt;8,"LOW SAMPLE",IF(F947&gt;H947*(1+Assumptions!$B$10),"UNDERPAID",IF(F947&lt;G947*(1-Assumptions!$B$10),"OVERPAID","FAIR")))</f>
        <v>LOW SAMPLE</v>
      </c>
      <c r="K947" s="5" t="n">
        <v>2</v>
      </c>
    </row>
    <row r="948" customFormat="false" ht="15" hidden="false" customHeight="false" outlineLevel="0" collapsed="false">
      <c r="A948" s="5" t="n">
        <v>2022</v>
      </c>
      <c r="B948" s="5" t="s">
        <v>303</v>
      </c>
      <c r="C948" s="5" t="s">
        <v>310</v>
      </c>
      <c r="D948" s="5" t="n">
        <v>12</v>
      </c>
      <c r="E948" s="13" t="n">
        <v>2.05</v>
      </c>
      <c r="F948" s="14" t="n">
        <f aca="false">E948*Assumptions!$D$5</f>
        <v>276.140207370725</v>
      </c>
      <c r="G948" s="14" t="n">
        <v>450</v>
      </c>
      <c r="H948" s="14" t="n">
        <v>615</v>
      </c>
      <c r="I948" s="14" t="n">
        <f aca="false">F948-(G948+H948)/2</f>
        <v>-256.359792629275</v>
      </c>
      <c r="J948" s="5" t="str">
        <f aca="false">IF(D948&lt;8,"LOW SAMPLE",IF(F948&gt;H948*(1+Assumptions!$B$10),"UNDERPAID",IF(F948&lt;G948*(1-Assumptions!$B$10),"OVERPAID","FAIR")))</f>
        <v>OVERPAID</v>
      </c>
      <c r="K948" s="5" t="n">
        <v>122</v>
      </c>
    </row>
    <row r="949" customFormat="false" ht="15" hidden="false" customHeight="false" outlineLevel="0" collapsed="false">
      <c r="A949" s="5" t="n">
        <v>2022</v>
      </c>
      <c r="B949" s="5" t="s">
        <v>303</v>
      </c>
      <c r="C949" s="5" t="s">
        <v>311</v>
      </c>
      <c r="D949" s="5" t="n">
        <v>22</v>
      </c>
      <c r="E949" s="13" t="n">
        <v>3.17</v>
      </c>
      <c r="F949" s="14" t="n">
        <f aca="false">E949*Assumptions!$D$5</f>
        <v>427.007052373267</v>
      </c>
      <c r="G949" s="14" t="n">
        <v>345</v>
      </c>
      <c r="H949" s="14" t="n">
        <v>450</v>
      </c>
      <c r="I949" s="14" t="n">
        <f aca="false">F949-(G949+H949)/2</f>
        <v>29.5070523732672</v>
      </c>
      <c r="J949" s="5" t="str">
        <f aca="false">IF(D949&lt;8,"LOW SAMPLE",IF(F949&gt;H949*(1+Assumptions!$B$10),"UNDERPAID",IF(F949&lt;G949*(1-Assumptions!$B$10),"OVERPAID","FAIR")))</f>
        <v>FAIR</v>
      </c>
      <c r="K949" s="5" t="n">
        <v>61</v>
      </c>
    </row>
    <row r="950" customFormat="false" ht="15" hidden="false" customHeight="false" outlineLevel="0" collapsed="false">
      <c r="A950" s="5" t="n">
        <v>2022</v>
      </c>
      <c r="B950" s="5" t="s">
        <v>303</v>
      </c>
      <c r="C950" s="5" t="s">
        <v>312</v>
      </c>
      <c r="D950" s="5" t="n">
        <v>24</v>
      </c>
      <c r="E950" s="13" t="n">
        <v>4.95</v>
      </c>
      <c r="F950" s="14" t="n">
        <f aca="false">E950*Assumptions!$D$5</f>
        <v>666.777573895165</v>
      </c>
      <c r="G950" s="14" t="n">
        <v>450</v>
      </c>
      <c r="H950" s="14" t="n">
        <v>615</v>
      </c>
      <c r="I950" s="14" t="n">
        <f aca="false">F950-(G950+H950)/2</f>
        <v>134.277573895165</v>
      </c>
      <c r="J950" s="5" t="str">
        <f aca="false">IF(D950&lt;8,"LOW SAMPLE",IF(F950&gt;H950*(1+Assumptions!$B$10),"UNDERPAID",IF(F950&lt;G950*(1-Assumptions!$B$10),"OVERPAID","FAIR")))</f>
        <v>FAIR</v>
      </c>
      <c r="K950" s="5" t="n">
        <v>148</v>
      </c>
    </row>
    <row r="951" customFormat="false" ht="15" hidden="false" customHeight="false" outlineLevel="0" collapsed="false">
      <c r="A951" s="5" t="n">
        <v>2022</v>
      </c>
      <c r="B951" s="5" t="s">
        <v>303</v>
      </c>
      <c r="C951" s="5" t="s">
        <v>313</v>
      </c>
      <c r="D951" s="5" t="n">
        <v>17</v>
      </c>
      <c r="E951" s="13" t="n">
        <v>2.71</v>
      </c>
      <c r="F951" s="14" t="n">
        <f aca="false">E951*Assumptions!$D$5</f>
        <v>365.04388389008</v>
      </c>
      <c r="G951" s="14" t="n">
        <v>450</v>
      </c>
      <c r="H951" s="14" t="n">
        <v>615</v>
      </c>
      <c r="I951" s="14" t="n">
        <f aca="false">F951-(G951+H951)/2</f>
        <v>-167.45611610992</v>
      </c>
      <c r="J951" s="5" t="str">
        <f aca="false">IF(D951&lt;8,"LOW SAMPLE",IF(F951&gt;H951*(1+Assumptions!$B$10),"UNDERPAID",IF(F951&lt;G951*(1-Assumptions!$B$10),"OVERPAID","FAIR")))</f>
        <v>OVERPAID</v>
      </c>
      <c r="K951" s="5" t="n">
        <v>90</v>
      </c>
    </row>
    <row r="952" customFormat="false" ht="15" hidden="false" customHeight="false" outlineLevel="0" collapsed="false">
      <c r="A952" s="5" t="n">
        <v>2022</v>
      </c>
      <c r="B952" s="5" t="s">
        <v>303</v>
      </c>
      <c r="C952" s="5" t="s">
        <v>314</v>
      </c>
      <c r="D952" s="5" t="n">
        <v>23</v>
      </c>
      <c r="E952" s="13" t="n">
        <v>3.2</v>
      </c>
      <c r="F952" s="14" t="n">
        <f aca="false">E952*Assumptions!$D$5</f>
        <v>431.048128578693</v>
      </c>
      <c r="G952" s="14" t="n">
        <v>345</v>
      </c>
      <c r="H952" s="14" t="n">
        <v>450</v>
      </c>
      <c r="I952" s="14" t="n">
        <f aca="false">F952-(G952+H952)/2</f>
        <v>33.5481285786925</v>
      </c>
      <c r="J952" s="5" t="str">
        <f aca="false">IF(D952&lt;8,"LOW SAMPLE",IF(F952&gt;H952*(1+Assumptions!$B$10),"UNDERPAID",IF(F952&lt;G952*(1-Assumptions!$B$10),"OVERPAID","FAIR")))</f>
        <v>FAIR</v>
      </c>
      <c r="K952" s="5" t="n">
        <v>132</v>
      </c>
    </row>
    <row r="953" customFormat="false" ht="15" hidden="false" customHeight="false" outlineLevel="0" collapsed="false">
      <c r="A953" s="5" t="n">
        <v>2022</v>
      </c>
      <c r="B953" s="5" t="s">
        <v>303</v>
      </c>
      <c r="C953" s="5" t="s">
        <v>315</v>
      </c>
      <c r="D953" s="5" t="n">
        <v>23</v>
      </c>
      <c r="E953" s="13" t="n">
        <v>2.64</v>
      </c>
      <c r="F953" s="14" t="n">
        <f aca="false">E953*Assumptions!$D$5</f>
        <v>355.614706077421</v>
      </c>
      <c r="G953" s="14" t="n">
        <v>345</v>
      </c>
      <c r="H953" s="14" t="n">
        <v>450</v>
      </c>
      <c r="I953" s="14" t="n">
        <f aca="false">F953-(G953+H953)/2</f>
        <v>-41.8852939225787</v>
      </c>
      <c r="J953" s="5" t="str">
        <f aca="false">IF(D953&lt;8,"LOW SAMPLE",IF(F953&gt;H953*(1+Assumptions!$B$10),"UNDERPAID",IF(F953&lt;G953*(1-Assumptions!$B$10),"OVERPAID","FAIR")))</f>
        <v>FAIR</v>
      </c>
      <c r="K953" s="5" t="n">
        <v>121</v>
      </c>
    </row>
    <row r="954" customFormat="false" ht="15" hidden="false" customHeight="false" outlineLevel="0" collapsed="false">
      <c r="A954" s="5" t="n">
        <v>2022</v>
      </c>
      <c r="B954" s="5" t="s">
        <v>303</v>
      </c>
      <c r="C954" s="5" t="s">
        <v>316</v>
      </c>
      <c r="D954" s="5" t="n">
        <v>24</v>
      </c>
      <c r="E954" s="13" t="n">
        <v>6.85</v>
      </c>
      <c r="F954" s="14" t="n">
        <f aca="false">E954*Assumptions!$D$5</f>
        <v>922.712400238764</v>
      </c>
      <c r="G954" s="14" t="n">
        <v>450</v>
      </c>
      <c r="H954" s="14" t="n">
        <v>615</v>
      </c>
      <c r="I954" s="14" t="n">
        <f aca="false">F954-(G954+H954)/2</f>
        <v>390.212400238764</v>
      </c>
      <c r="J954" s="5" t="str">
        <f aca="false">IF(D954&lt;8,"LOW SAMPLE",IF(F954&gt;H954*(1+Assumptions!$B$10),"UNDERPAID",IF(F954&lt;G954*(1-Assumptions!$B$10),"OVERPAID","FAIR")))</f>
        <v>UNDERPAID</v>
      </c>
      <c r="K954" s="5" t="n">
        <v>135</v>
      </c>
    </row>
    <row r="955" customFormat="false" ht="15" hidden="false" customHeight="false" outlineLevel="0" collapsed="false">
      <c r="A955" s="5" t="n">
        <v>2022</v>
      </c>
      <c r="B955" s="5" t="s">
        <v>303</v>
      </c>
      <c r="C955" s="5" t="s">
        <v>317</v>
      </c>
      <c r="D955" s="5" t="n">
        <v>21</v>
      </c>
      <c r="E955" s="13" t="n">
        <v>5.43</v>
      </c>
      <c r="F955" s="14" t="n">
        <f aca="false">E955*Assumptions!$D$5</f>
        <v>731.434793181969</v>
      </c>
      <c r="G955" s="14" t="n">
        <v>615</v>
      </c>
      <c r="H955" s="14" t="n">
        <v>855</v>
      </c>
      <c r="I955" s="14" t="n">
        <f aca="false">F955-(G955+H955)/2</f>
        <v>-3.56520681803124</v>
      </c>
      <c r="J955" s="5" t="str">
        <f aca="false">IF(D955&lt;8,"LOW SAMPLE",IF(F955&gt;H955*(1+Assumptions!$B$10),"UNDERPAID",IF(F955&lt;G955*(1-Assumptions!$B$10),"OVERPAID","FAIR")))</f>
        <v>FAIR</v>
      </c>
      <c r="K955" s="5" t="n">
        <v>150</v>
      </c>
    </row>
    <row r="956" customFormat="false" ht="15" hidden="false" customHeight="false" outlineLevel="0" collapsed="false">
      <c r="A956" s="5" t="n">
        <v>2022</v>
      </c>
      <c r="B956" s="5" t="s">
        <v>303</v>
      </c>
      <c r="C956" s="5" t="s">
        <v>400</v>
      </c>
      <c r="D956" s="5" t="n">
        <v>3</v>
      </c>
      <c r="E956" s="13" t="n">
        <v>0.6</v>
      </c>
      <c r="F956" s="14" t="n">
        <f aca="false">E956*Assumptions!$D$5</f>
        <v>80.8215241085048</v>
      </c>
      <c r="G956" s="14" t="n">
        <v>345</v>
      </c>
      <c r="H956" s="14" t="n">
        <v>450</v>
      </c>
      <c r="I956" s="14" t="n">
        <f aca="false">F956-(G956+H956)/2</f>
        <v>-316.678475891495</v>
      </c>
      <c r="J956" s="5" t="str">
        <f aca="false">IF(D956&lt;8,"LOW SAMPLE",IF(F956&gt;H956*(1+Assumptions!$B$10),"UNDERPAID",IF(F956&lt;G956*(1-Assumptions!$B$10),"OVERPAID","FAIR")))</f>
        <v>LOW SAMPLE</v>
      </c>
      <c r="K956" s="5" t="n">
        <v>84</v>
      </c>
    </row>
    <row r="957" customFormat="false" ht="15" hidden="false" customHeight="false" outlineLevel="0" collapsed="false">
      <c r="A957" s="5" t="n">
        <v>2022</v>
      </c>
      <c r="B957" s="5" t="s">
        <v>303</v>
      </c>
      <c r="C957" s="5" t="s">
        <v>321</v>
      </c>
      <c r="D957" s="5" t="n">
        <v>10</v>
      </c>
      <c r="E957" s="13" t="n">
        <v>0.95</v>
      </c>
      <c r="F957" s="14" t="n">
        <f aca="false">E957*Assumptions!$D$5</f>
        <v>127.967413171799</v>
      </c>
      <c r="G957" s="14" t="n">
        <v>345</v>
      </c>
      <c r="H957" s="14" t="n">
        <v>450</v>
      </c>
      <c r="I957" s="14" t="n">
        <f aca="false">F957-(G957+H957)/2</f>
        <v>-269.532586828201</v>
      </c>
      <c r="J957" s="5" t="str">
        <f aca="false">IF(D957&lt;8,"LOW SAMPLE",IF(F957&gt;H957*(1+Assumptions!$B$10),"UNDERPAID",IF(F957&lt;G957*(1-Assumptions!$B$10),"OVERPAID","FAIR")))</f>
        <v>OVERPAID</v>
      </c>
      <c r="K957" s="5" t="n">
        <v>144</v>
      </c>
    </row>
    <row r="958" customFormat="false" ht="15" hidden="false" customHeight="false" outlineLevel="0" collapsed="false">
      <c r="A958" s="5" t="n">
        <v>2022</v>
      </c>
      <c r="B958" s="5" t="s">
        <v>303</v>
      </c>
      <c r="C958" s="5" t="s">
        <v>322</v>
      </c>
      <c r="D958" s="5" t="n">
        <v>24</v>
      </c>
      <c r="E958" s="13" t="n">
        <v>6.71</v>
      </c>
      <c r="F958" s="14" t="n">
        <f aca="false">E958*Assumptions!$D$5</f>
        <v>903.854044613446</v>
      </c>
      <c r="G958" s="14" t="n">
        <v>615</v>
      </c>
      <c r="H958" s="14" t="n">
        <v>855</v>
      </c>
      <c r="I958" s="14" t="n">
        <f aca="false">F958-(G958+H958)/2</f>
        <v>168.854044613446</v>
      </c>
      <c r="J958" s="5" t="str">
        <f aca="false">IF(D958&lt;8,"LOW SAMPLE",IF(F958&gt;H958*(1+Assumptions!$B$10),"UNDERPAID",IF(F958&lt;G958*(1-Assumptions!$B$10),"OVERPAID","FAIR")))</f>
        <v>FAIR</v>
      </c>
      <c r="K958" s="5" t="n">
        <v>158</v>
      </c>
    </row>
    <row r="959" customFormat="false" ht="15" hidden="false" customHeight="false" outlineLevel="0" collapsed="false">
      <c r="A959" s="5" t="n">
        <v>2022</v>
      </c>
      <c r="B959" s="5" t="s">
        <v>303</v>
      </c>
      <c r="C959" s="5" t="s">
        <v>323</v>
      </c>
      <c r="D959" s="5" t="n">
        <v>22</v>
      </c>
      <c r="E959" s="13" t="n">
        <v>2.79</v>
      </c>
      <c r="F959" s="14" t="n">
        <f aca="false">E959*Assumptions!$D$5</f>
        <v>375.820087104548</v>
      </c>
      <c r="G959" s="14" t="n">
        <v>345</v>
      </c>
      <c r="H959" s="14" t="n">
        <v>450</v>
      </c>
      <c r="I959" s="14" t="n">
        <f aca="false">F959-(G959+H959)/2</f>
        <v>-21.6799128954525</v>
      </c>
      <c r="J959" s="5" t="str">
        <f aca="false">IF(D959&lt;8,"LOW SAMPLE",IF(F959&gt;H959*(1+Assumptions!$B$10),"UNDERPAID",IF(F959&lt;G959*(1-Assumptions!$B$10),"OVERPAID","FAIR")))</f>
        <v>FAIR</v>
      </c>
      <c r="K959" s="5" t="n">
        <v>65</v>
      </c>
    </row>
    <row r="960" customFormat="false" ht="15" hidden="false" customHeight="false" outlineLevel="0" collapsed="false">
      <c r="A960" s="5" t="n">
        <v>2022</v>
      </c>
      <c r="B960" s="5" t="s">
        <v>303</v>
      </c>
      <c r="C960" s="5" t="s">
        <v>324</v>
      </c>
      <c r="D960" s="5" t="n">
        <v>18</v>
      </c>
      <c r="E960" s="13" t="n">
        <v>3.42</v>
      </c>
      <c r="F960" s="14" t="n">
        <f aca="false">E960*Assumptions!$D$5</f>
        <v>460.682687418478</v>
      </c>
      <c r="G960" s="14" t="n">
        <v>125</v>
      </c>
      <c r="H960" s="14" t="n">
        <v>225</v>
      </c>
      <c r="I960" s="14" t="n">
        <f aca="false">F960-(G960+H960)/2</f>
        <v>285.682687418478</v>
      </c>
      <c r="J960" s="5" t="str">
        <f aca="false">IF(D960&lt;8,"LOW SAMPLE",IF(F960&gt;H960*(1+Assumptions!$B$10),"UNDERPAID",IF(F960&lt;G960*(1-Assumptions!$B$10),"OVERPAID","FAIR")))</f>
        <v>UNDERPAID</v>
      </c>
      <c r="K960" s="5" t="n">
        <v>12</v>
      </c>
    </row>
    <row r="961" customFormat="false" ht="15" hidden="false" customHeight="false" outlineLevel="0" collapsed="false">
      <c r="A961" s="5" t="n">
        <v>2022</v>
      </c>
      <c r="B961" s="5" t="s">
        <v>303</v>
      </c>
      <c r="C961" s="5" t="s">
        <v>325</v>
      </c>
      <c r="D961" s="5" t="n">
        <v>22</v>
      </c>
      <c r="E961" s="13" t="n">
        <v>4.88</v>
      </c>
      <c r="F961" s="14" t="n">
        <f aca="false">E961*Assumptions!$D$5</f>
        <v>657.348396082506</v>
      </c>
      <c r="G961" s="14" t="n">
        <v>450</v>
      </c>
      <c r="H961" s="14" t="n">
        <v>615</v>
      </c>
      <c r="I961" s="14" t="n">
        <f aca="false">F961-(G961+H961)/2</f>
        <v>124.848396082506</v>
      </c>
      <c r="J961" s="5" t="str">
        <f aca="false">IF(D961&lt;8,"LOW SAMPLE",IF(F961&gt;H961*(1+Assumptions!$B$10),"UNDERPAID",IF(F961&lt;G961*(1-Assumptions!$B$10),"OVERPAID","FAIR")))</f>
        <v>FAIR</v>
      </c>
      <c r="K961" s="5" t="n">
        <v>136</v>
      </c>
    </row>
    <row r="962" customFormat="false" ht="15" hidden="false" customHeight="false" outlineLevel="0" collapsed="false">
      <c r="A962" s="5" t="n">
        <v>2022</v>
      </c>
      <c r="B962" s="5" t="s">
        <v>303</v>
      </c>
      <c r="C962" s="5" t="s">
        <v>764</v>
      </c>
      <c r="D962" s="5" t="n">
        <v>2</v>
      </c>
      <c r="E962" s="13" t="n">
        <v>0.15</v>
      </c>
      <c r="F962" s="14" t="n">
        <f aca="false">E962*Assumptions!$D$5</f>
        <v>20.2053810271262</v>
      </c>
      <c r="G962" s="14" t="n">
        <v>225</v>
      </c>
      <c r="H962" s="14" t="n">
        <v>345</v>
      </c>
      <c r="I962" s="14" t="n">
        <f aca="false">F962-(G962+H962)/2</f>
        <v>-264.794618972874</v>
      </c>
      <c r="J962" s="5" t="str">
        <f aca="false">IF(D962&lt;8,"LOW SAMPLE",IF(F962&gt;H962*(1+Assumptions!$B$10),"UNDERPAID",IF(F962&lt;G962*(1-Assumptions!$B$10),"OVERPAID","FAIR")))</f>
        <v>LOW SAMPLE</v>
      </c>
      <c r="K962" s="5" t="n">
        <v>0</v>
      </c>
    </row>
    <row r="963" customFormat="false" ht="15" hidden="false" customHeight="false" outlineLevel="0" collapsed="false">
      <c r="A963" s="5" t="n">
        <v>2022</v>
      </c>
      <c r="B963" s="5" t="s">
        <v>303</v>
      </c>
      <c r="C963" s="5" t="s">
        <v>765</v>
      </c>
      <c r="D963" s="5" t="n">
        <v>2</v>
      </c>
      <c r="E963" s="13" t="n">
        <v>0.16</v>
      </c>
      <c r="F963" s="14" t="n">
        <f aca="false">E963*Assumptions!$D$5</f>
        <v>21.5524064289346</v>
      </c>
      <c r="G963" s="14" t="n">
        <v>225</v>
      </c>
      <c r="H963" s="14" t="n">
        <v>345</v>
      </c>
      <c r="I963" s="14" t="n">
        <f aca="false">F963-(G963+H963)/2</f>
        <v>-263.447593571065</v>
      </c>
      <c r="J963" s="5" t="str">
        <f aca="false">IF(D963&lt;8,"LOW SAMPLE",IF(F963&gt;H963*(1+Assumptions!$B$10),"UNDERPAID",IF(F963&lt;G963*(1-Assumptions!$B$10),"OVERPAID","FAIR")))</f>
        <v>LOW SAMPLE</v>
      </c>
      <c r="K963" s="5" t="n">
        <v>0</v>
      </c>
    </row>
    <row r="964" customFormat="false" ht="15" hidden="false" customHeight="false" outlineLevel="0" collapsed="false">
      <c r="A964" s="5" t="n">
        <v>2022</v>
      </c>
      <c r="B964" s="5" t="s">
        <v>303</v>
      </c>
      <c r="C964" s="5" t="s">
        <v>327</v>
      </c>
      <c r="D964" s="5" t="n">
        <v>18</v>
      </c>
      <c r="E964" s="13" t="n">
        <v>5.59</v>
      </c>
      <c r="F964" s="14" t="n">
        <f aca="false">E964*Assumptions!$D$5</f>
        <v>752.987199610903</v>
      </c>
      <c r="G964" s="14" t="n">
        <v>855</v>
      </c>
      <c r="H964" s="14" t="n">
        <v>1170</v>
      </c>
      <c r="I964" s="14" t="n">
        <f aca="false">F964-(G964+H964)/2</f>
        <v>-259.512800389097</v>
      </c>
      <c r="J964" s="5" t="str">
        <f aca="false">IF(D964&lt;8,"LOW SAMPLE",IF(F964&gt;H964*(1+Assumptions!$B$10),"UNDERPAID",IF(F964&lt;G964*(1-Assumptions!$B$10),"OVERPAID","FAIR")))</f>
        <v>FAIR</v>
      </c>
      <c r="K964" s="5" t="n">
        <v>154</v>
      </c>
    </row>
    <row r="965" customFormat="false" ht="15" hidden="false" customHeight="false" outlineLevel="0" collapsed="false">
      <c r="A965" s="5" t="n">
        <v>2022</v>
      </c>
      <c r="B965" s="5" t="s">
        <v>303</v>
      </c>
      <c r="C965" s="5" t="s">
        <v>328</v>
      </c>
      <c r="D965" s="5" t="n">
        <v>8</v>
      </c>
      <c r="E965" s="13" t="n">
        <v>0.92</v>
      </c>
      <c r="F965" s="14" t="n">
        <f aca="false">E965*Assumptions!$D$5</f>
        <v>123.926336966374</v>
      </c>
      <c r="G965" s="14" t="n">
        <v>225</v>
      </c>
      <c r="H965" s="14" t="n">
        <v>345</v>
      </c>
      <c r="I965" s="14" t="n">
        <f aca="false">F965-(G965+H965)/2</f>
        <v>-161.073663033626</v>
      </c>
      <c r="J965" s="5" t="str">
        <f aca="false">IF(D965&lt;8,"LOW SAMPLE",IF(F965&gt;H965*(1+Assumptions!$B$10),"UNDERPAID",IF(F965&lt;G965*(1-Assumptions!$B$10),"OVERPAID","FAIR")))</f>
        <v>OVERPAID</v>
      </c>
      <c r="K965" s="5" t="n">
        <v>33</v>
      </c>
    </row>
    <row r="966" customFormat="false" ht="15" hidden="false" customHeight="false" outlineLevel="0" collapsed="false">
      <c r="A966" s="5" t="n">
        <v>2022</v>
      </c>
      <c r="B966" s="5" t="s">
        <v>303</v>
      </c>
      <c r="C966" s="5" t="s">
        <v>329</v>
      </c>
      <c r="D966" s="5" t="n">
        <v>20</v>
      </c>
      <c r="E966" s="13" t="n">
        <v>5</v>
      </c>
      <c r="F966" s="14" t="n">
        <f aca="false">E966*Assumptions!$D$5</f>
        <v>673.512700904207</v>
      </c>
      <c r="G966" s="14" t="n">
        <v>450</v>
      </c>
      <c r="H966" s="14" t="n">
        <v>615</v>
      </c>
      <c r="I966" s="14" t="n">
        <f aca="false">F966-(G966+H966)/2</f>
        <v>141.012700904207</v>
      </c>
      <c r="J966" s="5" t="str">
        <f aca="false">IF(D966&lt;8,"LOW SAMPLE",IF(F966&gt;H966*(1+Assumptions!$B$10),"UNDERPAID",IF(F966&lt;G966*(1-Assumptions!$B$10),"OVERPAID","FAIR")))</f>
        <v>FAIR</v>
      </c>
      <c r="K966" s="5" t="n">
        <v>105</v>
      </c>
    </row>
    <row r="967" customFormat="false" ht="15" hidden="false" customHeight="false" outlineLevel="0" collapsed="false">
      <c r="A967" s="5" t="n">
        <v>2022</v>
      </c>
      <c r="B967" s="5" t="s">
        <v>303</v>
      </c>
      <c r="C967" s="5" t="s">
        <v>330</v>
      </c>
      <c r="D967" s="5" t="n">
        <v>23</v>
      </c>
      <c r="E967" s="13" t="n">
        <v>4.27</v>
      </c>
      <c r="F967" s="14" t="n">
        <f aca="false">E967*Assumptions!$D$5</f>
        <v>575.179846572193</v>
      </c>
      <c r="G967" s="14" t="n">
        <v>125</v>
      </c>
      <c r="H967" s="14" t="n">
        <v>225</v>
      </c>
      <c r="I967" s="14" t="n">
        <f aca="false">F967-(G967+H967)/2</f>
        <v>400.179846572193</v>
      </c>
      <c r="J967" s="5" t="str">
        <f aca="false">IF(D967&lt;8,"LOW SAMPLE",IF(F967&gt;H967*(1+Assumptions!$B$10),"UNDERPAID",IF(F967&lt;G967*(1-Assumptions!$B$10),"OVERPAID","FAIR")))</f>
        <v>UNDERPAID</v>
      </c>
      <c r="K967" s="5" t="n">
        <v>1</v>
      </c>
    </row>
    <row r="968" customFormat="false" ht="15" hidden="false" customHeight="false" outlineLevel="0" collapsed="false">
      <c r="A968" s="5" t="n">
        <v>2022</v>
      </c>
      <c r="B968" s="5" t="s">
        <v>303</v>
      </c>
      <c r="C968" s="5" t="s">
        <v>331</v>
      </c>
      <c r="D968" s="5" t="n">
        <v>7</v>
      </c>
      <c r="E968" s="13" t="n">
        <v>1.36</v>
      </c>
      <c r="F968" s="14" t="n">
        <f aca="false">E968*Assumptions!$D$5</f>
        <v>183.195454645944</v>
      </c>
      <c r="G968" s="14" t="n">
        <v>615</v>
      </c>
      <c r="H968" s="14" t="n">
        <v>855</v>
      </c>
      <c r="I968" s="14" t="n">
        <f aca="false">F968-(G968+H968)/2</f>
        <v>-551.804545354056</v>
      </c>
      <c r="J968" s="5" t="str">
        <f aca="false">IF(D968&lt;8,"LOW SAMPLE",IF(F968&gt;H968*(1+Assumptions!$B$10),"UNDERPAID",IF(F968&lt;G968*(1-Assumptions!$B$10),"OVERPAID","FAIR")))</f>
        <v>LOW SAMPLE</v>
      </c>
      <c r="K968" s="5" t="n">
        <v>109</v>
      </c>
    </row>
    <row r="969" customFormat="false" ht="15" hidden="false" customHeight="false" outlineLevel="0" collapsed="false">
      <c r="A969" s="5" t="n">
        <v>2022</v>
      </c>
      <c r="B969" s="5" t="s">
        <v>303</v>
      </c>
      <c r="C969" s="5" t="s">
        <v>766</v>
      </c>
      <c r="D969" s="5" t="n">
        <v>2</v>
      </c>
      <c r="E969" s="13" t="n">
        <v>0.22</v>
      </c>
      <c r="F969" s="14" t="n">
        <f aca="false">E969*Assumptions!$D$5</f>
        <v>29.6345588397851</v>
      </c>
      <c r="G969" s="14" t="n">
        <v>225</v>
      </c>
      <c r="H969" s="14" t="n">
        <v>345</v>
      </c>
      <c r="I969" s="14" t="n">
        <f aca="false">F969-(G969+H969)/2</f>
        <v>-255.365441160215</v>
      </c>
      <c r="J969" s="5" t="str">
        <f aca="false">IF(D969&lt;8,"LOW SAMPLE",IF(F969&gt;H969*(1+Assumptions!$B$10),"UNDERPAID",IF(F969&lt;G969*(1-Assumptions!$B$10),"OVERPAID","FAIR")))</f>
        <v>LOW SAMPLE</v>
      </c>
      <c r="K969" s="5" t="n">
        <v>0</v>
      </c>
    </row>
    <row r="970" customFormat="false" ht="15" hidden="false" customHeight="false" outlineLevel="0" collapsed="false">
      <c r="A970" s="5" t="n">
        <v>2022</v>
      </c>
      <c r="B970" s="5" t="s">
        <v>303</v>
      </c>
      <c r="C970" s="5" t="s">
        <v>333</v>
      </c>
      <c r="D970" s="5" t="n">
        <v>5</v>
      </c>
      <c r="E970" s="13" t="n">
        <v>0.84</v>
      </c>
      <c r="F970" s="14" t="n">
        <f aca="false">E970*Assumptions!$D$5</f>
        <v>113.150133751907</v>
      </c>
      <c r="G970" s="14" t="n">
        <v>345</v>
      </c>
      <c r="H970" s="14" t="n">
        <v>450</v>
      </c>
      <c r="I970" s="14" t="n">
        <f aca="false">F970-(G970+H970)/2</f>
        <v>-284.349866248093</v>
      </c>
      <c r="J970" s="5" t="str">
        <f aca="false">IF(D970&lt;8,"LOW SAMPLE",IF(F970&gt;H970*(1+Assumptions!$B$10),"UNDERPAID",IF(F970&lt;G970*(1-Assumptions!$B$10),"OVERPAID","FAIR")))</f>
        <v>LOW SAMPLE</v>
      </c>
      <c r="K970" s="5" t="n">
        <v>126</v>
      </c>
    </row>
    <row r="971" customFormat="false" ht="15" hidden="false" customHeight="false" outlineLevel="0" collapsed="false">
      <c r="A971" s="5" t="n">
        <v>2022</v>
      </c>
      <c r="B971" s="5" t="s">
        <v>303</v>
      </c>
      <c r="C971" s="5" t="s">
        <v>334</v>
      </c>
      <c r="D971" s="5" t="n">
        <v>25</v>
      </c>
      <c r="E971" s="13" t="n">
        <v>5.37</v>
      </c>
      <c r="F971" s="14" t="n">
        <f aca="false">E971*Assumptions!$D$5</f>
        <v>723.352640771118</v>
      </c>
      <c r="G971" s="14" t="n">
        <v>345</v>
      </c>
      <c r="H971" s="14" t="n">
        <v>450</v>
      </c>
      <c r="I971" s="14" t="n">
        <f aca="false">F971-(G971+H971)/2</f>
        <v>325.852640771118</v>
      </c>
      <c r="J971" s="5" t="str">
        <f aca="false">IF(D971&lt;8,"LOW SAMPLE",IF(F971&gt;H971*(1+Assumptions!$B$10),"UNDERPAID",IF(F971&lt;G971*(1-Assumptions!$B$10),"OVERPAID","FAIR")))</f>
        <v>UNDERPAID</v>
      </c>
      <c r="K971" s="5" t="n">
        <v>57</v>
      </c>
    </row>
    <row r="972" customFormat="false" ht="15" hidden="false" customHeight="false" outlineLevel="0" collapsed="false">
      <c r="A972" s="5" t="n">
        <v>2022</v>
      </c>
      <c r="B972" s="5" t="s">
        <v>303</v>
      </c>
      <c r="C972" s="5" t="s">
        <v>335</v>
      </c>
      <c r="D972" s="5" t="n">
        <v>25</v>
      </c>
      <c r="E972" s="13" t="n">
        <v>7.77</v>
      </c>
      <c r="F972" s="14" t="n">
        <f aca="false">E972*Assumptions!$D$5</f>
        <v>1046.63873720514</v>
      </c>
      <c r="G972" s="14" t="n">
        <v>855</v>
      </c>
      <c r="H972" s="14" t="n">
        <v>1170</v>
      </c>
      <c r="I972" s="14" t="n">
        <f aca="false">F972-(G972+H972)/2</f>
        <v>34.1387372051377</v>
      </c>
      <c r="J972" s="5" t="str">
        <f aca="false">IF(D972&lt;8,"LOW SAMPLE",IF(F972&gt;H972*(1+Assumptions!$B$10),"UNDERPAID",IF(F972&lt;G972*(1-Assumptions!$B$10),"OVERPAID","FAIR")))</f>
        <v>FAIR</v>
      </c>
      <c r="K972" s="5" t="n">
        <v>155</v>
      </c>
    </row>
    <row r="973" customFormat="false" ht="15" hidden="false" customHeight="false" outlineLevel="0" collapsed="false">
      <c r="A973" s="5" t="n">
        <v>2022</v>
      </c>
      <c r="B973" s="5" t="s">
        <v>303</v>
      </c>
      <c r="C973" s="5" t="s">
        <v>336</v>
      </c>
      <c r="D973" s="5" t="n">
        <v>20</v>
      </c>
      <c r="E973" s="13" t="n">
        <v>5.66</v>
      </c>
      <c r="F973" s="14" t="n">
        <f aca="false">E973*Assumptions!$D$5</f>
        <v>762.416377423562</v>
      </c>
      <c r="G973" s="14" t="n">
        <v>615</v>
      </c>
      <c r="H973" s="14" t="n">
        <v>855</v>
      </c>
      <c r="I973" s="14" t="n">
        <f aca="false">F973-(G973+H973)/2</f>
        <v>27.4163774235623</v>
      </c>
      <c r="J973" s="5" t="str">
        <f aca="false">IF(D973&lt;8,"LOW SAMPLE",IF(F973&gt;H973*(1+Assumptions!$B$10),"UNDERPAID",IF(F973&lt;G973*(1-Assumptions!$B$10),"OVERPAID","FAIR")))</f>
        <v>FAIR</v>
      </c>
      <c r="K973" s="5" t="n">
        <v>106</v>
      </c>
    </row>
    <row r="974" customFormat="false" ht="15" hidden="false" customHeight="false" outlineLevel="0" collapsed="false">
      <c r="A974" s="5" t="n">
        <v>2022</v>
      </c>
      <c r="B974" s="5" t="s">
        <v>303</v>
      </c>
      <c r="C974" s="5" t="s">
        <v>767</v>
      </c>
      <c r="D974" s="5" t="n">
        <v>25</v>
      </c>
      <c r="E974" s="13" t="n">
        <v>5.77</v>
      </c>
      <c r="F974" s="14" t="n">
        <f aca="false">E974*Assumptions!$D$5</f>
        <v>777.233656843455</v>
      </c>
      <c r="G974" s="14" t="n">
        <v>225</v>
      </c>
      <c r="H974" s="14" t="n">
        <v>345</v>
      </c>
      <c r="I974" s="14" t="n">
        <f aca="false">F974-(G974+H974)/2</f>
        <v>492.233656843455</v>
      </c>
      <c r="J974" s="5" t="str">
        <f aca="false">IF(D974&lt;8,"LOW SAMPLE",IF(F974&gt;H974*(1+Assumptions!$B$10),"UNDERPAID",IF(F974&lt;G974*(1-Assumptions!$B$10),"OVERPAID","FAIR")))</f>
        <v>UNDERPAID</v>
      </c>
      <c r="K974" s="5" t="n">
        <v>16</v>
      </c>
    </row>
    <row r="975" customFormat="false" ht="15" hidden="false" customHeight="false" outlineLevel="0" collapsed="false">
      <c r="A975" s="5" t="n">
        <v>2022</v>
      </c>
      <c r="B975" s="5" t="s">
        <v>303</v>
      </c>
      <c r="C975" s="5" t="s">
        <v>337</v>
      </c>
      <c r="D975" s="5" t="n">
        <v>21</v>
      </c>
      <c r="E975" s="13" t="n">
        <v>4.03</v>
      </c>
      <c r="F975" s="14" t="n">
        <f aca="false">E975*Assumptions!$D$5</f>
        <v>542.851236928791</v>
      </c>
      <c r="G975" s="14" t="n">
        <v>225</v>
      </c>
      <c r="H975" s="14" t="n">
        <v>345</v>
      </c>
      <c r="I975" s="14" t="n">
        <f aca="false">F975-(G975+H975)/2</f>
        <v>257.851236928791</v>
      </c>
      <c r="J975" s="5" t="str">
        <f aca="false">IF(D975&lt;8,"LOW SAMPLE",IF(F975&gt;H975*(1+Assumptions!$B$10),"UNDERPAID",IF(F975&lt;G975*(1-Assumptions!$B$10),"OVERPAID","FAIR")))</f>
        <v>UNDERPAID</v>
      </c>
      <c r="K975" s="5" t="n">
        <v>33</v>
      </c>
    </row>
    <row r="976" customFormat="false" ht="15" hidden="false" customHeight="false" outlineLevel="0" collapsed="false">
      <c r="A976" s="5" t="n">
        <v>2022</v>
      </c>
      <c r="B976" s="5" t="s">
        <v>303</v>
      </c>
      <c r="C976" s="5" t="s">
        <v>338</v>
      </c>
      <c r="D976" s="5" t="n">
        <v>24</v>
      </c>
      <c r="E976" s="13" t="n">
        <v>5.02</v>
      </c>
      <c r="F976" s="14" t="n">
        <f aca="false">E976*Assumptions!$D$5</f>
        <v>676.206751707824</v>
      </c>
      <c r="G976" s="14" t="n">
        <v>450</v>
      </c>
      <c r="H976" s="14" t="n">
        <v>615</v>
      </c>
      <c r="I976" s="14" t="n">
        <f aca="false">F976-(G976+H976)/2</f>
        <v>143.706751707824</v>
      </c>
      <c r="J976" s="5" t="str">
        <f aca="false">IF(D976&lt;8,"LOW SAMPLE",IF(F976&gt;H976*(1+Assumptions!$B$10),"UNDERPAID",IF(F976&lt;G976*(1-Assumptions!$B$10),"OVERPAID","FAIR")))</f>
        <v>FAIR</v>
      </c>
      <c r="K976" s="5" t="n">
        <v>150</v>
      </c>
    </row>
    <row r="977" customFormat="false" ht="15" hidden="false" customHeight="false" outlineLevel="0" collapsed="false">
      <c r="A977" s="5" t="n">
        <v>2022</v>
      </c>
      <c r="B977" s="5" t="s">
        <v>339</v>
      </c>
      <c r="C977" s="5" t="s">
        <v>340</v>
      </c>
      <c r="D977" s="5" t="n">
        <v>15</v>
      </c>
      <c r="E977" s="13" t="n">
        <v>2.13</v>
      </c>
      <c r="F977" s="14" t="n">
        <f aca="false">E977*Assumptions!$D$5</f>
        <v>286.916410585192</v>
      </c>
      <c r="G977" s="14" t="n">
        <v>125</v>
      </c>
      <c r="H977" s="14" t="n">
        <v>225</v>
      </c>
      <c r="I977" s="14" t="n">
        <f aca="false">F977-(G977+H977)/2</f>
        <v>111.916410585192</v>
      </c>
      <c r="J977" s="5" t="str">
        <f aca="false">IF(D977&lt;8,"LOW SAMPLE",IF(F977&gt;H977*(1+Assumptions!$B$10),"UNDERPAID",IF(F977&lt;G977*(1-Assumptions!$B$10),"OVERPAID","FAIR")))</f>
        <v>UNDERPAID</v>
      </c>
      <c r="K977" s="5" t="n">
        <v>1</v>
      </c>
    </row>
    <row r="978" customFormat="false" ht="15" hidden="false" customHeight="false" outlineLevel="0" collapsed="false">
      <c r="A978" s="5" t="n">
        <v>2022</v>
      </c>
      <c r="B978" s="5" t="s">
        <v>339</v>
      </c>
      <c r="C978" s="5" t="s">
        <v>341</v>
      </c>
      <c r="D978" s="5" t="n">
        <v>4</v>
      </c>
      <c r="E978" s="13" t="n">
        <v>0.52</v>
      </c>
      <c r="F978" s="14" t="n">
        <f aca="false">E978*Assumptions!$D$5</f>
        <v>70.0453208940375</v>
      </c>
      <c r="G978" s="14" t="n">
        <v>345</v>
      </c>
      <c r="H978" s="14" t="n">
        <v>450</v>
      </c>
      <c r="I978" s="14" t="n">
        <f aca="false">F978-(G978+H978)/2</f>
        <v>-327.454679105962</v>
      </c>
      <c r="J978" s="5" t="str">
        <f aca="false">IF(D978&lt;8,"LOW SAMPLE",IF(F978&gt;H978*(1+Assumptions!$B$10),"UNDERPAID",IF(F978&lt;G978*(1-Assumptions!$B$10),"OVERPAID","FAIR")))</f>
        <v>LOW SAMPLE</v>
      </c>
      <c r="K978" s="5" t="n">
        <v>130</v>
      </c>
    </row>
    <row r="979" customFormat="false" ht="15" hidden="false" customHeight="false" outlineLevel="0" collapsed="false">
      <c r="A979" s="5" t="n">
        <v>2022</v>
      </c>
      <c r="B979" s="5" t="s">
        <v>339</v>
      </c>
      <c r="C979" s="5" t="s">
        <v>342</v>
      </c>
      <c r="D979" s="5" t="n">
        <v>22</v>
      </c>
      <c r="E979" s="13" t="n">
        <v>4.93</v>
      </c>
      <c r="F979" s="14" t="n">
        <f aca="false">E979*Assumptions!$D$5</f>
        <v>664.083523091548</v>
      </c>
      <c r="G979" s="14" t="n">
        <v>345</v>
      </c>
      <c r="H979" s="14" t="n">
        <v>450</v>
      </c>
      <c r="I979" s="14" t="n">
        <f aca="false">F979-(G979+H979)/2</f>
        <v>266.583523091548</v>
      </c>
      <c r="J979" s="5" t="str">
        <f aca="false">IF(D979&lt;8,"LOW SAMPLE",IF(F979&gt;H979*(1+Assumptions!$B$10),"UNDERPAID",IF(F979&lt;G979*(1-Assumptions!$B$10),"OVERPAID","FAIR")))</f>
        <v>UNDERPAID</v>
      </c>
      <c r="K979" s="5" t="n">
        <v>74</v>
      </c>
    </row>
    <row r="980" customFormat="false" ht="15" hidden="false" customHeight="false" outlineLevel="0" collapsed="false">
      <c r="A980" s="5" t="n">
        <v>2022</v>
      </c>
      <c r="B980" s="5" t="s">
        <v>339</v>
      </c>
      <c r="C980" s="5" t="s">
        <v>344</v>
      </c>
      <c r="D980" s="5" t="n">
        <v>21</v>
      </c>
      <c r="E980" s="13" t="n">
        <v>4.36</v>
      </c>
      <c r="F980" s="14" t="n">
        <f aca="false">E980*Assumptions!$D$5</f>
        <v>587.303075188469</v>
      </c>
      <c r="G980" s="14" t="n">
        <v>450</v>
      </c>
      <c r="H980" s="14" t="n">
        <v>615</v>
      </c>
      <c r="I980" s="14" t="n">
        <f aca="false">F980-(G980+H980)/2</f>
        <v>54.8030751884685</v>
      </c>
      <c r="J980" s="5" t="str">
        <f aca="false">IF(D980&lt;8,"LOW SAMPLE",IF(F980&gt;H980*(1+Assumptions!$B$10),"UNDERPAID",IF(F980&lt;G980*(1-Assumptions!$B$10),"OVERPAID","FAIR")))</f>
        <v>FAIR</v>
      </c>
      <c r="K980" s="5" t="n">
        <v>145</v>
      </c>
    </row>
    <row r="981" customFormat="false" ht="15" hidden="false" customHeight="false" outlineLevel="0" collapsed="false">
      <c r="A981" s="5" t="n">
        <v>2022</v>
      </c>
      <c r="B981" s="5" t="s">
        <v>339</v>
      </c>
      <c r="C981" s="5" t="s">
        <v>345</v>
      </c>
      <c r="D981" s="5" t="n">
        <v>14</v>
      </c>
      <c r="E981" s="13" t="n">
        <v>2.46</v>
      </c>
      <c r="F981" s="14" t="n">
        <f aca="false">E981*Assumptions!$D$5</f>
        <v>331.36824884487</v>
      </c>
      <c r="G981" s="14" t="n">
        <v>345</v>
      </c>
      <c r="H981" s="14" t="n">
        <v>450</v>
      </c>
      <c r="I981" s="14" t="n">
        <f aca="false">F981-(G981+H981)/2</f>
        <v>-66.1317511551302</v>
      </c>
      <c r="J981" s="5" t="str">
        <f aca="false">IF(D981&lt;8,"LOW SAMPLE",IF(F981&gt;H981*(1+Assumptions!$B$10),"UNDERPAID",IF(F981&lt;G981*(1-Assumptions!$B$10),"OVERPAID","FAIR")))</f>
        <v>FAIR</v>
      </c>
      <c r="K981" s="5" t="n">
        <v>62</v>
      </c>
    </row>
    <row r="982" customFormat="false" ht="15" hidden="false" customHeight="false" outlineLevel="0" collapsed="false">
      <c r="A982" s="5" t="n">
        <v>2022</v>
      </c>
      <c r="B982" s="5" t="s">
        <v>339</v>
      </c>
      <c r="C982" s="5" t="s">
        <v>346</v>
      </c>
      <c r="D982" s="5" t="n">
        <v>15</v>
      </c>
      <c r="E982" s="13" t="n">
        <v>3.03</v>
      </c>
      <c r="F982" s="14" t="n">
        <f aca="false">E982*Assumptions!$D$5</f>
        <v>408.148696747949</v>
      </c>
      <c r="G982" s="14" t="n">
        <v>125</v>
      </c>
      <c r="H982" s="14" t="n">
        <v>225</v>
      </c>
      <c r="I982" s="14" t="n">
        <f aca="false">F982-(G982+H982)/2</f>
        <v>233.148696747949</v>
      </c>
      <c r="J982" s="5" t="str">
        <f aca="false">IF(D982&lt;8,"LOW SAMPLE",IF(F982&gt;H982*(1+Assumptions!$B$10),"UNDERPAID",IF(F982&lt;G982*(1-Assumptions!$B$10),"OVERPAID","FAIR")))</f>
        <v>UNDERPAID</v>
      </c>
      <c r="K982" s="5" t="n">
        <v>22</v>
      </c>
    </row>
    <row r="983" customFormat="false" ht="15" hidden="false" customHeight="false" outlineLevel="0" collapsed="false">
      <c r="A983" s="5" t="n">
        <v>2022</v>
      </c>
      <c r="B983" s="5" t="s">
        <v>339</v>
      </c>
      <c r="C983" s="5" t="s">
        <v>347</v>
      </c>
      <c r="D983" s="5" t="n">
        <v>18</v>
      </c>
      <c r="E983" s="13" t="n">
        <v>3.31</v>
      </c>
      <c r="F983" s="14" t="n">
        <f aca="false">E983*Assumptions!$D$5</f>
        <v>445.865407998585</v>
      </c>
      <c r="G983" s="14" t="n">
        <v>345</v>
      </c>
      <c r="H983" s="14" t="n">
        <v>450</v>
      </c>
      <c r="I983" s="14" t="n">
        <f aca="false">F983-(G983+H983)/2</f>
        <v>48.3654079985851</v>
      </c>
      <c r="J983" s="5" t="str">
        <f aca="false">IF(D983&lt;8,"LOW SAMPLE",IF(F983&gt;H983*(1+Assumptions!$B$10),"UNDERPAID",IF(F983&lt;G983*(1-Assumptions!$B$10),"OVERPAID","FAIR")))</f>
        <v>FAIR</v>
      </c>
      <c r="K983" s="5" t="n">
        <v>69</v>
      </c>
    </row>
    <row r="984" customFormat="false" ht="15" hidden="false" customHeight="false" outlineLevel="0" collapsed="false">
      <c r="A984" s="5" t="n">
        <v>2022</v>
      </c>
      <c r="B984" s="5" t="s">
        <v>339</v>
      </c>
      <c r="C984" s="5" t="s">
        <v>307</v>
      </c>
      <c r="D984" s="5" t="n">
        <v>2</v>
      </c>
      <c r="E984" s="13" t="n">
        <v>0.03</v>
      </c>
      <c r="F984" s="14" t="n">
        <f aca="false">E984*Assumptions!$D$5</f>
        <v>4.04107620542524</v>
      </c>
      <c r="G984" s="14" t="n">
        <v>125</v>
      </c>
      <c r="H984" s="14" t="n">
        <v>225</v>
      </c>
      <c r="I984" s="14" t="n">
        <f aca="false">F984-(G984+H984)/2</f>
        <v>-170.958923794575</v>
      </c>
      <c r="J984" s="5" t="str">
        <f aca="false">IF(D984&lt;8,"LOW SAMPLE",IF(F984&gt;H984*(1+Assumptions!$B$10),"UNDERPAID",IF(F984&lt;G984*(1-Assumptions!$B$10),"OVERPAID","FAIR")))</f>
        <v>LOW SAMPLE</v>
      </c>
      <c r="K984" s="5" t="n">
        <v>12</v>
      </c>
    </row>
    <row r="985" customFormat="false" ht="15" hidden="false" customHeight="false" outlineLevel="0" collapsed="false">
      <c r="A985" s="5" t="n">
        <v>2022</v>
      </c>
      <c r="B985" s="5" t="s">
        <v>339</v>
      </c>
      <c r="C985" s="5" t="s">
        <v>348</v>
      </c>
      <c r="D985" s="5" t="n">
        <v>2</v>
      </c>
      <c r="E985" s="13" t="n">
        <v>0.31</v>
      </c>
      <c r="F985" s="14" t="n">
        <f aca="false">E985*Assumptions!$D$5</f>
        <v>41.7577874560608</v>
      </c>
      <c r="G985" s="14" t="n">
        <v>345</v>
      </c>
      <c r="H985" s="14" t="n">
        <v>450</v>
      </c>
      <c r="I985" s="14" t="n">
        <f aca="false">F985-(G985+H985)/2</f>
        <v>-355.742212543939</v>
      </c>
      <c r="J985" s="5" t="str">
        <f aca="false">IF(D985&lt;8,"LOW SAMPLE",IF(F985&gt;H985*(1+Assumptions!$B$10),"UNDERPAID",IF(F985&lt;G985*(1-Assumptions!$B$10),"OVERPAID","FAIR")))</f>
        <v>LOW SAMPLE</v>
      </c>
      <c r="K985" s="5" t="n">
        <v>33</v>
      </c>
    </row>
    <row r="986" customFormat="false" ht="15" hidden="false" customHeight="false" outlineLevel="0" collapsed="false">
      <c r="A986" s="5" t="n">
        <v>2022</v>
      </c>
      <c r="B986" s="5" t="s">
        <v>339</v>
      </c>
      <c r="C986" s="5" t="s">
        <v>349</v>
      </c>
      <c r="D986" s="5" t="n">
        <v>9</v>
      </c>
      <c r="E986" s="13" t="n">
        <v>1.49</v>
      </c>
      <c r="F986" s="14" t="n">
        <f aca="false">E986*Assumptions!$D$5</f>
        <v>200.706784869454</v>
      </c>
      <c r="G986" s="14" t="n">
        <v>125</v>
      </c>
      <c r="H986" s="14" t="n">
        <v>225</v>
      </c>
      <c r="I986" s="14" t="n">
        <f aca="false">F986-(G986+H986)/2</f>
        <v>25.7067848694537</v>
      </c>
      <c r="J986" s="5" t="str">
        <f aca="false">IF(D986&lt;8,"LOW SAMPLE",IF(F986&gt;H986*(1+Assumptions!$B$10),"UNDERPAID",IF(F986&lt;G986*(1-Assumptions!$B$10),"OVERPAID","FAIR")))</f>
        <v>FAIR</v>
      </c>
      <c r="K986" s="5" t="n">
        <v>17</v>
      </c>
    </row>
    <row r="987" customFormat="false" ht="15" hidden="false" customHeight="false" outlineLevel="0" collapsed="false">
      <c r="A987" s="5" t="n">
        <v>2022</v>
      </c>
      <c r="B987" s="5" t="s">
        <v>339</v>
      </c>
      <c r="C987" s="5" t="s">
        <v>350</v>
      </c>
      <c r="D987" s="5" t="n">
        <v>10</v>
      </c>
      <c r="E987" s="13" t="n">
        <v>1.22</v>
      </c>
      <c r="F987" s="14" t="n">
        <f aca="false">E987*Assumptions!$D$5</f>
        <v>164.337099020627</v>
      </c>
      <c r="G987" s="14" t="n">
        <v>345</v>
      </c>
      <c r="H987" s="14" t="n">
        <v>450</v>
      </c>
      <c r="I987" s="14" t="n">
        <f aca="false">F987-(G987+H987)/2</f>
        <v>-233.162900979374</v>
      </c>
      <c r="J987" s="5" t="str">
        <f aca="false">IF(D987&lt;8,"LOW SAMPLE",IF(F987&gt;H987*(1+Assumptions!$B$10),"UNDERPAID",IF(F987&lt;G987*(1-Assumptions!$B$10),"OVERPAID","FAIR")))</f>
        <v>OVERPAID</v>
      </c>
      <c r="K987" s="5" t="n">
        <v>62</v>
      </c>
    </row>
    <row r="988" customFormat="false" ht="15" hidden="false" customHeight="false" outlineLevel="0" collapsed="false">
      <c r="A988" s="5" t="n">
        <v>2022</v>
      </c>
      <c r="B988" s="5" t="s">
        <v>339</v>
      </c>
      <c r="C988" s="5" t="s">
        <v>351</v>
      </c>
      <c r="D988" s="5" t="n">
        <v>22</v>
      </c>
      <c r="E988" s="13" t="n">
        <v>5.88</v>
      </c>
      <c r="F988" s="14" t="n">
        <f aca="false">E988*Assumptions!$D$5</f>
        <v>792.050936263347</v>
      </c>
      <c r="G988" s="14" t="n">
        <v>450</v>
      </c>
      <c r="H988" s="14" t="n">
        <v>615</v>
      </c>
      <c r="I988" s="14" t="n">
        <f aca="false">F988-(G988+H988)/2</f>
        <v>259.550936263347</v>
      </c>
      <c r="J988" s="5" t="str">
        <f aca="false">IF(D988&lt;8,"LOW SAMPLE",IF(F988&gt;H988*(1+Assumptions!$B$10),"UNDERPAID",IF(F988&lt;G988*(1-Assumptions!$B$10),"OVERPAID","FAIR")))</f>
        <v>UNDERPAID</v>
      </c>
      <c r="K988" s="5" t="n">
        <v>102</v>
      </c>
    </row>
    <row r="989" customFormat="false" ht="15" hidden="false" customHeight="false" outlineLevel="0" collapsed="false">
      <c r="A989" s="5" t="n">
        <v>2022</v>
      </c>
      <c r="B989" s="5" t="s">
        <v>339</v>
      </c>
      <c r="C989" s="5" t="s">
        <v>768</v>
      </c>
      <c r="D989" s="5" t="n">
        <v>5</v>
      </c>
      <c r="E989" s="13" t="n">
        <v>1.08</v>
      </c>
      <c r="F989" s="14" t="n">
        <f aca="false">E989*Assumptions!$D$5</f>
        <v>145.478743395309</v>
      </c>
      <c r="G989" s="14" t="n">
        <v>225</v>
      </c>
      <c r="H989" s="14" t="n">
        <v>345</v>
      </c>
      <c r="I989" s="14" t="n">
        <f aca="false">F989-(G989+H989)/2</f>
        <v>-139.521256604691</v>
      </c>
      <c r="J989" s="5" t="str">
        <f aca="false">IF(D989&lt;8,"LOW SAMPLE",IF(F989&gt;H989*(1+Assumptions!$B$10),"UNDERPAID",IF(F989&lt;G989*(1-Assumptions!$B$10),"OVERPAID","FAIR")))</f>
        <v>LOW SAMPLE</v>
      </c>
      <c r="K989" s="5" t="n">
        <v>0</v>
      </c>
    </row>
    <row r="990" customFormat="false" ht="15" hidden="false" customHeight="false" outlineLevel="0" collapsed="false">
      <c r="A990" s="5" t="n">
        <v>2022</v>
      </c>
      <c r="B990" s="5" t="s">
        <v>339</v>
      </c>
      <c r="C990" s="5" t="s">
        <v>769</v>
      </c>
      <c r="D990" s="5" t="n">
        <v>5</v>
      </c>
      <c r="E990" s="13" t="n">
        <v>0.42</v>
      </c>
      <c r="F990" s="14" t="n">
        <f aca="false">E990*Assumptions!$D$5</f>
        <v>56.5750668759534</v>
      </c>
      <c r="G990" s="14" t="n">
        <v>225</v>
      </c>
      <c r="H990" s="14" t="n">
        <v>345</v>
      </c>
      <c r="I990" s="14" t="n">
        <f aca="false">F990-(G990+H990)/2</f>
        <v>-228.424933124047</v>
      </c>
      <c r="J990" s="5" t="str">
        <f aca="false">IF(D990&lt;8,"LOW SAMPLE",IF(F990&gt;H990*(1+Assumptions!$B$10),"UNDERPAID",IF(F990&lt;G990*(1-Assumptions!$B$10),"OVERPAID","FAIR")))</f>
        <v>LOW SAMPLE</v>
      </c>
      <c r="K990" s="5" t="n">
        <v>0</v>
      </c>
    </row>
    <row r="991" customFormat="false" ht="15" hidden="false" customHeight="false" outlineLevel="0" collapsed="false">
      <c r="A991" s="5" t="n">
        <v>2022</v>
      </c>
      <c r="B991" s="5" t="s">
        <v>339</v>
      </c>
      <c r="C991" s="5" t="s">
        <v>353</v>
      </c>
      <c r="D991" s="5" t="n">
        <v>18</v>
      </c>
      <c r="E991" s="13" t="n">
        <v>3.98</v>
      </c>
      <c r="F991" s="14" t="n">
        <f aca="false">E991*Assumptions!$D$5</f>
        <v>536.116109919749</v>
      </c>
      <c r="G991" s="14" t="n">
        <v>345</v>
      </c>
      <c r="H991" s="14" t="n">
        <v>450</v>
      </c>
      <c r="I991" s="14" t="n">
        <f aca="false">F991-(G991+H991)/2</f>
        <v>138.616109919749</v>
      </c>
      <c r="J991" s="5" t="str">
        <f aca="false">IF(D991&lt;8,"LOW SAMPLE",IF(F991&gt;H991*(1+Assumptions!$B$10),"UNDERPAID",IF(F991&lt;G991*(1-Assumptions!$B$10),"OVERPAID","FAIR")))</f>
        <v>UNDERPAID</v>
      </c>
      <c r="K991" s="5" t="n">
        <v>30</v>
      </c>
    </row>
    <row r="992" customFormat="false" ht="15" hidden="false" customHeight="false" outlineLevel="0" collapsed="false">
      <c r="A992" s="5" t="n">
        <v>2022</v>
      </c>
      <c r="B992" s="5" t="s">
        <v>339</v>
      </c>
      <c r="C992" s="5" t="s">
        <v>354</v>
      </c>
      <c r="D992" s="5" t="n">
        <v>5</v>
      </c>
      <c r="E992" s="13" t="n">
        <v>0.86</v>
      </c>
      <c r="F992" s="14" t="n">
        <f aca="false">E992*Assumptions!$D$5</f>
        <v>115.844184555524</v>
      </c>
      <c r="G992" s="14" t="n">
        <v>450</v>
      </c>
      <c r="H992" s="14" t="n">
        <v>615</v>
      </c>
      <c r="I992" s="14" t="n">
        <f aca="false">F992-(G992+H992)/2</f>
        <v>-416.655815444476</v>
      </c>
      <c r="J992" s="5" t="str">
        <f aca="false">IF(D992&lt;8,"LOW SAMPLE",IF(F992&gt;H992*(1+Assumptions!$B$10),"UNDERPAID",IF(F992&lt;G992*(1-Assumptions!$B$10),"OVERPAID","FAIR")))</f>
        <v>LOW SAMPLE</v>
      </c>
      <c r="K992" s="5" t="n">
        <v>78</v>
      </c>
    </row>
    <row r="993" customFormat="false" ht="15" hidden="false" customHeight="false" outlineLevel="0" collapsed="false">
      <c r="A993" s="5" t="n">
        <v>2022</v>
      </c>
      <c r="B993" s="5" t="s">
        <v>339</v>
      </c>
      <c r="C993" s="5" t="s">
        <v>355</v>
      </c>
      <c r="D993" s="5" t="n">
        <v>13</v>
      </c>
      <c r="E993" s="13" t="n">
        <v>2.9</v>
      </c>
      <c r="F993" s="14" t="n">
        <f aca="false">E993*Assumptions!$D$5</f>
        <v>390.63736652444</v>
      </c>
      <c r="G993" s="14" t="n">
        <v>450</v>
      </c>
      <c r="H993" s="14" t="n">
        <v>615</v>
      </c>
      <c r="I993" s="14" t="n">
        <f aca="false">F993-(G993+H993)/2</f>
        <v>-141.86263347556</v>
      </c>
      <c r="J993" s="5" t="str">
        <f aca="false">IF(D993&lt;8,"LOW SAMPLE",IF(F993&gt;H993*(1+Assumptions!$B$10),"UNDERPAID",IF(F993&lt;G993*(1-Assumptions!$B$10),"OVERPAID","FAIR")))</f>
        <v>FAIR</v>
      </c>
      <c r="K993" s="5" t="n">
        <v>60</v>
      </c>
    </row>
    <row r="994" customFormat="false" ht="15" hidden="false" customHeight="false" outlineLevel="0" collapsed="false">
      <c r="A994" s="5" t="n">
        <v>2022</v>
      </c>
      <c r="B994" s="5" t="s">
        <v>339</v>
      </c>
      <c r="C994" s="5" t="s">
        <v>770</v>
      </c>
      <c r="D994" s="5" t="n">
        <v>1</v>
      </c>
      <c r="E994" s="13" t="n">
        <v>0.06</v>
      </c>
      <c r="F994" s="14" t="n">
        <f aca="false">E994*Assumptions!$D$5</f>
        <v>8.08215241085048</v>
      </c>
      <c r="G994" s="14" t="n">
        <v>225</v>
      </c>
      <c r="H994" s="14" t="n">
        <v>345</v>
      </c>
      <c r="I994" s="14" t="n">
        <f aca="false">F994-(G994+H994)/2</f>
        <v>-276.91784758915</v>
      </c>
      <c r="J994" s="5" t="str">
        <f aca="false">IF(D994&lt;8,"LOW SAMPLE",IF(F994&gt;H994*(1+Assumptions!$B$10),"UNDERPAID",IF(F994&lt;G994*(1-Assumptions!$B$10),"OVERPAID","FAIR")))</f>
        <v>LOW SAMPLE</v>
      </c>
      <c r="K994" s="5" t="n">
        <v>0</v>
      </c>
    </row>
    <row r="995" customFormat="false" ht="15" hidden="false" customHeight="false" outlineLevel="0" collapsed="false">
      <c r="A995" s="5" t="n">
        <v>2022</v>
      </c>
      <c r="B995" s="5" t="s">
        <v>339</v>
      </c>
      <c r="C995" s="5" t="s">
        <v>358</v>
      </c>
      <c r="D995" s="5" t="n">
        <v>22</v>
      </c>
      <c r="E995" s="13" t="n">
        <v>5.87</v>
      </c>
      <c r="F995" s="14" t="n">
        <f aca="false">E995*Assumptions!$D$5</f>
        <v>790.703910861539</v>
      </c>
      <c r="G995" s="14" t="n">
        <v>345</v>
      </c>
      <c r="H995" s="14" t="n">
        <v>450</v>
      </c>
      <c r="I995" s="14" t="n">
        <f aca="false">F995-(G995+H995)/2</f>
        <v>393.203910861539</v>
      </c>
      <c r="J995" s="5" t="str">
        <f aca="false">IF(D995&lt;8,"LOW SAMPLE",IF(F995&gt;H995*(1+Assumptions!$B$10),"UNDERPAID",IF(F995&lt;G995*(1-Assumptions!$B$10),"OVERPAID","FAIR")))</f>
        <v>UNDERPAID</v>
      </c>
      <c r="K995" s="5" t="n">
        <v>95</v>
      </c>
    </row>
    <row r="996" customFormat="false" ht="15" hidden="false" customHeight="false" outlineLevel="0" collapsed="false">
      <c r="A996" s="5" t="n">
        <v>2022</v>
      </c>
      <c r="B996" s="5" t="s">
        <v>339</v>
      </c>
      <c r="C996" s="5" t="s">
        <v>359</v>
      </c>
      <c r="D996" s="5" t="n">
        <v>12</v>
      </c>
      <c r="E996" s="13" t="n">
        <v>1.09</v>
      </c>
      <c r="F996" s="14" t="n">
        <f aca="false">E996*Assumptions!$D$5</f>
        <v>146.825768797117</v>
      </c>
      <c r="G996" s="14" t="n">
        <v>125</v>
      </c>
      <c r="H996" s="14" t="n">
        <v>225</v>
      </c>
      <c r="I996" s="14" t="n">
        <f aca="false">F996-(G996+H996)/2</f>
        <v>-28.1742312028829</v>
      </c>
      <c r="J996" s="5" t="str">
        <f aca="false">IF(D996&lt;8,"LOW SAMPLE",IF(F996&gt;H996*(1+Assumptions!$B$10),"UNDERPAID",IF(F996&lt;G996*(1-Assumptions!$B$10),"OVERPAID","FAIR")))</f>
        <v>FAIR</v>
      </c>
      <c r="K996" s="5" t="n">
        <v>11</v>
      </c>
    </row>
    <row r="997" customFormat="false" ht="15" hidden="false" customHeight="false" outlineLevel="0" collapsed="false">
      <c r="A997" s="5" t="n">
        <v>2022</v>
      </c>
      <c r="B997" s="5" t="s">
        <v>339</v>
      </c>
      <c r="C997" s="5" t="s">
        <v>360</v>
      </c>
      <c r="D997" s="5" t="n">
        <v>5</v>
      </c>
      <c r="E997" s="13" t="n">
        <v>1.04</v>
      </c>
      <c r="F997" s="14" t="n">
        <f aca="false">E997*Assumptions!$D$5</f>
        <v>140.090641788075</v>
      </c>
      <c r="G997" s="14" t="n">
        <v>125</v>
      </c>
      <c r="H997" s="14" t="n">
        <v>225</v>
      </c>
      <c r="I997" s="14" t="n">
        <f aca="false">F997-(G997+H997)/2</f>
        <v>-34.9093582119249</v>
      </c>
      <c r="J997" s="5" t="str">
        <f aca="false">IF(D997&lt;8,"LOW SAMPLE",IF(F997&gt;H997*(1+Assumptions!$B$10),"UNDERPAID",IF(F997&lt;G997*(1-Assumptions!$B$10),"OVERPAID","FAIR")))</f>
        <v>LOW SAMPLE</v>
      </c>
      <c r="K997" s="5" t="n">
        <v>4</v>
      </c>
    </row>
    <row r="998" customFormat="false" ht="15" hidden="false" customHeight="false" outlineLevel="0" collapsed="false">
      <c r="A998" s="5" t="n">
        <v>2022</v>
      </c>
      <c r="B998" s="5" t="s">
        <v>339</v>
      </c>
      <c r="C998" s="5" t="s">
        <v>361</v>
      </c>
      <c r="D998" s="5" t="n">
        <v>4</v>
      </c>
      <c r="E998" s="13" t="n">
        <v>0.44</v>
      </c>
      <c r="F998" s="14" t="n">
        <f aca="false">E998*Assumptions!$D$5</f>
        <v>59.2691176795702</v>
      </c>
      <c r="G998" s="14" t="n">
        <v>225</v>
      </c>
      <c r="H998" s="14" t="n">
        <v>345</v>
      </c>
      <c r="I998" s="14" t="n">
        <f aca="false">F998-(G998+H998)/2</f>
        <v>-225.73088232043</v>
      </c>
      <c r="J998" s="5" t="str">
        <f aca="false">IF(D998&lt;8,"LOW SAMPLE",IF(F998&gt;H998*(1+Assumptions!$B$10),"UNDERPAID",IF(F998&lt;G998*(1-Assumptions!$B$10),"OVERPAID","FAIR")))</f>
        <v>LOW SAMPLE</v>
      </c>
      <c r="K998" s="5" t="n">
        <v>32</v>
      </c>
    </row>
    <row r="999" customFormat="false" ht="15" hidden="false" customHeight="false" outlineLevel="0" collapsed="false">
      <c r="A999" s="5" t="n">
        <v>2022</v>
      </c>
      <c r="B999" s="5" t="s">
        <v>339</v>
      </c>
      <c r="C999" s="5" t="s">
        <v>362</v>
      </c>
      <c r="D999" s="5" t="n">
        <v>14</v>
      </c>
      <c r="E999" s="13" t="n">
        <v>2.06</v>
      </c>
      <c r="F999" s="14" t="n">
        <f aca="false">E999*Assumptions!$D$5</f>
        <v>277.487232772533</v>
      </c>
      <c r="G999" s="14" t="n">
        <v>125</v>
      </c>
      <c r="H999" s="14" t="n">
        <v>225</v>
      </c>
      <c r="I999" s="14" t="n">
        <f aca="false">F999-(G999+H999)/2</f>
        <v>102.487232772533</v>
      </c>
      <c r="J999" s="5" t="str">
        <f aca="false">IF(D999&lt;8,"LOW SAMPLE",IF(F999&gt;H999*(1+Assumptions!$B$10),"UNDERPAID",IF(F999&lt;G999*(1-Assumptions!$B$10),"OVERPAID","FAIR")))</f>
        <v>UNDERPAID</v>
      </c>
      <c r="K999" s="5" t="n">
        <v>11</v>
      </c>
    </row>
    <row r="1000" customFormat="false" ht="15" hidden="false" customHeight="false" outlineLevel="0" collapsed="false">
      <c r="A1000" s="5" t="n">
        <v>2022</v>
      </c>
      <c r="B1000" s="5" t="s">
        <v>339</v>
      </c>
      <c r="C1000" s="5" t="s">
        <v>363</v>
      </c>
      <c r="D1000" s="5" t="n">
        <v>11</v>
      </c>
      <c r="E1000" s="13" t="n">
        <v>2.68</v>
      </c>
      <c r="F1000" s="14" t="n">
        <f aca="false">E1000*Assumptions!$D$5</f>
        <v>361.002807684655</v>
      </c>
      <c r="G1000" s="14" t="n">
        <v>450</v>
      </c>
      <c r="H1000" s="14" t="n">
        <v>615</v>
      </c>
      <c r="I1000" s="14" t="n">
        <f aca="false">F1000-(G1000+H1000)/2</f>
        <v>-171.497192315345</v>
      </c>
      <c r="J1000" s="5" t="str">
        <f aca="false">IF(D1000&lt;8,"LOW SAMPLE",IF(F1000&gt;H1000*(1+Assumptions!$B$10),"UNDERPAID",IF(F1000&lt;G1000*(1-Assumptions!$B$10),"OVERPAID","FAIR")))</f>
        <v>OVERPAID</v>
      </c>
      <c r="K1000" s="5" t="n">
        <v>116</v>
      </c>
    </row>
    <row r="1001" customFormat="false" ht="15" hidden="false" customHeight="false" outlineLevel="0" collapsed="false">
      <c r="A1001" s="5" t="n">
        <v>2022</v>
      </c>
      <c r="B1001" s="5" t="s">
        <v>339</v>
      </c>
      <c r="C1001" s="5" t="s">
        <v>122</v>
      </c>
      <c r="D1001" s="5" t="n">
        <v>21</v>
      </c>
      <c r="E1001" s="13" t="n">
        <v>4.28</v>
      </c>
      <c r="F1001" s="14" t="n">
        <f aca="false">E1001*Assumptions!$D$5</f>
        <v>576.526871974001</v>
      </c>
      <c r="G1001" s="14" t="n">
        <v>345</v>
      </c>
      <c r="H1001" s="14" t="n">
        <v>450</v>
      </c>
      <c r="I1001" s="14" t="n">
        <f aca="false">F1001-(G1001+H1001)/2</f>
        <v>179.026871974001</v>
      </c>
      <c r="J1001" s="5" t="str">
        <f aca="false">IF(D1001&lt;8,"LOW SAMPLE",IF(F1001&gt;H1001*(1+Assumptions!$B$10),"UNDERPAID",IF(F1001&lt;G1001*(1-Assumptions!$B$10),"OVERPAID","FAIR")))</f>
        <v>UNDERPAID</v>
      </c>
      <c r="K1001" s="5" t="n">
        <v>118</v>
      </c>
    </row>
    <row r="1002" customFormat="false" ht="15" hidden="false" customHeight="false" outlineLevel="0" collapsed="false">
      <c r="A1002" s="5" t="n">
        <v>2022</v>
      </c>
      <c r="B1002" s="5" t="s">
        <v>339</v>
      </c>
      <c r="C1002" s="5" t="s">
        <v>548</v>
      </c>
      <c r="D1002" s="5" t="n">
        <v>22</v>
      </c>
      <c r="E1002" s="13" t="n">
        <v>5.24</v>
      </c>
      <c r="F1002" s="14" t="n">
        <f aca="false">E1002*Assumptions!$D$5</f>
        <v>705.841310547609</v>
      </c>
      <c r="G1002" s="14" t="n">
        <v>225</v>
      </c>
      <c r="H1002" s="14" t="n">
        <v>345</v>
      </c>
      <c r="I1002" s="14" t="n">
        <f aca="false">F1002-(G1002+H1002)/2</f>
        <v>420.841310547609</v>
      </c>
      <c r="J1002" s="5" t="str">
        <f aca="false">IF(D1002&lt;8,"LOW SAMPLE",IF(F1002&gt;H1002*(1+Assumptions!$B$10),"UNDERPAID",IF(F1002&lt;G1002*(1-Assumptions!$B$10),"OVERPAID","FAIR")))</f>
        <v>UNDERPAID</v>
      </c>
      <c r="K1002" s="5" t="n">
        <v>31</v>
      </c>
    </row>
    <row r="1003" customFormat="false" ht="15" hidden="false" customHeight="false" outlineLevel="0" collapsed="false">
      <c r="A1003" s="5" t="n">
        <v>2022</v>
      </c>
      <c r="B1003" s="5" t="s">
        <v>339</v>
      </c>
      <c r="C1003" s="5" t="s">
        <v>771</v>
      </c>
      <c r="D1003" s="5" t="n">
        <v>4</v>
      </c>
      <c r="E1003" s="13" t="n">
        <v>0.61</v>
      </c>
      <c r="F1003" s="14" t="n">
        <f aca="false">E1003*Assumptions!$D$5</f>
        <v>82.1685495103133</v>
      </c>
      <c r="G1003" s="14" t="n">
        <v>225</v>
      </c>
      <c r="H1003" s="14" t="n">
        <v>345</v>
      </c>
      <c r="I1003" s="14" t="n">
        <f aca="false">F1003-(G1003+H1003)/2</f>
        <v>-202.831450489687</v>
      </c>
      <c r="J1003" s="5" t="str">
        <f aca="false">IF(D1003&lt;8,"LOW SAMPLE",IF(F1003&gt;H1003*(1+Assumptions!$B$10),"UNDERPAID",IF(F1003&lt;G1003*(1-Assumptions!$B$10),"OVERPAID","FAIR")))</f>
        <v>LOW SAMPLE</v>
      </c>
      <c r="K1003" s="5" t="n">
        <v>0</v>
      </c>
    </row>
    <row r="1004" customFormat="false" ht="15" hidden="false" customHeight="false" outlineLevel="0" collapsed="false">
      <c r="A1004" s="5" t="n">
        <v>2022</v>
      </c>
      <c r="B1004" s="5" t="s">
        <v>339</v>
      </c>
      <c r="C1004" s="5" t="s">
        <v>364</v>
      </c>
      <c r="D1004" s="5" t="n">
        <v>15</v>
      </c>
      <c r="E1004" s="13" t="n">
        <v>2.23</v>
      </c>
      <c r="F1004" s="14" t="n">
        <f aca="false">E1004*Assumptions!$D$5</f>
        <v>300.386664603276</v>
      </c>
      <c r="G1004" s="14" t="n">
        <v>125</v>
      </c>
      <c r="H1004" s="14" t="n">
        <v>225</v>
      </c>
      <c r="I1004" s="14" t="n">
        <f aca="false">F1004-(G1004+H1004)/2</f>
        <v>125.386664603276</v>
      </c>
      <c r="J1004" s="5" t="str">
        <f aca="false">IF(D1004&lt;8,"LOW SAMPLE",IF(F1004&gt;H1004*(1+Assumptions!$B$10),"UNDERPAID",IF(F1004&lt;G1004*(1-Assumptions!$B$10),"OVERPAID","FAIR")))</f>
        <v>UNDERPAID</v>
      </c>
      <c r="K1004" s="5" t="n">
        <v>4</v>
      </c>
    </row>
    <row r="1005" customFormat="false" ht="15" hidden="false" customHeight="false" outlineLevel="0" collapsed="false">
      <c r="A1005" s="5" t="n">
        <v>2022</v>
      </c>
      <c r="B1005" s="5" t="s">
        <v>339</v>
      </c>
      <c r="C1005" s="5" t="s">
        <v>365</v>
      </c>
      <c r="D1005" s="5" t="n">
        <v>22</v>
      </c>
      <c r="E1005" s="13" t="n">
        <v>5.95</v>
      </c>
      <c r="F1005" s="14" t="n">
        <f aca="false">E1005*Assumptions!$D$5</f>
        <v>801.480114076006</v>
      </c>
      <c r="G1005" s="14" t="n">
        <v>225</v>
      </c>
      <c r="H1005" s="14" t="n">
        <v>345</v>
      </c>
      <c r="I1005" s="14" t="n">
        <f aca="false">F1005-(G1005+H1005)/2</f>
        <v>516.480114076006</v>
      </c>
      <c r="J1005" s="5" t="str">
        <f aca="false">IF(D1005&lt;8,"LOW SAMPLE",IF(F1005&gt;H1005*(1+Assumptions!$B$10),"UNDERPAID",IF(F1005&lt;G1005*(1-Assumptions!$B$10),"OVERPAID","FAIR")))</f>
        <v>UNDERPAID</v>
      </c>
      <c r="K1005" s="5" t="n">
        <v>17</v>
      </c>
    </row>
    <row r="1006" customFormat="false" ht="15" hidden="false" customHeight="false" outlineLevel="0" collapsed="false">
      <c r="A1006" s="5" t="n">
        <v>2022</v>
      </c>
      <c r="B1006" s="5" t="s">
        <v>339</v>
      </c>
      <c r="C1006" s="5" t="s">
        <v>366</v>
      </c>
      <c r="D1006" s="5" t="n">
        <v>20</v>
      </c>
      <c r="E1006" s="13" t="n">
        <v>3.52</v>
      </c>
      <c r="F1006" s="14" t="n">
        <f aca="false">E1006*Assumptions!$D$5</f>
        <v>474.152941436562</v>
      </c>
      <c r="G1006" s="14" t="n">
        <v>345</v>
      </c>
      <c r="H1006" s="14" t="n">
        <v>450</v>
      </c>
      <c r="I1006" s="14" t="n">
        <f aca="false">F1006-(G1006+H1006)/2</f>
        <v>76.6529414365617</v>
      </c>
      <c r="J1006" s="5" t="str">
        <f aca="false">IF(D1006&lt;8,"LOW SAMPLE",IF(F1006&gt;H1006*(1+Assumptions!$B$10),"UNDERPAID",IF(F1006&lt;G1006*(1-Assumptions!$B$10),"OVERPAID","FAIR")))</f>
        <v>FAIR</v>
      </c>
      <c r="K1006" s="5" t="n">
        <v>70</v>
      </c>
    </row>
    <row r="1007" customFormat="false" ht="15" hidden="false" customHeight="false" outlineLevel="0" collapsed="false">
      <c r="A1007" s="5" t="n">
        <v>2022</v>
      </c>
      <c r="B1007" s="5" t="s">
        <v>339</v>
      </c>
      <c r="C1007" s="5" t="s">
        <v>367</v>
      </c>
      <c r="D1007" s="5" t="n">
        <v>21</v>
      </c>
      <c r="E1007" s="13" t="n">
        <v>6.49</v>
      </c>
      <c r="F1007" s="14" t="n">
        <f aca="false">E1007*Assumptions!$D$5</f>
        <v>874.219485773661</v>
      </c>
      <c r="G1007" s="14" t="n">
        <v>450</v>
      </c>
      <c r="H1007" s="14" t="n">
        <v>615</v>
      </c>
      <c r="I1007" s="14" t="n">
        <f aca="false">F1007-(G1007+H1007)/2</f>
        <v>341.719485773661</v>
      </c>
      <c r="J1007" s="5" t="str">
        <f aca="false">IF(D1007&lt;8,"LOW SAMPLE",IF(F1007&gt;H1007*(1+Assumptions!$B$10),"UNDERPAID",IF(F1007&lt;G1007*(1-Assumptions!$B$10),"OVERPAID","FAIR")))</f>
        <v>UNDERPAID</v>
      </c>
      <c r="K1007" s="5" t="n">
        <v>37</v>
      </c>
    </row>
    <row r="1008" customFormat="false" ht="15" hidden="false" customHeight="false" outlineLevel="0" collapsed="false">
      <c r="A1008" s="5" t="n">
        <v>2022</v>
      </c>
      <c r="B1008" s="5" t="s">
        <v>339</v>
      </c>
      <c r="C1008" s="5" t="s">
        <v>368</v>
      </c>
      <c r="D1008" s="5" t="n">
        <v>11</v>
      </c>
      <c r="E1008" s="13" t="n">
        <v>1.81</v>
      </c>
      <c r="F1008" s="14" t="n">
        <f aca="false">E1008*Assumptions!$D$5</f>
        <v>243.811597727323</v>
      </c>
      <c r="G1008" s="14" t="n">
        <v>225</v>
      </c>
      <c r="H1008" s="14" t="n">
        <v>345</v>
      </c>
      <c r="I1008" s="14" t="n">
        <f aca="false">F1008-(G1008+H1008)/2</f>
        <v>-41.1884022726771</v>
      </c>
      <c r="J1008" s="5" t="str">
        <f aca="false">IF(D1008&lt;8,"LOW SAMPLE",IF(F1008&gt;H1008*(1+Assumptions!$B$10),"UNDERPAID",IF(F1008&lt;G1008*(1-Assumptions!$B$10),"OVERPAID","FAIR")))</f>
        <v>FAIR</v>
      </c>
      <c r="K1008" s="5" t="n">
        <v>40</v>
      </c>
    </row>
    <row r="1009" customFormat="false" ht="15" hidden="false" customHeight="false" outlineLevel="0" collapsed="false">
      <c r="A1009" s="5" t="n">
        <v>2022</v>
      </c>
      <c r="B1009" s="5" t="s">
        <v>339</v>
      </c>
      <c r="C1009" s="5" t="s">
        <v>369</v>
      </c>
      <c r="D1009" s="5" t="n">
        <v>9</v>
      </c>
      <c r="E1009" s="13" t="n">
        <v>0.9</v>
      </c>
      <c r="F1009" s="14" t="n">
        <f aca="false">E1009*Assumptions!$D$5</f>
        <v>121.232286162757</v>
      </c>
      <c r="G1009" s="14" t="n">
        <v>345</v>
      </c>
      <c r="H1009" s="14" t="n">
        <v>450</v>
      </c>
      <c r="I1009" s="14" t="n">
        <f aca="false">F1009-(G1009+H1009)/2</f>
        <v>-276.267713837243</v>
      </c>
      <c r="J1009" s="5" t="str">
        <f aca="false">IF(D1009&lt;8,"LOW SAMPLE",IF(F1009&gt;H1009*(1+Assumptions!$B$10),"UNDERPAID",IF(F1009&lt;G1009*(1-Assumptions!$B$10),"OVERPAID","FAIR")))</f>
        <v>OVERPAID</v>
      </c>
      <c r="K1009" s="5" t="n">
        <v>109</v>
      </c>
    </row>
    <row r="1010" customFormat="false" ht="15" hidden="false" customHeight="false" outlineLevel="0" collapsed="false">
      <c r="A1010" s="5" t="n">
        <v>2022</v>
      </c>
      <c r="B1010" s="5" t="s">
        <v>339</v>
      </c>
      <c r="C1010" s="5" t="s">
        <v>772</v>
      </c>
      <c r="D1010" s="5" t="n">
        <v>3</v>
      </c>
      <c r="E1010" s="13" t="n">
        <v>0.34</v>
      </c>
      <c r="F1010" s="14" t="n">
        <f aca="false">E1010*Assumptions!$D$5</f>
        <v>45.7988636614861</v>
      </c>
      <c r="G1010" s="14" t="n">
        <v>225</v>
      </c>
      <c r="H1010" s="14" t="n">
        <v>345</v>
      </c>
      <c r="I1010" s="14" t="n">
        <f aca="false">F1010-(G1010+H1010)/2</f>
        <v>-239.201136338514</v>
      </c>
      <c r="J1010" s="5" t="str">
        <f aca="false">IF(D1010&lt;8,"LOW SAMPLE",IF(F1010&gt;H1010*(1+Assumptions!$B$10),"UNDERPAID",IF(F1010&lt;G1010*(1-Assumptions!$B$10),"OVERPAID","FAIR")))</f>
        <v>LOW SAMPLE</v>
      </c>
      <c r="K1010" s="5" t="n">
        <v>50</v>
      </c>
    </row>
    <row r="1011" customFormat="false" ht="15" hidden="false" customHeight="false" outlineLevel="0" collapsed="false">
      <c r="A1011" s="5" t="n">
        <v>2022</v>
      </c>
      <c r="B1011" s="5" t="s">
        <v>339</v>
      </c>
      <c r="C1011" s="5" t="s">
        <v>370</v>
      </c>
      <c r="D1011" s="5" t="n">
        <v>22</v>
      </c>
      <c r="E1011" s="13" t="n">
        <v>4.51</v>
      </c>
      <c r="F1011" s="14" t="n">
        <f aca="false">E1011*Assumptions!$D$5</f>
        <v>607.508456215595</v>
      </c>
      <c r="G1011" s="14" t="n">
        <v>450</v>
      </c>
      <c r="H1011" s="14" t="n">
        <v>615</v>
      </c>
      <c r="I1011" s="14" t="n">
        <f aca="false">F1011-(G1011+H1011)/2</f>
        <v>75.0084562155947</v>
      </c>
      <c r="J1011" s="5" t="str">
        <f aca="false">IF(D1011&lt;8,"LOW SAMPLE",IF(F1011&gt;H1011*(1+Assumptions!$B$10),"UNDERPAID",IF(F1011&lt;G1011*(1-Assumptions!$B$10),"OVERPAID","FAIR")))</f>
        <v>FAIR</v>
      </c>
      <c r="K1011" s="5" t="n">
        <v>59</v>
      </c>
    </row>
    <row r="1012" customFormat="false" ht="15" hidden="false" customHeight="false" outlineLevel="0" collapsed="false">
      <c r="A1012" s="5" t="n">
        <v>2022</v>
      </c>
      <c r="B1012" s="5" t="s">
        <v>339</v>
      </c>
      <c r="C1012" s="5" t="s">
        <v>371</v>
      </c>
      <c r="D1012" s="5" t="n">
        <v>4</v>
      </c>
      <c r="E1012" s="13" t="n">
        <v>0.8</v>
      </c>
      <c r="F1012" s="14" t="n">
        <f aca="false">E1012*Assumptions!$D$5</f>
        <v>107.762032144673</v>
      </c>
      <c r="G1012" s="14" t="n">
        <v>225</v>
      </c>
      <c r="H1012" s="14" t="n">
        <v>345</v>
      </c>
      <c r="I1012" s="14" t="n">
        <f aca="false">F1012-(G1012+H1012)/2</f>
        <v>-177.237967855327</v>
      </c>
      <c r="J1012" s="5" t="str">
        <f aca="false">IF(D1012&lt;8,"LOW SAMPLE",IF(F1012&gt;H1012*(1+Assumptions!$B$10),"UNDERPAID",IF(F1012&lt;G1012*(1-Assumptions!$B$10),"OVERPAID","FAIR")))</f>
        <v>LOW SAMPLE</v>
      </c>
      <c r="K1012" s="5" t="n">
        <v>79</v>
      </c>
    </row>
    <row r="1013" customFormat="false" ht="15" hidden="false" customHeight="false" outlineLevel="0" collapsed="false">
      <c r="A1013" s="5" t="n">
        <v>2022</v>
      </c>
      <c r="B1013" s="5" t="s">
        <v>339</v>
      </c>
      <c r="C1013" s="5" t="s">
        <v>372</v>
      </c>
      <c r="D1013" s="5" t="n">
        <v>9</v>
      </c>
      <c r="E1013" s="13" t="n">
        <v>1.04</v>
      </c>
      <c r="F1013" s="14" t="n">
        <f aca="false">E1013*Assumptions!$D$5</f>
        <v>140.090641788075</v>
      </c>
      <c r="G1013" s="14" t="n">
        <v>225</v>
      </c>
      <c r="H1013" s="14" t="n">
        <v>345</v>
      </c>
      <c r="I1013" s="14" t="n">
        <f aca="false">F1013-(G1013+H1013)/2</f>
        <v>-144.909358211925</v>
      </c>
      <c r="J1013" s="5" t="str">
        <f aca="false">IF(D1013&lt;8,"LOW SAMPLE",IF(F1013&gt;H1013*(1+Assumptions!$B$10),"UNDERPAID",IF(F1013&lt;G1013*(1-Assumptions!$B$10),"OVERPAID","FAIR")))</f>
        <v>OVERPAID</v>
      </c>
      <c r="K1013" s="5" t="n">
        <v>21</v>
      </c>
    </row>
    <row r="1014" customFormat="false" ht="15" hidden="false" customHeight="false" outlineLevel="0" collapsed="false">
      <c r="A1014" s="5" t="n">
        <v>2022</v>
      </c>
      <c r="B1014" s="5" t="s">
        <v>339</v>
      </c>
      <c r="C1014" s="5" t="s">
        <v>373</v>
      </c>
      <c r="D1014" s="5" t="n">
        <v>20</v>
      </c>
      <c r="E1014" s="13" t="n">
        <v>3.2</v>
      </c>
      <c r="F1014" s="14" t="n">
        <f aca="false">E1014*Assumptions!$D$5</f>
        <v>431.048128578693</v>
      </c>
      <c r="G1014" s="14" t="n">
        <v>225</v>
      </c>
      <c r="H1014" s="14" t="n">
        <v>345</v>
      </c>
      <c r="I1014" s="14" t="n">
        <f aca="false">F1014-(G1014+H1014)/2</f>
        <v>146.048128578693</v>
      </c>
      <c r="J1014" s="5" t="str">
        <f aca="false">IF(D1014&lt;8,"LOW SAMPLE",IF(F1014&gt;H1014*(1+Assumptions!$B$10),"UNDERPAID",IF(F1014&lt;G1014*(1-Assumptions!$B$10),"OVERPAID","FAIR")))</f>
        <v>UNDERPAID</v>
      </c>
      <c r="K1014" s="5" t="n">
        <v>96</v>
      </c>
    </row>
    <row r="1015" customFormat="false" ht="15" hidden="false" customHeight="false" outlineLevel="0" collapsed="false">
      <c r="A1015" s="5" t="n">
        <v>2022</v>
      </c>
      <c r="B1015" s="5" t="s">
        <v>339</v>
      </c>
      <c r="C1015" s="5" t="s">
        <v>374</v>
      </c>
      <c r="D1015" s="5" t="n">
        <v>22</v>
      </c>
      <c r="E1015" s="13" t="n">
        <v>7.95</v>
      </c>
      <c r="F1015" s="14" t="n">
        <f aca="false">E1015*Assumptions!$D$5</f>
        <v>1070.88519443769</v>
      </c>
      <c r="G1015" s="14" t="n">
        <v>615</v>
      </c>
      <c r="H1015" s="14" t="n">
        <v>855</v>
      </c>
      <c r="I1015" s="14" t="n">
        <f aca="false">F1015-(G1015+H1015)/2</f>
        <v>335.885194437689</v>
      </c>
      <c r="J1015" s="5" t="str">
        <f aca="false">IF(D1015&lt;8,"LOW SAMPLE",IF(F1015&gt;H1015*(1+Assumptions!$B$10),"UNDERPAID",IF(F1015&lt;G1015*(1-Assumptions!$B$10),"OVERPAID","FAIR")))</f>
        <v>UNDERPAID</v>
      </c>
      <c r="K1015" s="5" t="n">
        <v>138</v>
      </c>
    </row>
    <row r="1016" customFormat="false" ht="15" hidden="false" customHeight="false" outlineLevel="0" collapsed="false">
      <c r="A1016" s="5" t="n">
        <v>2022</v>
      </c>
      <c r="B1016" s="5" t="s">
        <v>339</v>
      </c>
      <c r="C1016" s="5" t="s">
        <v>375</v>
      </c>
      <c r="D1016" s="5" t="n">
        <v>12</v>
      </c>
      <c r="E1016" s="13" t="n">
        <v>2.38</v>
      </c>
      <c r="F1016" s="14" t="n">
        <f aca="false">E1016*Assumptions!$D$5</f>
        <v>320.592045630403</v>
      </c>
      <c r="G1016" s="14" t="n">
        <v>345</v>
      </c>
      <c r="H1016" s="14" t="n">
        <v>450</v>
      </c>
      <c r="I1016" s="14" t="n">
        <f aca="false">F1016-(G1016+H1016)/2</f>
        <v>-76.9079543695975</v>
      </c>
      <c r="J1016" s="5" t="str">
        <f aca="false">IF(D1016&lt;8,"LOW SAMPLE",IF(F1016&gt;H1016*(1+Assumptions!$B$10),"UNDERPAID",IF(F1016&lt;G1016*(1-Assumptions!$B$10),"OVERPAID","FAIR")))</f>
        <v>FAIR</v>
      </c>
      <c r="K1016" s="5" t="n">
        <v>57</v>
      </c>
    </row>
    <row r="1017" customFormat="false" ht="15" hidden="false" customHeight="false" outlineLevel="0" collapsed="false">
      <c r="A1017" s="5" t="n">
        <v>2022</v>
      </c>
      <c r="B1017" s="5" t="s">
        <v>378</v>
      </c>
      <c r="C1017" s="5" t="s">
        <v>379</v>
      </c>
      <c r="D1017" s="5" t="n">
        <v>8</v>
      </c>
      <c r="E1017" s="13" t="n">
        <v>1.84</v>
      </c>
      <c r="F1017" s="14" t="n">
        <f aca="false">E1017*Assumptions!$D$5</f>
        <v>247.852673932748</v>
      </c>
      <c r="G1017" s="14" t="n">
        <v>450</v>
      </c>
      <c r="H1017" s="14" t="n">
        <v>615</v>
      </c>
      <c r="I1017" s="14" t="n">
        <f aca="false">F1017-(G1017+H1017)/2</f>
        <v>-284.647326067252</v>
      </c>
      <c r="J1017" s="5" t="str">
        <f aca="false">IF(D1017&lt;8,"LOW SAMPLE",IF(F1017&gt;H1017*(1+Assumptions!$B$10),"UNDERPAID",IF(F1017&lt;G1017*(1-Assumptions!$B$10),"OVERPAID","FAIR")))</f>
        <v>OVERPAID</v>
      </c>
      <c r="K1017" s="5" t="n">
        <v>140</v>
      </c>
    </row>
    <row r="1018" customFormat="false" ht="15" hidden="false" customHeight="false" outlineLevel="0" collapsed="false">
      <c r="A1018" s="5" t="n">
        <v>2022</v>
      </c>
      <c r="B1018" s="5" t="s">
        <v>378</v>
      </c>
      <c r="C1018" s="5" t="s">
        <v>380</v>
      </c>
      <c r="D1018" s="5" t="n">
        <v>22</v>
      </c>
      <c r="E1018" s="13" t="n">
        <v>3.41</v>
      </c>
      <c r="F1018" s="14" t="n">
        <f aca="false">E1018*Assumptions!$D$5</f>
        <v>459.335662016669</v>
      </c>
      <c r="G1018" s="14" t="n">
        <v>450</v>
      </c>
      <c r="H1018" s="14" t="n">
        <v>615</v>
      </c>
      <c r="I1018" s="14" t="n">
        <f aca="false">F1018-(G1018+H1018)/2</f>
        <v>-73.1643379833308</v>
      </c>
      <c r="J1018" s="5" t="str">
        <f aca="false">IF(D1018&lt;8,"LOW SAMPLE",IF(F1018&gt;H1018*(1+Assumptions!$B$10),"UNDERPAID",IF(F1018&lt;G1018*(1-Assumptions!$B$10),"OVERPAID","FAIR")))</f>
        <v>FAIR</v>
      </c>
      <c r="K1018" s="5" t="n">
        <v>102</v>
      </c>
    </row>
    <row r="1019" customFormat="false" ht="15" hidden="false" customHeight="false" outlineLevel="0" collapsed="false">
      <c r="A1019" s="5" t="n">
        <v>2022</v>
      </c>
      <c r="B1019" s="5" t="s">
        <v>378</v>
      </c>
      <c r="C1019" s="5" t="s">
        <v>381</v>
      </c>
      <c r="D1019" s="5" t="n">
        <v>10</v>
      </c>
      <c r="E1019" s="13" t="n">
        <v>2.1</v>
      </c>
      <c r="F1019" s="14" t="n">
        <f aca="false">E1019*Assumptions!$D$5</f>
        <v>282.875334379767</v>
      </c>
      <c r="G1019" s="14" t="n">
        <v>450</v>
      </c>
      <c r="H1019" s="14" t="n">
        <v>615</v>
      </c>
      <c r="I1019" s="14" t="n">
        <f aca="false">F1019-(G1019+H1019)/2</f>
        <v>-249.624665620233</v>
      </c>
      <c r="J1019" s="5" t="str">
        <f aca="false">IF(D1019&lt;8,"LOW SAMPLE",IF(F1019&gt;H1019*(1+Assumptions!$B$10),"UNDERPAID",IF(F1019&lt;G1019*(1-Assumptions!$B$10),"OVERPAID","FAIR")))</f>
        <v>OVERPAID</v>
      </c>
      <c r="K1019" s="5" t="n">
        <v>127</v>
      </c>
    </row>
    <row r="1020" customFormat="false" ht="15" hidden="false" customHeight="false" outlineLevel="0" collapsed="false">
      <c r="A1020" s="5" t="n">
        <v>2022</v>
      </c>
      <c r="B1020" s="5" t="s">
        <v>378</v>
      </c>
      <c r="C1020" s="5" t="s">
        <v>382</v>
      </c>
      <c r="D1020" s="5" t="n">
        <v>14</v>
      </c>
      <c r="E1020" s="13" t="n">
        <v>2.37</v>
      </c>
      <c r="F1020" s="14" t="n">
        <f aca="false">E1020*Assumptions!$D$5</f>
        <v>319.245020228594</v>
      </c>
      <c r="G1020" s="14" t="n">
        <v>225</v>
      </c>
      <c r="H1020" s="14" t="n">
        <v>345</v>
      </c>
      <c r="I1020" s="14" t="n">
        <f aca="false">F1020-(G1020+H1020)/2</f>
        <v>34.2450202285941</v>
      </c>
      <c r="J1020" s="5" t="str">
        <f aca="false">IF(D1020&lt;8,"LOW SAMPLE",IF(F1020&gt;H1020*(1+Assumptions!$B$10),"UNDERPAID",IF(F1020&lt;G1020*(1-Assumptions!$B$10),"OVERPAID","FAIR")))</f>
        <v>FAIR</v>
      </c>
      <c r="K1020" s="5" t="n">
        <v>23</v>
      </c>
    </row>
    <row r="1021" customFormat="false" ht="15" hidden="false" customHeight="false" outlineLevel="0" collapsed="false">
      <c r="A1021" s="5" t="n">
        <v>2022</v>
      </c>
      <c r="B1021" s="5" t="s">
        <v>378</v>
      </c>
      <c r="C1021" s="5" t="s">
        <v>773</v>
      </c>
      <c r="D1021" s="5" t="n">
        <v>20</v>
      </c>
      <c r="E1021" s="13" t="n">
        <v>2.38</v>
      </c>
      <c r="F1021" s="14" t="n">
        <f aca="false">E1021*Assumptions!$D$5</f>
        <v>320.592045630403</v>
      </c>
      <c r="G1021" s="14" t="n">
        <v>225</v>
      </c>
      <c r="H1021" s="14" t="n">
        <v>345</v>
      </c>
      <c r="I1021" s="14" t="n">
        <f aca="false">F1021-(G1021+H1021)/2</f>
        <v>35.5920456304025</v>
      </c>
      <c r="J1021" s="5" t="str">
        <f aca="false">IF(D1021&lt;8,"LOW SAMPLE",IF(F1021&gt;H1021*(1+Assumptions!$B$10),"UNDERPAID",IF(F1021&lt;G1021*(1-Assumptions!$B$10),"OVERPAID","FAIR")))</f>
        <v>FAIR</v>
      </c>
      <c r="K1021" s="5" t="n">
        <v>0</v>
      </c>
    </row>
    <row r="1022" customFormat="false" ht="15" hidden="false" customHeight="false" outlineLevel="0" collapsed="false">
      <c r="A1022" s="5" t="n">
        <v>2022</v>
      </c>
      <c r="B1022" s="5" t="s">
        <v>378</v>
      </c>
      <c r="C1022" s="5" t="s">
        <v>384</v>
      </c>
      <c r="D1022" s="5" t="n">
        <v>21</v>
      </c>
      <c r="E1022" s="13" t="n">
        <v>3.81</v>
      </c>
      <c r="F1022" s="14" t="n">
        <f aca="false">E1022*Assumptions!$D$5</f>
        <v>513.216678089006</v>
      </c>
      <c r="G1022" s="14" t="n">
        <v>125</v>
      </c>
      <c r="H1022" s="14" t="n">
        <v>225</v>
      </c>
      <c r="I1022" s="14" t="n">
        <f aca="false">F1022-(G1022+H1022)/2</f>
        <v>338.216678089006</v>
      </c>
      <c r="J1022" s="5" t="str">
        <f aca="false">IF(D1022&lt;8,"LOW SAMPLE",IF(F1022&gt;H1022*(1+Assumptions!$B$10),"UNDERPAID",IF(F1022&lt;G1022*(1-Assumptions!$B$10),"OVERPAID","FAIR")))</f>
        <v>UNDERPAID</v>
      </c>
      <c r="K1022" s="5" t="n">
        <v>29</v>
      </c>
    </row>
    <row r="1023" customFormat="false" ht="15" hidden="false" customHeight="false" outlineLevel="0" collapsed="false">
      <c r="A1023" s="5" t="n">
        <v>2022</v>
      </c>
      <c r="B1023" s="5" t="s">
        <v>378</v>
      </c>
      <c r="C1023" s="5" t="s">
        <v>386</v>
      </c>
      <c r="D1023" s="5" t="n">
        <v>9</v>
      </c>
      <c r="E1023" s="13" t="n">
        <v>1.06</v>
      </c>
      <c r="F1023" s="14" t="n">
        <f aca="false">E1023*Assumptions!$D$5</f>
        <v>142.784692591692</v>
      </c>
      <c r="G1023" s="14" t="n">
        <v>345</v>
      </c>
      <c r="H1023" s="14" t="n">
        <v>450</v>
      </c>
      <c r="I1023" s="14" t="n">
        <f aca="false">F1023-(G1023+H1023)/2</f>
        <v>-254.715307408308</v>
      </c>
      <c r="J1023" s="5" t="str">
        <f aca="false">IF(D1023&lt;8,"LOW SAMPLE",IF(F1023&gt;H1023*(1+Assumptions!$B$10),"UNDERPAID",IF(F1023&lt;G1023*(1-Assumptions!$B$10),"OVERPAID","FAIR")))</f>
        <v>OVERPAID</v>
      </c>
      <c r="K1023" s="5" t="n">
        <v>87</v>
      </c>
    </row>
    <row r="1024" customFormat="false" ht="15" hidden="false" customHeight="false" outlineLevel="0" collapsed="false">
      <c r="A1024" s="5" t="n">
        <v>2022</v>
      </c>
      <c r="B1024" s="5" t="s">
        <v>378</v>
      </c>
      <c r="C1024" s="5" t="s">
        <v>387</v>
      </c>
      <c r="D1024" s="5" t="n">
        <v>16</v>
      </c>
      <c r="E1024" s="13" t="n">
        <v>1.94</v>
      </c>
      <c r="F1024" s="14" t="n">
        <f aca="false">E1024*Assumptions!$D$5</f>
        <v>261.322927950832</v>
      </c>
      <c r="G1024" s="14" t="n">
        <v>125</v>
      </c>
      <c r="H1024" s="14" t="n">
        <v>225</v>
      </c>
      <c r="I1024" s="14" t="n">
        <f aca="false">F1024-(G1024+H1024)/2</f>
        <v>86.3229279508323</v>
      </c>
      <c r="J1024" s="5" t="str">
        <f aca="false">IF(D1024&lt;8,"LOW SAMPLE",IF(F1024&gt;H1024*(1+Assumptions!$B$10),"UNDERPAID",IF(F1024&lt;G1024*(1-Assumptions!$B$10),"OVERPAID","FAIR")))</f>
        <v>UNDERPAID</v>
      </c>
      <c r="K1024" s="5" t="n">
        <v>5</v>
      </c>
    </row>
    <row r="1025" customFormat="false" ht="15" hidden="false" customHeight="false" outlineLevel="0" collapsed="false">
      <c r="A1025" s="5" t="n">
        <v>2022</v>
      </c>
      <c r="B1025" s="5" t="s">
        <v>378</v>
      </c>
      <c r="C1025" s="5" t="s">
        <v>388</v>
      </c>
      <c r="D1025" s="5" t="n">
        <v>22</v>
      </c>
      <c r="E1025" s="13" t="n">
        <v>5.5</v>
      </c>
      <c r="F1025" s="14" t="n">
        <f aca="false">E1025*Assumptions!$D$5</f>
        <v>740.863970994628</v>
      </c>
      <c r="G1025" s="14" t="n">
        <v>345</v>
      </c>
      <c r="H1025" s="14" t="n">
        <v>450</v>
      </c>
      <c r="I1025" s="14" t="n">
        <f aca="false">F1025-(G1025+H1025)/2</f>
        <v>343.363970994628</v>
      </c>
      <c r="J1025" s="5" t="str">
        <f aca="false">IF(D1025&lt;8,"LOW SAMPLE",IF(F1025&gt;H1025*(1+Assumptions!$B$10),"UNDERPAID",IF(F1025&lt;G1025*(1-Assumptions!$B$10),"OVERPAID","FAIR")))</f>
        <v>UNDERPAID</v>
      </c>
      <c r="K1025" s="5" t="n">
        <v>30</v>
      </c>
    </row>
    <row r="1026" customFormat="false" ht="15" hidden="false" customHeight="false" outlineLevel="0" collapsed="false">
      <c r="A1026" s="5" t="n">
        <v>2022</v>
      </c>
      <c r="B1026" s="5" t="s">
        <v>378</v>
      </c>
      <c r="C1026" s="5" t="s">
        <v>389</v>
      </c>
      <c r="D1026" s="5" t="n">
        <v>3</v>
      </c>
      <c r="E1026" s="13" t="n">
        <v>0.35</v>
      </c>
      <c r="F1026" s="14" t="n">
        <f aca="false">E1026*Assumptions!$D$5</f>
        <v>47.1458890632945</v>
      </c>
      <c r="G1026" s="14" t="n">
        <v>125</v>
      </c>
      <c r="H1026" s="14" t="n">
        <v>225</v>
      </c>
      <c r="I1026" s="14" t="n">
        <f aca="false">F1026-(G1026+H1026)/2</f>
        <v>-127.854110936706</v>
      </c>
      <c r="J1026" s="5" t="str">
        <f aca="false">IF(D1026&lt;8,"LOW SAMPLE",IF(F1026&gt;H1026*(1+Assumptions!$B$10),"UNDERPAID",IF(F1026&lt;G1026*(1-Assumptions!$B$10),"OVERPAID","FAIR")))</f>
        <v>LOW SAMPLE</v>
      </c>
      <c r="K1026" s="5" t="n">
        <v>4</v>
      </c>
    </row>
    <row r="1027" customFormat="false" ht="15" hidden="false" customHeight="false" outlineLevel="0" collapsed="false">
      <c r="A1027" s="5" t="n">
        <v>2022</v>
      </c>
      <c r="B1027" s="5" t="s">
        <v>378</v>
      </c>
      <c r="C1027" s="5" t="s">
        <v>390</v>
      </c>
      <c r="D1027" s="5" t="n">
        <v>16</v>
      </c>
      <c r="E1027" s="13" t="n">
        <v>2.21</v>
      </c>
      <c r="F1027" s="14" t="n">
        <f aca="false">E1027*Assumptions!$D$5</f>
        <v>297.692613799659</v>
      </c>
      <c r="G1027" s="14" t="n">
        <v>125</v>
      </c>
      <c r="H1027" s="14" t="n">
        <v>225</v>
      </c>
      <c r="I1027" s="14" t="n">
        <f aca="false">F1027-(G1027+H1027)/2</f>
        <v>122.692613799659</v>
      </c>
      <c r="J1027" s="5" t="str">
        <f aca="false">IF(D1027&lt;8,"LOW SAMPLE",IF(F1027&gt;H1027*(1+Assumptions!$B$10),"UNDERPAID",IF(F1027&lt;G1027*(1-Assumptions!$B$10),"OVERPAID","FAIR")))</f>
        <v>UNDERPAID</v>
      </c>
      <c r="K1027" s="5" t="n">
        <v>3</v>
      </c>
    </row>
    <row r="1028" customFormat="false" ht="15" hidden="false" customHeight="false" outlineLevel="0" collapsed="false">
      <c r="A1028" s="5" t="n">
        <v>2022</v>
      </c>
      <c r="B1028" s="5" t="s">
        <v>378</v>
      </c>
      <c r="C1028" s="5" t="s">
        <v>391</v>
      </c>
      <c r="D1028" s="5" t="n">
        <v>21</v>
      </c>
      <c r="E1028" s="13" t="n">
        <v>4.16</v>
      </c>
      <c r="F1028" s="14" t="n">
        <f aca="false">E1028*Assumptions!$D$5</f>
        <v>560.3625671523</v>
      </c>
      <c r="G1028" s="14" t="n">
        <v>225</v>
      </c>
      <c r="H1028" s="14" t="n">
        <v>345</v>
      </c>
      <c r="I1028" s="14" t="n">
        <f aca="false">F1028-(G1028+H1028)/2</f>
        <v>275.3625671523</v>
      </c>
      <c r="J1028" s="5" t="str">
        <f aca="false">IF(D1028&lt;8,"LOW SAMPLE",IF(F1028&gt;H1028*(1+Assumptions!$B$10),"UNDERPAID",IF(F1028&lt;G1028*(1-Assumptions!$B$10),"OVERPAID","FAIR")))</f>
        <v>UNDERPAID</v>
      </c>
      <c r="K1028" s="5" t="n">
        <v>57</v>
      </c>
    </row>
    <row r="1029" customFormat="false" ht="15" hidden="false" customHeight="false" outlineLevel="0" collapsed="false">
      <c r="A1029" s="5" t="n">
        <v>2022</v>
      </c>
      <c r="B1029" s="5" t="s">
        <v>378</v>
      </c>
      <c r="C1029" s="5" t="s">
        <v>392</v>
      </c>
      <c r="D1029" s="5" t="n">
        <v>16</v>
      </c>
      <c r="E1029" s="13" t="n">
        <v>3.84</v>
      </c>
      <c r="F1029" s="14" t="n">
        <f aca="false">E1029*Assumptions!$D$5</f>
        <v>517.257754294431</v>
      </c>
      <c r="G1029" s="14" t="n">
        <v>345</v>
      </c>
      <c r="H1029" s="14" t="n">
        <v>450</v>
      </c>
      <c r="I1029" s="14" t="n">
        <f aca="false">F1029-(G1029+H1029)/2</f>
        <v>119.757754294431</v>
      </c>
      <c r="J1029" s="5" t="str">
        <f aca="false">IF(D1029&lt;8,"LOW SAMPLE",IF(F1029&gt;H1029*(1+Assumptions!$B$10),"UNDERPAID",IF(F1029&lt;G1029*(1-Assumptions!$B$10),"OVERPAID","FAIR")))</f>
        <v>FAIR</v>
      </c>
      <c r="K1029" s="5" t="n">
        <v>130</v>
      </c>
    </row>
    <row r="1030" customFormat="false" ht="15" hidden="false" customHeight="false" outlineLevel="0" collapsed="false">
      <c r="A1030" s="5" t="n">
        <v>2022</v>
      </c>
      <c r="B1030" s="5" t="s">
        <v>378</v>
      </c>
      <c r="C1030" s="5" t="s">
        <v>774</v>
      </c>
      <c r="D1030" s="5" t="n">
        <v>1</v>
      </c>
      <c r="E1030" s="13" t="n">
        <v>0.1</v>
      </c>
      <c r="F1030" s="14" t="n">
        <f aca="false">E1030*Assumptions!$D$5</f>
        <v>13.4702540180841</v>
      </c>
      <c r="G1030" s="14" t="n">
        <v>225</v>
      </c>
      <c r="H1030" s="14" t="n">
        <v>345</v>
      </c>
      <c r="I1030" s="14" t="n">
        <f aca="false">F1030-(G1030+H1030)/2</f>
        <v>-271.529745981916</v>
      </c>
      <c r="J1030" s="5" t="str">
        <f aca="false">IF(D1030&lt;8,"LOW SAMPLE",IF(F1030&gt;H1030*(1+Assumptions!$B$10),"UNDERPAID",IF(F1030&lt;G1030*(1-Assumptions!$B$10),"OVERPAID","FAIR")))</f>
        <v>LOW SAMPLE</v>
      </c>
      <c r="K1030" s="5" t="n">
        <v>0</v>
      </c>
    </row>
    <row r="1031" customFormat="false" ht="15" hidden="false" customHeight="false" outlineLevel="0" collapsed="false">
      <c r="A1031" s="5" t="n">
        <v>2022</v>
      </c>
      <c r="B1031" s="5" t="s">
        <v>378</v>
      </c>
      <c r="C1031" s="5" t="s">
        <v>393</v>
      </c>
      <c r="D1031" s="5" t="n">
        <v>20</v>
      </c>
      <c r="E1031" s="13" t="n">
        <v>3.63</v>
      </c>
      <c r="F1031" s="14" t="n">
        <f aca="false">E1031*Assumptions!$D$5</f>
        <v>488.970220856454</v>
      </c>
      <c r="G1031" s="14" t="n">
        <v>345</v>
      </c>
      <c r="H1031" s="14" t="n">
        <v>450</v>
      </c>
      <c r="I1031" s="14" t="n">
        <f aca="false">F1031-(G1031+H1031)/2</f>
        <v>91.4702208564543</v>
      </c>
      <c r="J1031" s="5" t="str">
        <f aca="false">IF(D1031&lt;8,"LOW SAMPLE",IF(F1031&gt;H1031*(1+Assumptions!$B$10),"UNDERPAID",IF(F1031&lt;G1031*(1-Assumptions!$B$10),"OVERPAID","FAIR")))</f>
        <v>FAIR</v>
      </c>
      <c r="K1031" s="5" t="n">
        <v>47</v>
      </c>
    </row>
    <row r="1032" customFormat="false" ht="15" hidden="false" customHeight="false" outlineLevel="0" collapsed="false">
      <c r="A1032" s="5" t="n">
        <v>2022</v>
      </c>
      <c r="B1032" s="5" t="s">
        <v>378</v>
      </c>
      <c r="C1032" s="5" t="s">
        <v>775</v>
      </c>
      <c r="D1032" s="5" t="n">
        <v>3</v>
      </c>
      <c r="E1032" s="13" t="n">
        <v>0.33</v>
      </c>
      <c r="F1032" s="14" t="n">
        <f aca="false">E1032*Assumptions!$D$5</f>
        <v>44.4518382596777</v>
      </c>
      <c r="G1032" s="14" t="n">
        <v>225</v>
      </c>
      <c r="H1032" s="14" t="n">
        <v>345</v>
      </c>
      <c r="I1032" s="14" t="n">
        <f aca="false">F1032-(G1032+H1032)/2</f>
        <v>-240.548161740322</v>
      </c>
      <c r="J1032" s="5" t="str">
        <f aca="false">IF(D1032&lt;8,"LOW SAMPLE",IF(F1032&gt;H1032*(1+Assumptions!$B$10),"UNDERPAID",IF(F1032&lt;G1032*(1-Assumptions!$B$10),"OVERPAID","FAIR")))</f>
        <v>LOW SAMPLE</v>
      </c>
      <c r="K1032" s="5" t="n">
        <v>0</v>
      </c>
    </row>
    <row r="1033" customFormat="false" ht="15" hidden="false" customHeight="false" outlineLevel="0" collapsed="false">
      <c r="A1033" s="5" t="n">
        <v>2022</v>
      </c>
      <c r="B1033" s="5" t="s">
        <v>378</v>
      </c>
      <c r="C1033" s="5" t="s">
        <v>394</v>
      </c>
      <c r="D1033" s="5" t="n">
        <v>16</v>
      </c>
      <c r="E1033" s="13" t="n">
        <v>2.77</v>
      </c>
      <c r="F1033" s="14" t="n">
        <f aca="false">E1033*Assumptions!$D$5</f>
        <v>373.126036300931</v>
      </c>
      <c r="G1033" s="14" t="n">
        <v>450</v>
      </c>
      <c r="H1033" s="14" t="n">
        <v>615</v>
      </c>
      <c r="I1033" s="14" t="n">
        <f aca="false">F1033-(G1033+H1033)/2</f>
        <v>-159.373963699069</v>
      </c>
      <c r="J1033" s="5" t="str">
        <f aca="false">IF(D1033&lt;8,"LOW SAMPLE",IF(F1033&gt;H1033*(1+Assumptions!$B$10),"UNDERPAID",IF(F1033&lt;G1033*(1-Assumptions!$B$10),"OVERPAID","FAIR")))</f>
        <v>OVERPAID</v>
      </c>
      <c r="K1033" s="5" t="n">
        <v>20</v>
      </c>
    </row>
    <row r="1034" customFormat="false" ht="15" hidden="false" customHeight="false" outlineLevel="0" collapsed="false">
      <c r="A1034" s="5" t="n">
        <v>2022</v>
      </c>
      <c r="B1034" s="5" t="s">
        <v>378</v>
      </c>
      <c r="C1034" s="5" t="s">
        <v>395</v>
      </c>
      <c r="D1034" s="5" t="n">
        <v>21</v>
      </c>
      <c r="E1034" s="13" t="n">
        <v>5.74</v>
      </c>
      <c r="F1034" s="14" t="n">
        <f aca="false">E1034*Assumptions!$D$5</f>
        <v>773.19258063803</v>
      </c>
      <c r="G1034" s="14" t="n">
        <v>615</v>
      </c>
      <c r="H1034" s="14" t="n">
        <v>855</v>
      </c>
      <c r="I1034" s="14" t="n">
        <f aca="false">F1034-(G1034+H1034)/2</f>
        <v>38.1925806380297</v>
      </c>
      <c r="J1034" s="5" t="str">
        <f aca="false">IF(D1034&lt;8,"LOW SAMPLE",IF(F1034&gt;H1034*(1+Assumptions!$B$10),"UNDERPAID",IF(F1034&lt;G1034*(1-Assumptions!$B$10),"OVERPAID","FAIR")))</f>
        <v>FAIR</v>
      </c>
      <c r="K1034" s="5" t="n">
        <v>78</v>
      </c>
    </row>
    <row r="1035" customFormat="false" ht="15" hidden="false" customHeight="false" outlineLevel="0" collapsed="false">
      <c r="A1035" s="5" t="n">
        <v>2022</v>
      </c>
      <c r="B1035" s="5" t="s">
        <v>378</v>
      </c>
      <c r="C1035" s="5" t="s">
        <v>396</v>
      </c>
      <c r="D1035" s="5" t="n">
        <v>22</v>
      </c>
      <c r="E1035" s="13" t="n">
        <v>5.75</v>
      </c>
      <c r="F1035" s="14" t="n">
        <f aca="false">E1035*Assumptions!$D$5</f>
        <v>774.539606039838</v>
      </c>
      <c r="G1035" s="14" t="n">
        <v>125</v>
      </c>
      <c r="H1035" s="14" t="n">
        <v>225</v>
      </c>
      <c r="I1035" s="14" t="n">
        <f aca="false">F1035-(G1035+H1035)/2</f>
        <v>599.539606039838</v>
      </c>
      <c r="J1035" s="5" t="str">
        <f aca="false">IF(D1035&lt;8,"LOW SAMPLE",IF(F1035&gt;H1035*(1+Assumptions!$B$10),"UNDERPAID",IF(F1035&lt;G1035*(1-Assumptions!$B$10),"OVERPAID","FAIR")))</f>
        <v>UNDERPAID</v>
      </c>
      <c r="K1035" s="5" t="n">
        <v>7</v>
      </c>
    </row>
    <row r="1036" customFormat="false" ht="15" hidden="false" customHeight="false" outlineLevel="0" collapsed="false">
      <c r="A1036" s="5" t="n">
        <v>2022</v>
      </c>
      <c r="B1036" s="5" t="s">
        <v>378</v>
      </c>
      <c r="C1036" s="5" t="s">
        <v>776</v>
      </c>
      <c r="D1036" s="5" t="n">
        <v>3</v>
      </c>
      <c r="E1036" s="13" t="n">
        <v>0.24</v>
      </c>
      <c r="F1036" s="14" t="n">
        <f aca="false">E1036*Assumptions!$D$5</f>
        <v>32.3286096434019</v>
      </c>
      <c r="G1036" s="14" t="n">
        <v>225</v>
      </c>
      <c r="H1036" s="14" t="n">
        <v>345</v>
      </c>
      <c r="I1036" s="14" t="n">
        <f aca="false">F1036-(G1036+H1036)/2</f>
        <v>-252.671390356598</v>
      </c>
      <c r="J1036" s="5" t="str">
        <f aca="false">IF(D1036&lt;8,"LOW SAMPLE",IF(F1036&gt;H1036*(1+Assumptions!$B$10),"UNDERPAID",IF(F1036&lt;G1036*(1-Assumptions!$B$10),"OVERPAID","FAIR")))</f>
        <v>LOW SAMPLE</v>
      </c>
      <c r="K1036" s="5" t="n">
        <v>0</v>
      </c>
    </row>
    <row r="1037" customFormat="false" ht="15" hidden="false" customHeight="false" outlineLevel="0" collapsed="false">
      <c r="A1037" s="5" t="n">
        <v>2022</v>
      </c>
      <c r="B1037" s="5" t="s">
        <v>378</v>
      </c>
      <c r="C1037" s="5" t="s">
        <v>777</v>
      </c>
      <c r="D1037" s="5" t="n">
        <v>9</v>
      </c>
      <c r="E1037" s="13" t="n">
        <v>1.17</v>
      </c>
      <c r="F1037" s="14" t="n">
        <f aca="false">E1037*Assumptions!$D$5</f>
        <v>157.601972011584</v>
      </c>
      <c r="G1037" s="14" t="n">
        <v>225</v>
      </c>
      <c r="H1037" s="14" t="n">
        <v>345</v>
      </c>
      <c r="I1037" s="14" t="n">
        <f aca="false">F1037-(G1037+H1037)/2</f>
        <v>-127.398027988416</v>
      </c>
      <c r="J1037" s="5" t="str">
        <f aca="false">IF(D1037&lt;8,"LOW SAMPLE",IF(F1037&gt;H1037*(1+Assumptions!$B$10),"UNDERPAID",IF(F1037&lt;G1037*(1-Assumptions!$B$10),"OVERPAID","FAIR")))</f>
        <v>OVERPAID</v>
      </c>
      <c r="K1037" s="5" t="n">
        <v>0</v>
      </c>
    </row>
    <row r="1038" customFormat="false" ht="15" hidden="false" customHeight="false" outlineLevel="0" collapsed="false">
      <c r="A1038" s="5" t="n">
        <v>2022</v>
      </c>
      <c r="B1038" s="5" t="s">
        <v>378</v>
      </c>
      <c r="C1038" s="5" t="s">
        <v>778</v>
      </c>
      <c r="D1038" s="5" t="n">
        <v>22</v>
      </c>
      <c r="E1038" s="13" t="n">
        <v>6.59</v>
      </c>
      <c r="F1038" s="14" t="n">
        <f aca="false">E1038*Assumptions!$D$5</f>
        <v>887.689739791745</v>
      </c>
      <c r="G1038" s="14" t="n">
        <v>450</v>
      </c>
      <c r="H1038" s="14" t="n">
        <v>615</v>
      </c>
      <c r="I1038" s="14" t="n">
        <f aca="false">F1038-(G1038+H1038)/2</f>
        <v>355.189739791745</v>
      </c>
      <c r="J1038" s="5" t="str">
        <f aca="false">IF(D1038&lt;8,"LOW SAMPLE",IF(F1038&gt;H1038*(1+Assumptions!$B$10),"UNDERPAID",IF(F1038&lt;G1038*(1-Assumptions!$B$10),"OVERPAID","FAIR")))</f>
        <v>UNDERPAID</v>
      </c>
      <c r="K1038" s="5" t="n">
        <v>93</v>
      </c>
    </row>
    <row r="1039" customFormat="false" ht="15" hidden="false" customHeight="false" outlineLevel="0" collapsed="false">
      <c r="A1039" s="5" t="n">
        <v>2022</v>
      </c>
      <c r="B1039" s="5" t="s">
        <v>378</v>
      </c>
      <c r="C1039" s="5" t="s">
        <v>398</v>
      </c>
      <c r="D1039" s="5" t="n">
        <v>11</v>
      </c>
      <c r="E1039" s="13" t="n">
        <v>1.81</v>
      </c>
      <c r="F1039" s="14" t="n">
        <f aca="false">E1039*Assumptions!$D$5</f>
        <v>243.811597727323</v>
      </c>
      <c r="G1039" s="14" t="n">
        <v>450</v>
      </c>
      <c r="H1039" s="14" t="n">
        <v>615</v>
      </c>
      <c r="I1039" s="14" t="n">
        <f aca="false">F1039-(G1039+H1039)/2</f>
        <v>-288.688402272677</v>
      </c>
      <c r="J1039" s="5" t="str">
        <f aca="false">IF(D1039&lt;8,"LOW SAMPLE",IF(F1039&gt;H1039*(1+Assumptions!$B$10),"UNDERPAID",IF(F1039&lt;G1039*(1-Assumptions!$B$10),"OVERPAID","FAIR")))</f>
        <v>OVERPAID</v>
      </c>
      <c r="K1039" s="5" t="n">
        <v>68</v>
      </c>
    </row>
    <row r="1040" customFormat="false" ht="15" hidden="false" customHeight="false" outlineLevel="0" collapsed="false">
      <c r="A1040" s="5" t="n">
        <v>2022</v>
      </c>
      <c r="B1040" s="5" t="s">
        <v>378</v>
      </c>
      <c r="C1040" s="5" t="s">
        <v>399</v>
      </c>
      <c r="D1040" s="5" t="n">
        <v>16</v>
      </c>
      <c r="E1040" s="13" t="n">
        <v>2.11</v>
      </c>
      <c r="F1040" s="14" t="n">
        <f aca="false">E1040*Assumptions!$D$5</f>
        <v>284.222359781575</v>
      </c>
      <c r="G1040" s="14" t="n">
        <v>345</v>
      </c>
      <c r="H1040" s="14" t="n">
        <v>450</v>
      </c>
      <c r="I1040" s="14" t="n">
        <f aca="false">F1040-(G1040+H1040)/2</f>
        <v>-113.277640218425</v>
      </c>
      <c r="J1040" s="5" t="str">
        <f aca="false">IF(D1040&lt;8,"LOW SAMPLE",IF(F1040&gt;H1040*(1+Assumptions!$B$10),"UNDERPAID",IF(F1040&lt;G1040*(1-Assumptions!$B$10),"OVERPAID","FAIR")))</f>
        <v>OVERPAID</v>
      </c>
      <c r="K1040" s="5" t="n">
        <v>116</v>
      </c>
    </row>
    <row r="1041" customFormat="false" ht="15" hidden="false" customHeight="false" outlineLevel="0" collapsed="false">
      <c r="A1041" s="5" t="n">
        <v>2022</v>
      </c>
      <c r="B1041" s="5" t="s">
        <v>378</v>
      </c>
      <c r="C1041" s="5" t="s">
        <v>401</v>
      </c>
      <c r="D1041" s="5" t="n">
        <v>6</v>
      </c>
      <c r="E1041" s="13" t="n">
        <v>0.51</v>
      </c>
      <c r="F1041" s="14" t="n">
        <f aca="false">E1041*Assumptions!$D$5</f>
        <v>68.6982954922291</v>
      </c>
      <c r="G1041" s="14" t="n">
        <v>125</v>
      </c>
      <c r="H1041" s="14" t="n">
        <v>225</v>
      </c>
      <c r="I1041" s="14" t="n">
        <f aca="false">F1041-(G1041+H1041)/2</f>
        <v>-106.301704507771</v>
      </c>
      <c r="J1041" s="5" t="str">
        <f aca="false">IF(D1041&lt;8,"LOW SAMPLE",IF(F1041&gt;H1041*(1+Assumptions!$B$10),"UNDERPAID",IF(F1041&lt;G1041*(1-Assumptions!$B$10),"OVERPAID","FAIR")))</f>
        <v>LOW SAMPLE</v>
      </c>
      <c r="K1041" s="5" t="n">
        <v>9</v>
      </c>
    </row>
    <row r="1042" customFormat="false" ht="15" hidden="false" customHeight="false" outlineLevel="0" collapsed="false">
      <c r="A1042" s="5" t="n">
        <v>2022</v>
      </c>
      <c r="B1042" s="5" t="s">
        <v>378</v>
      </c>
      <c r="C1042" s="5" t="s">
        <v>779</v>
      </c>
      <c r="D1042" s="5" t="n">
        <v>14</v>
      </c>
      <c r="E1042" s="13" t="n">
        <v>2.27</v>
      </c>
      <c r="F1042" s="14" t="n">
        <f aca="false">E1042*Assumptions!$D$5</f>
        <v>305.77476621051</v>
      </c>
      <c r="G1042" s="14" t="n">
        <v>225</v>
      </c>
      <c r="H1042" s="14" t="n">
        <v>345</v>
      </c>
      <c r="I1042" s="14" t="n">
        <f aca="false">F1042-(G1042+H1042)/2</f>
        <v>20.77476621051</v>
      </c>
      <c r="J1042" s="5" t="str">
        <f aca="false">IF(D1042&lt;8,"LOW SAMPLE",IF(F1042&gt;H1042*(1+Assumptions!$B$10),"UNDERPAID",IF(F1042&lt;G1042*(1-Assumptions!$B$10),"OVERPAID","FAIR")))</f>
        <v>FAIR</v>
      </c>
      <c r="K1042" s="5" t="n">
        <v>0</v>
      </c>
    </row>
    <row r="1043" customFormat="false" ht="15" hidden="false" customHeight="false" outlineLevel="0" collapsed="false">
      <c r="A1043" s="5" t="n">
        <v>2022</v>
      </c>
      <c r="B1043" s="5" t="s">
        <v>378</v>
      </c>
      <c r="C1043" s="5" t="s">
        <v>402</v>
      </c>
      <c r="D1043" s="5" t="n">
        <v>3</v>
      </c>
      <c r="E1043" s="13" t="n">
        <v>0.27</v>
      </c>
      <c r="F1043" s="14" t="n">
        <f aca="false">E1043*Assumptions!$D$5</f>
        <v>36.3696858488272</v>
      </c>
      <c r="G1043" s="14" t="n">
        <v>345</v>
      </c>
      <c r="H1043" s="14" t="n">
        <v>450</v>
      </c>
      <c r="I1043" s="14" t="n">
        <f aca="false">F1043-(G1043+H1043)/2</f>
        <v>-361.130314151173</v>
      </c>
      <c r="J1043" s="5" t="str">
        <f aca="false">IF(D1043&lt;8,"LOW SAMPLE",IF(F1043&gt;H1043*(1+Assumptions!$B$10),"UNDERPAID",IF(F1043&lt;G1043*(1-Assumptions!$B$10),"OVERPAID","FAIR")))</f>
        <v>LOW SAMPLE</v>
      </c>
      <c r="K1043" s="5" t="n">
        <v>122</v>
      </c>
    </row>
    <row r="1044" customFormat="false" ht="15" hidden="false" customHeight="false" outlineLevel="0" collapsed="false">
      <c r="A1044" s="5" t="n">
        <v>2022</v>
      </c>
      <c r="B1044" s="5" t="s">
        <v>378</v>
      </c>
      <c r="C1044" s="5" t="s">
        <v>403</v>
      </c>
      <c r="D1044" s="5" t="n">
        <v>9</v>
      </c>
      <c r="E1044" s="13" t="n">
        <v>1.39</v>
      </c>
      <c r="F1044" s="14" t="n">
        <f aca="false">E1044*Assumptions!$D$5</f>
        <v>187.23653085137</v>
      </c>
      <c r="G1044" s="14" t="n">
        <v>225</v>
      </c>
      <c r="H1044" s="14" t="n">
        <v>345</v>
      </c>
      <c r="I1044" s="14" t="n">
        <f aca="false">F1044-(G1044+H1044)/2</f>
        <v>-97.7634691486305</v>
      </c>
      <c r="J1044" s="5" t="str">
        <f aca="false">IF(D1044&lt;8,"LOW SAMPLE",IF(F1044&gt;H1044*(1+Assumptions!$B$10),"UNDERPAID",IF(F1044&lt;G1044*(1-Assumptions!$B$10),"OVERPAID","FAIR")))</f>
        <v>OVERPAID</v>
      </c>
      <c r="K1044" s="5" t="n">
        <v>10</v>
      </c>
    </row>
    <row r="1045" customFormat="false" ht="15" hidden="false" customHeight="false" outlineLevel="0" collapsed="false">
      <c r="A1045" s="5" t="n">
        <v>2022</v>
      </c>
      <c r="B1045" s="5" t="s">
        <v>378</v>
      </c>
      <c r="C1045" s="5" t="s">
        <v>404</v>
      </c>
      <c r="D1045" s="5" t="n">
        <v>13</v>
      </c>
      <c r="E1045" s="13" t="n">
        <v>1.53</v>
      </c>
      <c r="F1045" s="14" t="n">
        <f aca="false">E1045*Assumptions!$D$5</f>
        <v>206.094886476687</v>
      </c>
      <c r="G1045" s="14" t="n">
        <v>450</v>
      </c>
      <c r="H1045" s="14" t="n">
        <v>615</v>
      </c>
      <c r="I1045" s="14" t="n">
        <f aca="false">F1045-(G1045+H1045)/2</f>
        <v>-326.405113523313</v>
      </c>
      <c r="J1045" s="5" t="str">
        <f aca="false">IF(D1045&lt;8,"LOW SAMPLE",IF(F1045&gt;H1045*(1+Assumptions!$B$10),"UNDERPAID",IF(F1045&lt;G1045*(1-Assumptions!$B$10),"OVERPAID","FAIR")))</f>
        <v>OVERPAID</v>
      </c>
      <c r="K1045" s="5" t="n">
        <v>140</v>
      </c>
    </row>
    <row r="1046" customFormat="false" ht="15" hidden="false" customHeight="false" outlineLevel="0" collapsed="false">
      <c r="A1046" s="5" t="n">
        <v>2022</v>
      </c>
      <c r="B1046" s="5" t="s">
        <v>378</v>
      </c>
      <c r="C1046" s="5" t="s">
        <v>405</v>
      </c>
      <c r="D1046" s="5" t="n">
        <v>21</v>
      </c>
      <c r="E1046" s="13" t="n">
        <v>4.73</v>
      </c>
      <c r="F1046" s="14" t="n">
        <f aca="false">E1046*Assumptions!$D$5</f>
        <v>637.14301505538</v>
      </c>
      <c r="G1046" s="14" t="n">
        <v>450</v>
      </c>
      <c r="H1046" s="14" t="n">
        <v>615</v>
      </c>
      <c r="I1046" s="14" t="n">
        <f aca="false">F1046-(G1046+H1046)/2</f>
        <v>104.64301505538</v>
      </c>
      <c r="J1046" s="5" t="str">
        <f aca="false">IF(D1046&lt;8,"LOW SAMPLE",IF(F1046&gt;H1046*(1+Assumptions!$B$10),"UNDERPAID",IF(F1046&lt;G1046*(1-Assumptions!$B$10),"OVERPAID","FAIR")))</f>
        <v>FAIR</v>
      </c>
      <c r="K1046" s="5" t="n">
        <v>148</v>
      </c>
    </row>
    <row r="1047" customFormat="false" ht="15" hidden="false" customHeight="false" outlineLevel="0" collapsed="false">
      <c r="A1047" s="5" t="n">
        <v>2022</v>
      </c>
      <c r="B1047" s="5" t="s">
        <v>378</v>
      </c>
      <c r="C1047" s="5" t="s">
        <v>174</v>
      </c>
      <c r="D1047" s="5" t="n">
        <v>7</v>
      </c>
      <c r="E1047" s="13" t="n">
        <v>1.25</v>
      </c>
      <c r="F1047" s="14" t="n">
        <f aca="false">E1047*Assumptions!$D$5</f>
        <v>168.378175226052</v>
      </c>
      <c r="G1047" s="14" t="n">
        <v>125</v>
      </c>
      <c r="H1047" s="14" t="n">
        <v>225</v>
      </c>
      <c r="I1047" s="14" t="n">
        <f aca="false">F1047-(G1047+H1047)/2</f>
        <v>-6.62182477394825</v>
      </c>
      <c r="J1047" s="5" t="str">
        <f aca="false">IF(D1047&lt;8,"LOW SAMPLE",IF(F1047&gt;H1047*(1+Assumptions!$B$10),"UNDERPAID",IF(F1047&lt;G1047*(1-Assumptions!$B$10),"OVERPAID","FAIR")))</f>
        <v>LOW SAMPLE</v>
      </c>
      <c r="K1047" s="5" t="n">
        <v>3</v>
      </c>
    </row>
    <row r="1048" customFormat="false" ht="15" hidden="false" customHeight="false" outlineLevel="0" collapsed="false">
      <c r="A1048" s="5" t="n">
        <v>2022</v>
      </c>
      <c r="B1048" s="5" t="s">
        <v>378</v>
      </c>
      <c r="C1048" s="5" t="s">
        <v>407</v>
      </c>
      <c r="D1048" s="5" t="n">
        <v>15</v>
      </c>
      <c r="E1048" s="13" t="n">
        <v>3.9</v>
      </c>
      <c r="F1048" s="14" t="n">
        <f aca="false">E1048*Assumptions!$D$5</f>
        <v>525.339906705282</v>
      </c>
      <c r="G1048" s="14" t="n">
        <v>345</v>
      </c>
      <c r="H1048" s="14" t="n">
        <v>450</v>
      </c>
      <c r="I1048" s="14" t="n">
        <f aca="false">F1048-(G1048+H1048)/2</f>
        <v>127.839906705281</v>
      </c>
      <c r="J1048" s="5" t="str">
        <f aca="false">IF(D1048&lt;8,"LOW SAMPLE",IF(F1048&gt;H1048*(1+Assumptions!$B$10),"UNDERPAID",IF(F1048&lt;G1048*(1-Assumptions!$B$10),"OVERPAID","FAIR")))</f>
        <v>UNDERPAID</v>
      </c>
      <c r="K1048" s="5" t="n">
        <v>36</v>
      </c>
    </row>
    <row r="1049" customFormat="false" ht="15" hidden="false" customHeight="false" outlineLevel="0" collapsed="false">
      <c r="A1049" s="5" t="n">
        <v>2022</v>
      </c>
      <c r="B1049" s="5" t="s">
        <v>378</v>
      </c>
      <c r="C1049" s="5" t="s">
        <v>780</v>
      </c>
      <c r="D1049" s="5" t="n">
        <v>1</v>
      </c>
      <c r="E1049" s="13" t="n">
        <v>0.12</v>
      </c>
      <c r="F1049" s="14" t="n">
        <f aca="false">E1049*Assumptions!$D$5</f>
        <v>16.164304821701</v>
      </c>
      <c r="G1049" s="14" t="n">
        <v>225</v>
      </c>
      <c r="H1049" s="14" t="n">
        <v>345</v>
      </c>
      <c r="I1049" s="14" t="n">
        <f aca="false">F1049-(G1049+H1049)/2</f>
        <v>-268.835695178299</v>
      </c>
      <c r="J1049" s="5" t="str">
        <f aca="false">IF(D1049&lt;8,"LOW SAMPLE",IF(F1049&gt;H1049*(1+Assumptions!$B$10),"UNDERPAID",IF(F1049&lt;G1049*(1-Assumptions!$B$10),"OVERPAID","FAIR")))</f>
        <v>LOW SAMPLE</v>
      </c>
      <c r="K1049" s="5" t="n">
        <v>0</v>
      </c>
    </row>
    <row r="1050" customFormat="false" ht="15" hidden="false" customHeight="false" outlineLevel="0" collapsed="false">
      <c r="A1050" s="5" t="n">
        <v>2022</v>
      </c>
      <c r="B1050" s="5" t="s">
        <v>378</v>
      </c>
      <c r="C1050" s="5" t="s">
        <v>408</v>
      </c>
      <c r="D1050" s="5" t="n">
        <v>12</v>
      </c>
      <c r="E1050" s="13" t="n">
        <v>2.43</v>
      </c>
      <c r="F1050" s="14" t="n">
        <f aca="false">E1050*Assumptions!$D$5</f>
        <v>327.327172639445</v>
      </c>
      <c r="G1050" s="14" t="n">
        <v>125</v>
      </c>
      <c r="H1050" s="14" t="n">
        <v>225</v>
      </c>
      <c r="I1050" s="14" t="n">
        <f aca="false">F1050-(G1050+H1050)/2</f>
        <v>152.327172639445</v>
      </c>
      <c r="J1050" s="5" t="str">
        <f aca="false">IF(D1050&lt;8,"LOW SAMPLE",IF(F1050&gt;H1050*(1+Assumptions!$B$10),"UNDERPAID",IF(F1050&lt;G1050*(1-Assumptions!$B$10),"OVERPAID","FAIR")))</f>
        <v>UNDERPAID</v>
      </c>
      <c r="K1050" s="5" t="n">
        <v>5</v>
      </c>
    </row>
    <row r="1051" customFormat="false" ht="15" hidden="false" customHeight="false" outlineLevel="0" collapsed="false">
      <c r="A1051" s="5" t="n">
        <v>2022</v>
      </c>
      <c r="B1051" s="5" t="s">
        <v>378</v>
      </c>
      <c r="C1051" s="5" t="s">
        <v>781</v>
      </c>
      <c r="D1051" s="5" t="n">
        <v>9</v>
      </c>
      <c r="E1051" s="13" t="n">
        <v>0.92</v>
      </c>
      <c r="F1051" s="14" t="n">
        <f aca="false">E1051*Assumptions!$D$5</f>
        <v>123.926336966374</v>
      </c>
      <c r="G1051" s="14" t="n">
        <v>225</v>
      </c>
      <c r="H1051" s="14" t="n">
        <v>345</v>
      </c>
      <c r="I1051" s="14" t="n">
        <f aca="false">F1051-(G1051+H1051)/2</f>
        <v>-161.073663033626</v>
      </c>
      <c r="J1051" s="5" t="str">
        <f aca="false">IF(D1051&lt;8,"LOW SAMPLE",IF(F1051&gt;H1051*(1+Assumptions!$B$10),"UNDERPAID",IF(F1051&lt;G1051*(1-Assumptions!$B$10),"OVERPAID","FAIR")))</f>
        <v>OVERPAID</v>
      </c>
      <c r="K1051" s="5" t="n">
        <v>46</v>
      </c>
    </row>
    <row r="1052" customFormat="false" ht="15" hidden="false" customHeight="false" outlineLevel="0" collapsed="false">
      <c r="A1052" s="5" t="n">
        <v>2022</v>
      </c>
      <c r="B1052" s="5" t="s">
        <v>378</v>
      </c>
      <c r="C1052" s="5" t="s">
        <v>410</v>
      </c>
      <c r="D1052" s="5" t="n">
        <v>12</v>
      </c>
      <c r="E1052" s="13" t="n">
        <v>2.05</v>
      </c>
      <c r="F1052" s="14" t="n">
        <f aca="false">E1052*Assumptions!$D$5</f>
        <v>276.140207370725</v>
      </c>
      <c r="G1052" s="14" t="n">
        <v>450</v>
      </c>
      <c r="H1052" s="14" t="n">
        <v>615</v>
      </c>
      <c r="I1052" s="14" t="n">
        <f aca="false">F1052-(G1052+H1052)/2</f>
        <v>-256.359792629275</v>
      </c>
      <c r="J1052" s="5" t="str">
        <f aca="false">IF(D1052&lt;8,"LOW SAMPLE",IF(F1052&gt;H1052*(1+Assumptions!$B$10),"UNDERPAID",IF(F1052&lt;G1052*(1-Assumptions!$B$10),"OVERPAID","FAIR")))</f>
        <v>OVERPAID</v>
      </c>
      <c r="K1052" s="5" t="n">
        <v>108</v>
      </c>
    </row>
    <row r="1053" customFormat="false" ht="15" hidden="false" customHeight="false" outlineLevel="0" collapsed="false">
      <c r="A1053" s="5" t="n">
        <v>2022</v>
      </c>
      <c r="B1053" s="5" t="s">
        <v>378</v>
      </c>
      <c r="C1053" s="5" t="s">
        <v>413</v>
      </c>
      <c r="D1053" s="5" t="n">
        <v>21</v>
      </c>
      <c r="E1053" s="13" t="n">
        <v>5.54</v>
      </c>
      <c r="F1053" s="14" t="n">
        <f aca="false">E1053*Assumptions!$D$5</f>
        <v>746.252072601861</v>
      </c>
      <c r="G1053" s="14" t="n">
        <v>615</v>
      </c>
      <c r="H1053" s="14" t="n">
        <v>855</v>
      </c>
      <c r="I1053" s="14" t="n">
        <f aca="false">F1053-(G1053+H1053)/2</f>
        <v>11.2520726018613</v>
      </c>
      <c r="J1053" s="5" t="str">
        <f aca="false">IF(D1053&lt;8,"LOW SAMPLE",IF(F1053&gt;H1053*(1+Assumptions!$B$10),"UNDERPAID",IF(F1053&lt;G1053*(1-Assumptions!$B$10),"OVERPAID","FAIR")))</f>
        <v>FAIR</v>
      </c>
      <c r="K1053" s="5" t="n">
        <v>130</v>
      </c>
    </row>
    <row r="1054" customFormat="false" ht="15" hidden="false" customHeight="false" outlineLevel="0" collapsed="false">
      <c r="A1054" s="5" t="n">
        <v>2022</v>
      </c>
      <c r="B1054" s="5" t="s">
        <v>378</v>
      </c>
      <c r="C1054" s="5" t="s">
        <v>414</v>
      </c>
      <c r="D1054" s="5" t="n">
        <v>4</v>
      </c>
      <c r="E1054" s="13" t="n">
        <v>0.37</v>
      </c>
      <c r="F1054" s="14" t="n">
        <f aca="false">E1054*Assumptions!$D$5</f>
        <v>49.8399398669113</v>
      </c>
      <c r="G1054" s="14" t="n">
        <v>345</v>
      </c>
      <c r="H1054" s="14" t="n">
        <v>450</v>
      </c>
      <c r="I1054" s="14" t="n">
        <f aca="false">F1054-(G1054+H1054)/2</f>
        <v>-347.660060133089</v>
      </c>
      <c r="J1054" s="5" t="str">
        <f aca="false">IF(D1054&lt;8,"LOW SAMPLE",IF(F1054&gt;H1054*(1+Assumptions!$B$10),"UNDERPAID",IF(F1054&lt;G1054*(1-Assumptions!$B$10),"OVERPAID","FAIR")))</f>
        <v>LOW SAMPLE</v>
      </c>
      <c r="K1054" s="5" t="n">
        <v>111</v>
      </c>
    </row>
    <row r="1055" customFormat="false" ht="15" hidden="false" customHeight="false" outlineLevel="0" collapsed="false">
      <c r="A1055" s="5" t="n">
        <v>2022</v>
      </c>
      <c r="B1055" s="5" t="s">
        <v>378</v>
      </c>
      <c r="C1055" s="5" t="s">
        <v>416</v>
      </c>
      <c r="D1055" s="5" t="n">
        <v>17</v>
      </c>
      <c r="E1055" s="13" t="n">
        <v>2.63</v>
      </c>
      <c r="F1055" s="14" t="n">
        <f aca="false">E1055*Assumptions!$D$5</f>
        <v>354.267680675613</v>
      </c>
      <c r="G1055" s="14" t="n">
        <v>125</v>
      </c>
      <c r="H1055" s="14" t="n">
        <v>225</v>
      </c>
      <c r="I1055" s="14" t="n">
        <f aca="false">F1055-(G1055+H1055)/2</f>
        <v>179.267680675613</v>
      </c>
      <c r="J1055" s="5" t="str">
        <f aca="false">IF(D1055&lt;8,"LOW SAMPLE",IF(F1055&gt;H1055*(1+Assumptions!$B$10),"UNDERPAID",IF(F1055&lt;G1055*(1-Assumptions!$B$10),"OVERPAID","FAIR")))</f>
        <v>UNDERPAID</v>
      </c>
      <c r="K1055" s="5" t="n">
        <v>16</v>
      </c>
    </row>
    <row r="1056" customFormat="false" ht="15" hidden="false" customHeight="false" outlineLevel="0" collapsed="false">
      <c r="A1056" s="5" t="n">
        <v>2022</v>
      </c>
      <c r="B1056" s="5" t="s">
        <v>417</v>
      </c>
      <c r="C1056" s="5" t="s">
        <v>419</v>
      </c>
      <c r="D1056" s="5" t="n">
        <v>8</v>
      </c>
      <c r="E1056" s="13" t="n">
        <v>1.28</v>
      </c>
      <c r="F1056" s="14" t="n">
        <f aca="false">E1056*Assumptions!$D$5</f>
        <v>172.419251431477</v>
      </c>
      <c r="G1056" s="14" t="n">
        <v>345</v>
      </c>
      <c r="H1056" s="14" t="n">
        <v>450</v>
      </c>
      <c r="I1056" s="14" t="n">
        <f aca="false">F1056-(G1056+H1056)/2</f>
        <v>-225.080748568523</v>
      </c>
      <c r="J1056" s="5" t="str">
        <f aca="false">IF(D1056&lt;8,"LOW SAMPLE",IF(F1056&gt;H1056*(1+Assumptions!$B$10),"UNDERPAID",IF(F1056&lt;G1056*(1-Assumptions!$B$10),"OVERPAID","FAIR")))</f>
        <v>OVERPAID</v>
      </c>
      <c r="K1056" s="5" t="n">
        <v>115</v>
      </c>
    </row>
    <row r="1057" customFormat="false" ht="15" hidden="false" customHeight="false" outlineLevel="0" collapsed="false">
      <c r="A1057" s="5" t="n">
        <v>2022</v>
      </c>
      <c r="B1057" s="5" t="s">
        <v>417</v>
      </c>
      <c r="C1057" s="5" t="s">
        <v>420</v>
      </c>
      <c r="D1057" s="5" t="n">
        <v>23</v>
      </c>
      <c r="E1057" s="13" t="n">
        <v>4.21</v>
      </c>
      <c r="F1057" s="14" t="n">
        <f aca="false">E1057*Assumptions!$D$5</f>
        <v>567.097694161342</v>
      </c>
      <c r="G1057" s="14" t="n">
        <v>345</v>
      </c>
      <c r="H1057" s="14" t="n">
        <v>450</v>
      </c>
      <c r="I1057" s="14" t="n">
        <f aca="false">F1057-(G1057+H1057)/2</f>
        <v>169.597694161342</v>
      </c>
      <c r="J1057" s="5" t="str">
        <f aca="false">IF(D1057&lt;8,"LOW SAMPLE",IF(F1057&gt;H1057*(1+Assumptions!$B$10),"UNDERPAID",IF(F1057&lt;G1057*(1-Assumptions!$B$10),"OVERPAID","FAIR")))</f>
        <v>UNDERPAID</v>
      </c>
      <c r="K1057" s="5" t="n">
        <v>105</v>
      </c>
    </row>
    <row r="1058" customFormat="false" ht="15" hidden="false" customHeight="false" outlineLevel="0" collapsed="false">
      <c r="A1058" s="5" t="n">
        <v>2022</v>
      </c>
      <c r="B1058" s="5" t="s">
        <v>417</v>
      </c>
      <c r="C1058" s="5" t="s">
        <v>421</v>
      </c>
      <c r="D1058" s="5" t="n">
        <v>24</v>
      </c>
      <c r="E1058" s="13" t="n">
        <v>5.23</v>
      </c>
      <c r="F1058" s="14" t="n">
        <f aca="false">E1058*Assumptions!$D$5</f>
        <v>704.494285145801</v>
      </c>
      <c r="G1058" s="14" t="n">
        <v>450</v>
      </c>
      <c r="H1058" s="14" t="n">
        <v>615</v>
      </c>
      <c r="I1058" s="14" t="n">
        <f aca="false">F1058-(G1058+H1058)/2</f>
        <v>171.994285145801</v>
      </c>
      <c r="J1058" s="5" t="str">
        <f aca="false">IF(D1058&lt;8,"LOW SAMPLE",IF(F1058&gt;H1058*(1+Assumptions!$B$10),"UNDERPAID",IF(F1058&lt;G1058*(1-Assumptions!$B$10),"OVERPAID","FAIR")))</f>
        <v>FAIR</v>
      </c>
      <c r="K1058" s="5" t="n">
        <v>119</v>
      </c>
    </row>
    <row r="1059" customFormat="false" ht="15" hidden="false" customHeight="false" outlineLevel="0" collapsed="false">
      <c r="A1059" s="5" t="n">
        <v>2022</v>
      </c>
      <c r="B1059" s="5" t="s">
        <v>417</v>
      </c>
      <c r="C1059" s="5" t="s">
        <v>422</v>
      </c>
      <c r="D1059" s="5" t="n">
        <v>24</v>
      </c>
      <c r="E1059" s="13" t="n">
        <v>5.16</v>
      </c>
      <c r="F1059" s="14" t="n">
        <f aca="false">E1059*Assumptions!$D$5</f>
        <v>695.065107333142</v>
      </c>
      <c r="G1059" s="14" t="n">
        <v>615</v>
      </c>
      <c r="H1059" s="14" t="n">
        <v>855</v>
      </c>
      <c r="I1059" s="14" t="n">
        <f aca="false">F1059-(G1059+H1059)/2</f>
        <v>-39.9348926668583</v>
      </c>
      <c r="J1059" s="5" t="str">
        <f aca="false">IF(D1059&lt;8,"LOW SAMPLE",IF(F1059&gt;H1059*(1+Assumptions!$B$10),"UNDERPAID",IF(F1059&lt;G1059*(1-Assumptions!$B$10),"OVERPAID","FAIR")))</f>
        <v>FAIR</v>
      </c>
      <c r="K1059" s="5" t="n">
        <v>85</v>
      </c>
    </row>
    <row r="1060" customFormat="false" ht="15" hidden="false" customHeight="false" outlineLevel="0" collapsed="false">
      <c r="A1060" s="5" t="n">
        <v>2022</v>
      </c>
      <c r="B1060" s="5" t="s">
        <v>417</v>
      </c>
      <c r="C1060" s="5" t="s">
        <v>423</v>
      </c>
      <c r="D1060" s="5" t="n">
        <v>19</v>
      </c>
      <c r="E1060" s="13" t="n">
        <v>3.59</v>
      </c>
      <c r="F1060" s="14" t="n">
        <f aca="false">E1060*Assumptions!$D$5</f>
        <v>483.582119249221</v>
      </c>
      <c r="G1060" s="14" t="n">
        <v>345</v>
      </c>
      <c r="H1060" s="14" t="n">
        <v>450</v>
      </c>
      <c r="I1060" s="14" t="n">
        <f aca="false">F1060-(G1060+H1060)/2</f>
        <v>86.0821192492206</v>
      </c>
      <c r="J1060" s="5" t="str">
        <f aca="false">IF(D1060&lt;8,"LOW SAMPLE",IF(F1060&gt;H1060*(1+Assumptions!$B$10),"UNDERPAID",IF(F1060&lt;G1060*(1-Assumptions!$B$10),"OVERPAID","FAIR")))</f>
        <v>FAIR</v>
      </c>
      <c r="K1060" s="5" t="n">
        <v>132</v>
      </c>
    </row>
    <row r="1061" customFormat="false" ht="15" hidden="false" customHeight="false" outlineLevel="0" collapsed="false">
      <c r="A1061" s="5" t="n">
        <v>2022</v>
      </c>
      <c r="B1061" s="5" t="s">
        <v>417</v>
      </c>
      <c r="C1061" s="5" t="s">
        <v>424</v>
      </c>
      <c r="D1061" s="5" t="n">
        <v>24</v>
      </c>
      <c r="E1061" s="13" t="n">
        <v>3.21</v>
      </c>
      <c r="F1061" s="14" t="n">
        <f aca="false">E1061*Assumptions!$D$5</f>
        <v>432.395153980501</v>
      </c>
      <c r="G1061" s="14" t="n">
        <v>345</v>
      </c>
      <c r="H1061" s="14" t="n">
        <v>450</v>
      </c>
      <c r="I1061" s="14" t="n">
        <f aca="false">F1061-(G1061+H1061)/2</f>
        <v>34.8951539805009</v>
      </c>
      <c r="J1061" s="5" t="str">
        <f aca="false">IF(D1061&lt;8,"LOW SAMPLE",IF(F1061&gt;H1061*(1+Assumptions!$B$10),"UNDERPAID",IF(F1061&lt;G1061*(1-Assumptions!$B$10),"OVERPAID","FAIR")))</f>
        <v>FAIR</v>
      </c>
      <c r="K1061" s="5" t="n">
        <v>59</v>
      </c>
    </row>
    <row r="1062" customFormat="false" ht="15" hidden="false" customHeight="false" outlineLevel="0" collapsed="false">
      <c r="A1062" s="5" t="n">
        <v>2022</v>
      </c>
      <c r="B1062" s="5" t="s">
        <v>417</v>
      </c>
      <c r="C1062" s="5" t="s">
        <v>425</v>
      </c>
      <c r="D1062" s="5" t="n">
        <v>24</v>
      </c>
      <c r="E1062" s="13" t="n">
        <v>7.64</v>
      </c>
      <c r="F1062" s="14" t="n">
        <f aca="false">E1062*Assumptions!$D$5</f>
        <v>1029.12740698163</v>
      </c>
      <c r="G1062" s="14" t="n">
        <v>855</v>
      </c>
      <c r="H1062" s="14" t="n">
        <v>1170</v>
      </c>
      <c r="I1062" s="14" t="n">
        <f aca="false">F1062-(G1062+H1062)/2</f>
        <v>16.6274069816282</v>
      </c>
      <c r="J1062" s="5" t="str">
        <f aca="false">IF(D1062&lt;8,"LOW SAMPLE",IF(F1062&gt;H1062*(1+Assumptions!$B$10),"UNDERPAID",IF(F1062&lt;G1062*(1-Assumptions!$B$10),"OVERPAID","FAIR")))</f>
        <v>FAIR</v>
      </c>
      <c r="K1062" s="5" t="n">
        <v>127</v>
      </c>
    </row>
    <row r="1063" customFormat="false" ht="15" hidden="false" customHeight="false" outlineLevel="0" collapsed="false">
      <c r="A1063" s="5" t="n">
        <v>2022</v>
      </c>
      <c r="B1063" s="5" t="s">
        <v>417</v>
      </c>
      <c r="C1063" s="5" t="s">
        <v>426</v>
      </c>
      <c r="D1063" s="5" t="n">
        <v>13</v>
      </c>
      <c r="E1063" s="13" t="n">
        <v>2.07</v>
      </c>
      <c r="F1063" s="14" t="n">
        <f aca="false">E1063*Assumptions!$D$5</f>
        <v>278.834258174342</v>
      </c>
      <c r="G1063" s="14" t="n">
        <v>615</v>
      </c>
      <c r="H1063" s="14" t="n">
        <v>855</v>
      </c>
      <c r="I1063" s="14" t="n">
        <f aca="false">F1063-(G1063+H1063)/2</f>
        <v>-456.165741825658</v>
      </c>
      <c r="J1063" s="5" t="str">
        <f aca="false">IF(D1063&lt;8,"LOW SAMPLE",IF(F1063&gt;H1063*(1+Assumptions!$B$10),"UNDERPAID",IF(F1063&lt;G1063*(1-Assumptions!$B$10),"OVERPAID","FAIR")))</f>
        <v>OVERPAID</v>
      </c>
      <c r="K1063" s="5" t="n">
        <v>118</v>
      </c>
    </row>
    <row r="1064" customFormat="false" ht="15" hidden="false" customHeight="false" outlineLevel="0" collapsed="false">
      <c r="A1064" s="5" t="n">
        <v>2022</v>
      </c>
      <c r="B1064" s="5" t="s">
        <v>417</v>
      </c>
      <c r="C1064" s="5" t="s">
        <v>427</v>
      </c>
      <c r="D1064" s="5" t="n">
        <v>23</v>
      </c>
      <c r="E1064" s="13" t="n">
        <v>8.22</v>
      </c>
      <c r="F1064" s="14" t="n">
        <f aca="false">E1064*Assumptions!$D$5</f>
        <v>1107.25488028652</v>
      </c>
      <c r="G1064" s="14" t="n">
        <v>1170</v>
      </c>
      <c r="H1064" s="14" t="n">
        <v>1530</v>
      </c>
      <c r="I1064" s="14" t="n">
        <f aca="false">F1064-(G1064+H1064)/2</f>
        <v>-242.745119713484</v>
      </c>
      <c r="J1064" s="5" t="str">
        <f aca="false">IF(D1064&lt;8,"LOW SAMPLE",IF(F1064&gt;H1064*(1+Assumptions!$B$10),"UNDERPAID",IF(F1064&lt;G1064*(1-Assumptions!$B$10),"OVERPAID","FAIR")))</f>
        <v>FAIR</v>
      </c>
      <c r="K1064" s="5" t="n">
        <v>124</v>
      </c>
    </row>
    <row r="1065" customFormat="false" ht="15" hidden="false" customHeight="false" outlineLevel="0" collapsed="false">
      <c r="A1065" s="5" t="n">
        <v>2022</v>
      </c>
      <c r="B1065" s="5" t="s">
        <v>417</v>
      </c>
      <c r="C1065" s="5" t="s">
        <v>782</v>
      </c>
      <c r="D1065" s="5" t="n">
        <v>1</v>
      </c>
      <c r="E1065" s="13" t="n">
        <v>0.07</v>
      </c>
      <c r="F1065" s="14" t="n">
        <f aca="false">E1065*Assumptions!$D$5</f>
        <v>9.4291778126589</v>
      </c>
      <c r="G1065" s="14" t="n">
        <v>225</v>
      </c>
      <c r="H1065" s="14" t="n">
        <v>345</v>
      </c>
      <c r="I1065" s="14" t="n">
        <f aca="false">F1065-(G1065+H1065)/2</f>
        <v>-275.570822187341</v>
      </c>
      <c r="J1065" s="5" t="str">
        <f aca="false">IF(D1065&lt;8,"LOW SAMPLE",IF(F1065&gt;H1065*(1+Assumptions!$B$10),"UNDERPAID",IF(F1065&lt;G1065*(1-Assumptions!$B$10),"OVERPAID","FAIR")))</f>
        <v>LOW SAMPLE</v>
      </c>
      <c r="K1065" s="5" t="n">
        <v>0</v>
      </c>
    </row>
    <row r="1066" customFormat="false" ht="15" hidden="false" customHeight="false" outlineLevel="0" collapsed="false">
      <c r="A1066" s="5" t="n">
        <v>2022</v>
      </c>
      <c r="B1066" s="5" t="s">
        <v>417</v>
      </c>
      <c r="C1066" s="5" t="s">
        <v>428</v>
      </c>
      <c r="D1066" s="5" t="n">
        <v>23</v>
      </c>
      <c r="E1066" s="13" t="n">
        <v>4.41</v>
      </c>
      <c r="F1066" s="14" t="n">
        <f aca="false">E1066*Assumptions!$D$5</f>
        <v>594.038202197511</v>
      </c>
      <c r="G1066" s="14" t="n">
        <v>450</v>
      </c>
      <c r="H1066" s="14" t="n">
        <v>615</v>
      </c>
      <c r="I1066" s="14" t="n">
        <f aca="false">F1066-(G1066+H1066)/2</f>
        <v>61.5382021975106</v>
      </c>
      <c r="J1066" s="5" t="str">
        <f aca="false">IF(D1066&lt;8,"LOW SAMPLE",IF(F1066&gt;H1066*(1+Assumptions!$B$10),"UNDERPAID",IF(F1066&lt;G1066*(1-Assumptions!$B$10),"OVERPAID","FAIR")))</f>
        <v>FAIR</v>
      </c>
      <c r="K1066" s="5" t="n">
        <v>109</v>
      </c>
    </row>
    <row r="1067" customFormat="false" ht="15" hidden="false" customHeight="false" outlineLevel="0" collapsed="false">
      <c r="A1067" s="5" t="n">
        <v>2022</v>
      </c>
      <c r="B1067" s="5" t="s">
        <v>417</v>
      </c>
      <c r="C1067" s="5" t="s">
        <v>429</v>
      </c>
      <c r="D1067" s="5" t="n">
        <v>18</v>
      </c>
      <c r="E1067" s="13" t="n">
        <v>3.64</v>
      </c>
      <c r="F1067" s="14" t="n">
        <f aca="false">E1067*Assumptions!$D$5</f>
        <v>490.317246258263</v>
      </c>
      <c r="G1067" s="14" t="n">
        <v>345</v>
      </c>
      <c r="H1067" s="14" t="n">
        <v>450</v>
      </c>
      <c r="I1067" s="14" t="n">
        <f aca="false">F1067-(G1067+H1067)/2</f>
        <v>92.8172462582627</v>
      </c>
      <c r="J1067" s="5" t="str">
        <f aca="false">IF(D1067&lt;8,"LOW SAMPLE",IF(F1067&gt;H1067*(1+Assumptions!$B$10),"UNDERPAID",IF(F1067&lt;G1067*(1-Assumptions!$B$10),"OVERPAID","FAIR")))</f>
        <v>FAIR</v>
      </c>
      <c r="K1067" s="5" t="n">
        <v>30</v>
      </c>
    </row>
    <row r="1068" customFormat="false" ht="15" hidden="false" customHeight="false" outlineLevel="0" collapsed="false">
      <c r="A1068" s="5" t="n">
        <v>2022</v>
      </c>
      <c r="B1068" s="5" t="s">
        <v>417</v>
      </c>
      <c r="C1068" s="5" t="s">
        <v>430</v>
      </c>
      <c r="D1068" s="5" t="n">
        <v>22</v>
      </c>
      <c r="E1068" s="13" t="n">
        <v>6.26</v>
      </c>
      <c r="F1068" s="14" t="n">
        <f aca="false">E1068*Assumptions!$D$5</f>
        <v>843.237901532067</v>
      </c>
      <c r="G1068" s="14" t="n">
        <v>450</v>
      </c>
      <c r="H1068" s="14" t="n">
        <v>615</v>
      </c>
      <c r="I1068" s="14" t="n">
        <f aca="false">F1068-(G1068+H1068)/2</f>
        <v>310.737901532067</v>
      </c>
      <c r="J1068" s="5" t="str">
        <f aca="false">IF(D1068&lt;8,"LOW SAMPLE",IF(F1068&gt;H1068*(1+Assumptions!$B$10),"UNDERPAID",IF(F1068&lt;G1068*(1-Assumptions!$B$10),"OVERPAID","FAIR")))</f>
        <v>UNDERPAID</v>
      </c>
      <c r="K1068" s="5" t="n">
        <v>117</v>
      </c>
    </row>
    <row r="1069" customFormat="false" ht="15" hidden="false" customHeight="false" outlineLevel="0" collapsed="false">
      <c r="A1069" s="5" t="n">
        <v>2022</v>
      </c>
      <c r="B1069" s="5" t="s">
        <v>417</v>
      </c>
      <c r="C1069" s="5" t="s">
        <v>431</v>
      </c>
      <c r="D1069" s="5" t="n">
        <v>17</v>
      </c>
      <c r="E1069" s="13" t="n">
        <v>2.66</v>
      </c>
      <c r="F1069" s="14" t="n">
        <f aca="false">E1069*Assumptions!$D$5</f>
        <v>358.308756881038</v>
      </c>
      <c r="G1069" s="14" t="n">
        <v>125</v>
      </c>
      <c r="H1069" s="14" t="n">
        <v>225</v>
      </c>
      <c r="I1069" s="14" t="n">
        <f aca="false">F1069-(G1069+H1069)/2</f>
        <v>183.308756881038</v>
      </c>
      <c r="J1069" s="5" t="str">
        <f aca="false">IF(D1069&lt;8,"LOW SAMPLE",IF(F1069&gt;H1069*(1+Assumptions!$B$10),"UNDERPAID",IF(F1069&lt;G1069*(1-Assumptions!$B$10),"OVERPAID","FAIR")))</f>
        <v>UNDERPAID</v>
      </c>
      <c r="K1069" s="5" t="n">
        <v>7</v>
      </c>
    </row>
    <row r="1070" customFormat="false" ht="15" hidden="false" customHeight="false" outlineLevel="0" collapsed="false">
      <c r="A1070" s="5" t="n">
        <v>2022</v>
      </c>
      <c r="B1070" s="5" t="s">
        <v>417</v>
      </c>
      <c r="C1070" s="5" t="s">
        <v>432</v>
      </c>
      <c r="D1070" s="5" t="n">
        <v>19</v>
      </c>
      <c r="E1070" s="13" t="n">
        <v>3.38</v>
      </c>
      <c r="F1070" s="14" t="n">
        <f aca="false">E1070*Assumptions!$D$5</f>
        <v>455.294585811244</v>
      </c>
      <c r="G1070" s="14" t="n">
        <v>450</v>
      </c>
      <c r="H1070" s="14" t="n">
        <v>615</v>
      </c>
      <c r="I1070" s="14" t="n">
        <f aca="false">F1070-(G1070+H1070)/2</f>
        <v>-77.2054141887561</v>
      </c>
      <c r="J1070" s="5" t="str">
        <f aca="false">IF(D1070&lt;8,"LOW SAMPLE",IF(F1070&gt;H1070*(1+Assumptions!$B$10),"UNDERPAID",IF(F1070&lt;G1070*(1-Assumptions!$B$10),"OVERPAID","FAIR")))</f>
        <v>FAIR</v>
      </c>
      <c r="K1070" s="5" t="n">
        <v>117</v>
      </c>
    </row>
    <row r="1071" customFormat="false" ht="15" hidden="false" customHeight="false" outlineLevel="0" collapsed="false">
      <c r="A1071" s="5" t="n">
        <v>2022</v>
      </c>
      <c r="B1071" s="5" t="s">
        <v>417</v>
      </c>
      <c r="C1071" s="5" t="s">
        <v>433</v>
      </c>
      <c r="D1071" s="5" t="n">
        <v>11</v>
      </c>
      <c r="E1071" s="13" t="n">
        <v>2.01</v>
      </c>
      <c r="F1071" s="14" t="n">
        <f aca="false">E1071*Assumptions!$D$5</f>
        <v>270.752105763491</v>
      </c>
      <c r="G1071" s="14" t="n">
        <v>345</v>
      </c>
      <c r="H1071" s="14" t="n">
        <v>450</v>
      </c>
      <c r="I1071" s="14" t="n">
        <f aca="false">F1071-(G1071+H1071)/2</f>
        <v>-126.747894236509</v>
      </c>
      <c r="J1071" s="5" t="str">
        <f aca="false">IF(D1071&lt;8,"LOW SAMPLE",IF(F1071&gt;H1071*(1+Assumptions!$B$10),"UNDERPAID",IF(F1071&lt;G1071*(1-Assumptions!$B$10),"OVERPAID","FAIR")))</f>
        <v>OVERPAID</v>
      </c>
      <c r="K1071" s="5" t="n">
        <v>101</v>
      </c>
    </row>
    <row r="1072" customFormat="false" ht="15" hidden="false" customHeight="false" outlineLevel="0" collapsed="false">
      <c r="A1072" s="5" t="n">
        <v>2022</v>
      </c>
      <c r="B1072" s="5" t="s">
        <v>417</v>
      </c>
      <c r="C1072" s="5" t="s">
        <v>434</v>
      </c>
      <c r="D1072" s="5" t="n">
        <v>21</v>
      </c>
      <c r="E1072" s="13" t="n">
        <v>4.03</v>
      </c>
      <c r="F1072" s="14" t="n">
        <f aca="false">E1072*Assumptions!$D$5</f>
        <v>542.851236928791</v>
      </c>
      <c r="G1072" s="14" t="n">
        <v>450</v>
      </c>
      <c r="H1072" s="14" t="n">
        <v>615</v>
      </c>
      <c r="I1072" s="14" t="n">
        <f aca="false">F1072-(G1072+H1072)/2</f>
        <v>10.3512369287909</v>
      </c>
      <c r="J1072" s="5" t="str">
        <f aca="false">IF(D1072&lt;8,"LOW SAMPLE",IF(F1072&gt;H1072*(1+Assumptions!$B$10),"UNDERPAID",IF(F1072&lt;G1072*(1-Assumptions!$B$10),"OVERPAID","FAIR")))</f>
        <v>FAIR</v>
      </c>
      <c r="K1072" s="5" t="n">
        <v>122</v>
      </c>
    </row>
    <row r="1073" customFormat="false" ht="15" hidden="false" customHeight="false" outlineLevel="0" collapsed="false">
      <c r="A1073" s="5" t="n">
        <v>2022</v>
      </c>
      <c r="B1073" s="5" t="s">
        <v>417</v>
      </c>
      <c r="C1073" s="5" t="s">
        <v>435</v>
      </c>
      <c r="D1073" s="5" t="n">
        <v>22</v>
      </c>
      <c r="E1073" s="13" t="n">
        <v>3.15</v>
      </c>
      <c r="F1073" s="14" t="n">
        <f aca="false">E1073*Assumptions!$D$5</f>
        <v>424.31300156965</v>
      </c>
      <c r="G1073" s="14" t="n">
        <v>345</v>
      </c>
      <c r="H1073" s="14" t="n">
        <v>450</v>
      </c>
      <c r="I1073" s="14" t="n">
        <f aca="false">F1073-(G1073+H1073)/2</f>
        <v>26.8130015696504</v>
      </c>
      <c r="J1073" s="5" t="str">
        <f aca="false">IF(D1073&lt;8,"LOW SAMPLE",IF(F1073&gt;H1073*(1+Assumptions!$B$10),"UNDERPAID",IF(F1073&lt;G1073*(1-Assumptions!$B$10),"OVERPAID","FAIR")))</f>
        <v>FAIR</v>
      </c>
      <c r="K1073" s="5" t="n">
        <v>25</v>
      </c>
    </row>
    <row r="1074" customFormat="false" ht="15" hidden="false" customHeight="false" outlineLevel="0" collapsed="false">
      <c r="A1074" s="5" t="n">
        <v>2022</v>
      </c>
      <c r="B1074" s="5" t="s">
        <v>417</v>
      </c>
      <c r="C1074" s="5" t="s">
        <v>436</v>
      </c>
      <c r="D1074" s="5" t="n">
        <v>20</v>
      </c>
      <c r="E1074" s="13" t="n">
        <v>2.37</v>
      </c>
      <c r="F1074" s="14" t="n">
        <f aca="false">E1074*Assumptions!$D$5</f>
        <v>319.245020228594</v>
      </c>
      <c r="G1074" s="14" t="n">
        <v>345</v>
      </c>
      <c r="H1074" s="14" t="n">
        <v>450</v>
      </c>
      <c r="I1074" s="14" t="n">
        <f aca="false">F1074-(G1074+H1074)/2</f>
        <v>-78.2549797714059</v>
      </c>
      <c r="J1074" s="5" t="str">
        <f aca="false">IF(D1074&lt;8,"LOW SAMPLE",IF(F1074&gt;H1074*(1+Assumptions!$B$10),"UNDERPAID",IF(F1074&lt;G1074*(1-Assumptions!$B$10),"OVERPAID","FAIR")))</f>
        <v>FAIR</v>
      </c>
      <c r="K1074" s="5" t="n">
        <v>94</v>
      </c>
    </row>
    <row r="1075" customFormat="false" ht="15" hidden="false" customHeight="false" outlineLevel="0" collapsed="false">
      <c r="A1075" s="5" t="n">
        <v>2022</v>
      </c>
      <c r="B1075" s="5" t="s">
        <v>417</v>
      </c>
      <c r="C1075" s="5" t="s">
        <v>437</v>
      </c>
      <c r="D1075" s="5" t="n">
        <v>7</v>
      </c>
      <c r="E1075" s="13" t="n">
        <v>0.83</v>
      </c>
      <c r="F1075" s="14" t="n">
        <f aca="false">E1075*Assumptions!$D$5</f>
        <v>111.803108350098</v>
      </c>
      <c r="G1075" s="14" t="n">
        <v>125</v>
      </c>
      <c r="H1075" s="14" t="n">
        <v>225</v>
      </c>
      <c r="I1075" s="14" t="n">
        <f aca="false">F1075-(G1075+H1075)/2</f>
        <v>-63.1968916499016</v>
      </c>
      <c r="J1075" s="5" t="str">
        <f aca="false">IF(D1075&lt;8,"LOW SAMPLE",IF(F1075&gt;H1075*(1+Assumptions!$B$10),"UNDERPAID",IF(F1075&lt;G1075*(1-Assumptions!$B$10),"OVERPAID","FAIR")))</f>
        <v>LOW SAMPLE</v>
      </c>
      <c r="K1075" s="5" t="n">
        <v>21</v>
      </c>
    </row>
    <row r="1076" customFormat="false" ht="15" hidden="false" customHeight="false" outlineLevel="0" collapsed="false">
      <c r="A1076" s="5" t="n">
        <v>2022</v>
      </c>
      <c r="B1076" s="5" t="s">
        <v>417</v>
      </c>
      <c r="C1076" s="5" t="s">
        <v>438</v>
      </c>
      <c r="D1076" s="5" t="n">
        <v>4</v>
      </c>
      <c r="E1076" s="13" t="n">
        <v>0.01</v>
      </c>
      <c r="F1076" s="14" t="n">
        <f aca="false">E1076*Assumptions!$D$5</f>
        <v>1.34702540180841</v>
      </c>
      <c r="G1076" s="14" t="n">
        <v>125</v>
      </c>
      <c r="H1076" s="14" t="n">
        <v>225</v>
      </c>
      <c r="I1076" s="14" t="n">
        <f aca="false">F1076-(G1076+H1076)/2</f>
        <v>-173.652974598192</v>
      </c>
      <c r="J1076" s="5" t="str">
        <f aca="false">IF(D1076&lt;8,"LOW SAMPLE",IF(F1076&gt;H1076*(1+Assumptions!$B$10),"UNDERPAID",IF(F1076&lt;G1076*(1-Assumptions!$B$10),"OVERPAID","FAIR")))</f>
        <v>LOW SAMPLE</v>
      </c>
      <c r="K1076" s="5" t="n">
        <v>6</v>
      </c>
    </row>
    <row r="1077" customFormat="false" ht="15" hidden="false" customHeight="false" outlineLevel="0" collapsed="false">
      <c r="A1077" s="5" t="n">
        <v>2022</v>
      </c>
      <c r="B1077" s="5" t="s">
        <v>417</v>
      </c>
      <c r="C1077" s="5" t="s">
        <v>439</v>
      </c>
      <c r="D1077" s="5" t="n">
        <v>23</v>
      </c>
      <c r="E1077" s="13" t="n">
        <v>4.15</v>
      </c>
      <c r="F1077" s="14" t="n">
        <f aca="false">E1077*Assumptions!$D$5</f>
        <v>559.015541750492</v>
      </c>
      <c r="G1077" s="14" t="n">
        <v>450</v>
      </c>
      <c r="H1077" s="14" t="n">
        <v>615</v>
      </c>
      <c r="I1077" s="14" t="n">
        <f aca="false">F1077-(G1077+H1077)/2</f>
        <v>26.5155417504918</v>
      </c>
      <c r="J1077" s="5" t="str">
        <f aca="false">IF(D1077&lt;8,"LOW SAMPLE",IF(F1077&gt;H1077*(1+Assumptions!$B$10),"UNDERPAID",IF(F1077&lt;G1077*(1-Assumptions!$B$10),"OVERPAID","FAIR")))</f>
        <v>FAIR</v>
      </c>
      <c r="K1077" s="5" t="n">
        <v>39</v>
      </c>
    </row>
    <row r="1078" customFormat="false" ht="15" hidden="false" customHeight="false" outlineLevel="0" collapsed="false">
      <c r="A1078" s="5" t="n">
        <v>2022</v>
      </c>
      <c r="B1078" s="5" t="s">
        <v>417</v>
      </c>
      <c r="C1078" s="5" t="s">
        <v>593</v>
      </c>
      <c r="D1078" s="5" t="n">
        <v>5</v>
      </c>
      <c r="E1078" s="13" t="n">
        <v>0.62</v>
      </c>
      <c r="F1078" s="14" t="n">
        <f aca="false">E1078*Assumptions!$D$5</f>
        <v>83.5155749121217</v>
      </c>
      <c r="G1078" s="14" t="n">
        <v>345</v>
      </c>
      <c r="H1078" s="14" t="n">
        <v>450</v>
      </c>
      <c r="I1078" s="14" t="n">
        <f aca="false">F1078-(G1078+H1078)/2</f>
        <v>-313.984425087878</v>
      </c>
      <c r="J1078" s="5" t="str">
        <f aca="false">IF(D1078&lt;8,"LOW SAMPLE",IF(F1078&gt;H1078*(1+Assumptions!$B$10),"UNDERPAID",IF(F1078&lt;G1078*(1-Assumptions!$B$10),"OVERPAID","FAIR")))</f>
        <v>LOW SAMPLE</v>
      </c>
      <c r="K1078" s="5" t="n">
        <v>100</v>
      </c>
    </row>
    <row r="1079" customFormat="false" ht="15" hidden="false" customHeight="false" outlineLevel="0" collapsed="false">
      <c r="A1079" s="5" t="n">
        <v>2022</v>
      </c>
      <c r="B1079" s="5" t="s">
        <v>417</v>
      </c>
      <c r="C1079" s="5" t="s">
        <v>440</v>
      </c>
      <c r="D1079" s="5" t="n">
        <v>22</v>
      </c>
      <c r="E1079" s="13" t="n">
        <v>4.71</v>
      </c>
      <c r="F1079" s="14" t="n">
        <f aca="false">E1079*Assumptions!$D$5</f>
        <v>634.448964251763</v>
      </c>
      <c r="G1079" s="14" t="n">
        <v>345</v>
      </c>
      <c r="H1079" s="14" t="n">
        <v>450</v>
      </c>
      <c r="I1079" s="14" t="n">
        <f aca="false">F1079-(G1079+H1079)/2</f>
        <v>236.948964251763</v>
      </c>
      <c r="J1079" s="5" t="str">
        <f aca="false">IF(D1079&lt;8,"LOW SAMPLE",IF(F1079&gt;H1079*(1+Assumptions!$B$10),"UNDERPAID",IF(F1079&lt;G1079*(1-Assumptions!$B$10),"OVERPAID","FAIR")))</f>
        <v>UNDERPAID</v>
      </c>
      <c r="K1079" s="5" t="n">
        <v>30</v>
      </c>
    </row>
    <row r="1080" customFormat="false" ht="15" hidden="false" customHeight="false" outlineLevel="0" collapsed="false">
      <c r="A1080" s="5" t="n">
        <v>2022</v>
      </c>
      <c r="B1080" s="5" t="s">
        <v>417</v>
      </c>
      <c r="C1080" s="5" t="s">
        <v>441</v>
      </c>
      <c r="D1080" s="5" t="n">
        <v>22</v>
      </c>
      <c r="E1080" s="13" t="n">
        <v>7.15</v>
      </c>
      <c r="F1080" s="14" t="n">
        <f aca="false">E1080*Assumptions!$D$5</f>
        <v>963.123162293016</v>
      </c>
      <c r="G1080" s="14" t="n">
        <v>855</v>
      </c>
      <c r="H1080" s="14" t="n">
        <v>1170</v>
      </c>
      <c r="I1080" s="14" t="n">
        <f aca="false">F1080-(G1080+H1080)/2</f>
        <v>-49.376837706984</v>
      </c>
      <c r="J1080" s="5" t="str">
        <f aca="false">IF(D1080&lt;8,"LOW SAMPLE",IF(F1080&gt;H1080*(1+Assumptions!$B$10),"UNDERPAID",IF(F1080&lt;G1080*(1-Assumptions!$B$10),"OVERPAID","FAIR")))</f>
        <v>FAIR</v>
      </c>
      <c r="K1080" s="5" t="n">
        <v>133</v>
      </c>
    </row>
    <row r="1081" customFormat="false" ht="15" hidden="false" customHeight="false" outlineLevel="0" collapsed="false">
      <c r="A1081" s="5" t="n">
        <v>2022</v>
      </c>
      <c r="B1081" s="5" t="s">
        <v>417</v>
      </c>
      <c r="C1081" s="5" t="s">
        <v>442</v>
      </c>
      <c r="D1081" s="5" t="n">
        <v>12</v>
      </c>
      <c r="E1081" s="13" t="n">
        <v>1.97</v>
      </c>
      <c r="F1081" s="14" t="n">
        <f aca="false">E1081*Assumptions!$D$5</f>
        <v>265.364004156258</v>
      </c>
      <c r="G1081" s="14" t="n">
        <v>345</v>
      </c>
      <c r="H1081" s="14" t="n">
        <v>450</v>
      </c>
      <c r="I1081" s="14" t="n">
        <f aca="false">F1081-(G1081+H1081)/2</f>
        <v>-132.135995843742</v>
      </c>
      <c r="J1081" s="5" t="str">
        <f aca="false">IF(D1081&lt;8,"LOW SAMPLE",IF(F1081&gt;H1081*(1+Assumptions!$B$10),"UNDERPAID",IF(F1081&lt;G1081*(1-Assumptions!$B$10),"OVERPAID","FAIR")))</f>
        <v>OVERPAID</v>
      </c>
      <c r="K1081" s="5" t="n">
        <v>110</v>
      </c>
    </row>
    <row r="1082" customFormat="false" ht="15" hidden="false" customHeight="false" outlineLevel="0" collapsed="false">
      <c r="A1082" s="5" t="n">
        <v>2022</v>
      </c>
      <c r="B1082" s="5" t="s">
        <v>417</v>
      </c>
      <c r="C1082" s="5" t="s">
        <v>443</v>
      </c>
      <c r="D1082" s="5" t="n">
        <v>3</v>
      </c>
      <c r="E1082" s="13" t="n">
        <v>0.43</v>
      </c>
      <c r="F1082" s="14" t="n">
        <f aca="false">E1082*Assumptions!$D$5</f>
        <v>57.9220922777618</v>
      </c>
      <c r="G1082" s="14" t="n">
        <v>225</v>
      </c>
      <c r="H1082" s="14" t="n">
        <v>345</v>
      </c>
      <c r="I1082" s="14" t="n">
        <f aca="false">F1082-(G1082+H1082)/2</f>
        <v>-227.077907722238</v>
      </c>
      <c r="J1082" s="5" t="str">
        <f aca="false">IF(D1082&lt;8,"LOW SAMPLE",IF(F1082&gt;H1082*(1+Assumptions!$B$10),"UNDERPAID",IF(F1082&lt;G1082*(1-Assumptions!$B$10),"OVERPAID","FAIR")))</f>
        <v>LOW SAMPLE</v>
      </c>
      <c r="K1082" s="5" t="n">
        <v>66</v>
      </c>
    </row>
    <row r="1083" customFormat="false" ht="15" hidden="false" customHeight="false" outlineLevel="0" collapsed="false">
      <c r="A1083" s="5" t="n">
        <v>2022</v>
      </c>
      <c r="B1083" s="5" t="s">
        <v>417</v>
      </c>
      <c r="C1083" s="5" t="s">
        <v>447</v>
      </c>
      <c r="D1083" s="5" t="n">
        <v>10</v>
      </c>
      <c r="E1083" s="13" t="n">
        <v>1.72</v>
      </c>
      <c r="F1083" s="14" t="n">
        <f aca="false">E1083*Assumptions!$D$5</f>
        <v>231.688369111047</v>
      </c>
      <c r="G1083" s="14" t="n">
        <v>225</v>
      </c>
      <c r="H1083" s="14" t="n">
        <v>345</v>
      </c>
      <c r="I1083" s="14" t="n">
        <f aca="false">F1083-(G1083+H1083)/2</f>
        <v>-53.3116308889528</v>
      </c>
      <c r="J1083" s="5" t="str">
        <f aca="false">IF(D1083&lt;8,"LOW SAMPLE",IF(F1083&gt;H1083*(1+Assumptions!$B$10),"UNDERPAID",IF(F1083&lt;G1083*(1-Assumptions!$B$10),"OVERPAID","FAIR")))</f>
        <v>FAIR</v>
      </c>
      <c r="K1083" s="5" t="n">
        <v>49</v>
      </c>
    </row>
    <row r="1084" customFormat="false" ht="15" hidden="false" customHeight="false" outlineLevel="0" collapsed="false">
      <c r="A1084" s="5" t="n">
        <v>2022</v>
      </c>
      <c r="B1084" s="5" t="s">
        <v>417</v>
      </c>
      <c r="C1084" s="5" t="s">
        <v>448</v>
      </c>
      <c r="D1084" s="5" t="n">
        <v>22</v>
      </c>
      <c r="E1084" s="13" t="n">
        <v>6.91</v>
      </c>
      <c r="F1084" s="14" t="n">
        <f aca="false">E1084*Assumptions!$D$5</f>
        <v>930.794552649614</v>
      </c>
      <c r="G1084" s="14" t="n">
        <v>615</v>
      </c>
      <c r="H1084" s="14" t="n">
        <v>855</v>
      </c>
      <c r="I1084" s="14" t="n">
        <f aca="false">F1084-(G1084+H1084)/2</f>
        <v>195.794552649614</v>
      </c>
      <c r="J1084" s="5" t="str">
        <f aca="false">IF(D1084&lt;8,"LOW SAMPLE",IF(F1084&gt;H1084*(1+Assumptions!$B$10),"UNDERPAID",IF(F1084&lt;G1084*(1-Assumptions!$B$10),"OVERPAID","FAIR")))</f>
        <v>FAIR</v>
      </c>
      <c r="K1084" s="5" t="n">
        <v>118</v>
      </c>
    </row>
    <row r="1085" customFormat="false" ht="15" hidden="false" customHeight="false" outlineLevel="0" collapsed="false">
      <c r="A1085" s="5" t="n">
        <v>2022</v>
      </c>
      <c r="B1085" s="5" t="s">
        <v>417</v>
      </c>
      <c r="C1085" s="5" t="s">
        <v>783</v>
      </c>
      <c r="D1085" s="5" t="n">
        <v>16</v>
      </c>
      <c r="E1085" s="13" t="n">
        <v>1.17</v>
      </c>
      <c r="F1085" s="14" t="n">
        <f aca="false">E1085*Assumptions!$D$5</f>
        <v>157.601972011584</v>
      </c>
      <c r="G1085" s="14" t="n">
        <v>125</v>
      </c>
      <c r="H1085" s="14" t="n">
        <v>225</v>
      </c>
      <c r="I1085" s="14" t="n">
        <f aca="false">F1085-(G1085+H1085)/2</f>
        <v>-17.3980279884156</v>
      </c>
      <c r="J1085" s="5" t="str">
        <f aca="false">IF(D1085&lt;8,"LOW SAMPLE",IF(F1085&gt;H1085*(1+Assumptions!$B$10),"UNDERPAID",IF(F1085&lt;G1085*(1-Assumptions!$B$10),"OVERPAID","FAIR")))</f>
        <v>FAIR</v>
      </c>
      <c r="K1085" s="5" t="n">
        <v>2</v>
      </c>
    </row>
    <row r="1086" customFormat="false" ht="15" hidden="false" customHeight="false" outlineLevel="0" collapsed="false">
      <c r="A1086" s="5" t="n">
        <v>2022</v>
      </c>
      <c r="B1086" s="5" t="s">
        <v>417</v>
      </c>
      <c r="C1086" s="5" t="s">
        <v>449</v>
      </c>
      <c r="D1086" s="5" t="n">
        <v>9</v>
      </c>
      <c r="E1086" s="13" t="n">
        <v>1.99</v>
      </c>
      <c r="F1086" s="14" t="n">
        <f aca="false">E1086*Assumptions!$D$5</f>
        <v>268.058054959874</v>
      </c>
      <c r="G1086" s="14" t="n">
        <v>450</v>
      </c>
      <c r="H1086" s="14" t="n">
        <v>615</v>
      </c>
      <c r="I1086" s="14" t="n">
        <f aca="false">F1086-(G1086+H1086)/2</f>
        <v>-264.441945040126</v>
      </c>
      <c r="J1086" s="5" t="str">
        <f aca="false">IF(D1086&lt;8,"LOW SAMPLE",IF(F1086&gt;H1086*(1+Assumptions!$B$10),"UNDERPAID",IF(F1086&lt;G1086*(1-Assumptions!$B$10),"OVERPAID","FAIR")))</f>
        <v>OVERPAID</v>
      </c>
      <c r="K1086" s="5" t="n">
        <v>133</v>
      </c>
    </row>
    <row r="1087" customFormat="false" ht="15" hidden="false" customHeight="false" outlineLevel="0" collapsed="false">
      <c r="A1087" s="5" t="n">
        <v>2022</v>
      </c>
      <c r="B1087" s="5" t="s">
        <v>417</v>
      </c>
      <c r="C1087" s="5" t="s">
        <v>450</v>
      </c>
      <c r="D1087" s="5" t="n">
        <v>23</v>
      </c>
      <c r="E1087" s="13" t="n">
        <v>4.07</v>
      </c>
      <c r="F1087" s="14" t="n">
        <f aca="false">E1087*Assumptions!$D$5</f>
        <v>548.239338536025</v>
      </c>
      <c r="G1087" s="14" t="n">
        <v>225</v>
      </c>
      <c r="H1087" s="14" t="n">
        <v>345</v>
      </c>
      <c r="I1087" s="14" t="n">
        <f aca="false">F1087-(G1087+H1087)/2</f>
        <v>263.239338536025</v>
      </c>
      <c r="J1087" s="5" t="str">
        <f aca="false">IF(D1087&lt;8,"LOW SAMPLE",IF(F1087&gt;H1087*(1+Assumptions!$B$10),"UNDERPAID",IF(F1087&lt;G1087*(1-Assumptions!$B$10),"OVERPAID","FAIR")))</f>
        <v>UNDERPAID</v>
      </c>
      <c r="K1087" s="5" t="n">
        <v>28</v>
      </c>
    </row>
    <row r="1088" customFormat="false" ht="15" hidden="false" customHeight="false" outlineLevel="0" collapsed="false">
      <c r="A1088" s="5" t="n">
        <v>2022</v>
      </c>
      <c r="B1088" s="5" t="s">
        <v>417</v>
      </c>
      <c r="C1088" s="5" t="s">
        <v>451</v>
      </c>
      <c r="D1088" s="5" t="n">
        <v>18</v>
      </c>
      <c r="E1088" s="13" t="n">
        <v>2.56</v>
      </c>
      <c r="F1088" s="14" t="n">
        <f aca="false">E1088*Assumptions!$D$5</f>
        <v>344.838502862954</v>
      </c>
      <c r="G1088" s="14" t="n">
        <v>345</v>
      </c>
      <c r="H1088" s="14" t="n">
        <v>450</v>
      </c>
      <c r="I1088" s="14" t="n">
        <f aca="false">F1088-(G1088+H1088)/2</f>
        <v>-52.661497137046</v>
      </c>
      <c r="J1088" s="5" t="str">
        <f aca="false">IF(D1088&lt;8,"LOW SAMPLE",IF(F1088&gt;H1088*(1+Assumptions!$B$10),"UNDERPAID",IF(F1088&lt;G1088*(1-Assumptions!$B$10),"OVERPAID","FAIR")))</f>
        <v>FAIR</v>
      </c>
      <c r="K1088" s="5" t="n">
        <v>34</v>
      </c>
    </row>
    <row r="1089" customFormat="false" ht="15" hidden="false" customHeight="false" outlineLevel="0" collapsed="false">
      <c r="A1089" s="5" t="n">
        <v>2022</v>
      </c>
      <c r="B1089" s="5" t="s">
        <v>452</v>
      </c>
      <c r="C1089" s="5" t="s">
        <v>453</v>
      </c>
      <c r="D1089" s="5" t="n">
        <v>11</v>
      </c>
      <c r="E1089" s="13" t="n">
        <v>2.18</v>
      </c>
      <c r="F1089" s="14" t="n">
        <f aca="false">E1089*Assumptions!$D$5</f>
        <v>293.651537594234</v>
      </c>
      <c r="G1089" s="14" t="n">
        <v>450</v>
      </c>
      <c r="H1089" s="14" t="n">
        <v>615</v>
      </c>
      <c r="I1089" s="14" t="n">
        <f aca="false">F1089-(G1089+H1089)/2</f>
        <v>-238.848462405766</v>
      </c>
      <c r="J1089" s="5" t="str">
        <f aca="false">IF(D1089&lt;8,"LOW SAMPLE",IF(F1089&gt;H1089*(1+Assumptions!$B$10),"UNDERPAID",IF(F1089&lt;G1089*(1-Assumptions!$B$10),"OVERPAID","FAIR")))</f>
        <v>OVERPAID</v>
      </c>
      <c r="K1089" s="5" t="n">
        <v>98</v>
      </c>
    </row>
    <row r="1090" customFormat="false" ht="15" hidden="false" customHeight="false" outlineLevel="0" collapsed="false">
      <c r="A1090" s="5" t="n">
        <v>2022</v>
      </c>
      <c r="B1090" s="5" t="s">
        <v>452</v>
      </c>
      <c r="C1090" s="5" t="s">
        <v>454</v>
      </c>
      <c r="D1090" s="5" t="n">
        <v>20</v>
      </c>
      <c r="E1090" s="13" t="n">
        <v>3.04</v>
      </c>
      <c r="F1090" s="14" t="n">
        <f aca="false">E1090*Assumptions!$D$5</f>
        <v>409.495722149758</v>
      </c>
      <c r="G1090" s="14" t="n">
        <v>225</v>
      </c>
      <c r="H1090" s="14" t="n">
        <v>345</v>
      </c>
      <c r="I1090" s="14" t="n">
        <f aca="false">F1090-(G1090+H1090)/2</f>
        <v>124.495722149758</v>
      </c>
      <c r="J1090" s="5" t="str">
        <f aca="false">IF(D1090&lt;8,"LOW SAMPLE",IF(F1090&gt;H1090*(1+Assumptions!$B$10),"UNDERPAID",IF(F1090&lt;G1090*(1-Assumptions!$B$10),"OVERPAID","FAIR")))</f>
        <v>UNDERPAID</v>
      </c>
      <c r="K1090" s="5" t="n">
        <v>86</v>
      </c>
    </row>
    <row r="1091" customFormat="false" ht="15" hidden="false" customHeight="false" outlineLevel="0" collapsed="false">
      <c r="A1091" s="5" t="n">
        <v>2022</v>
      </c>
      <c r="B1091" s="5" t="s">
        <v>452</v>
      </c>
      <c r="C1091" s="5" t="s">
        <v>455</v>
      </c>
      <c r="D1091" s="5" t="n">
        <v>10</v>
      </c>
      <c r="E1091" s="13" t="n">
        <v>0.85</v>
      </c>
      <c r="F1091" s="14" t="n">
        <f aca="false">E1091*Assumptions!$D$5</f>
        <v>114.497159153715</v>
      </c>
      <c r="G1091" s="14" t="n">
        <v>125</v>
      </c>
      <c r="H1091" s="14" t="n">
        <v>225</v>
      </c>
      <c r="I1091" s="14" t="n">
        <f aca="false">F1091-(G1091+H1091)/2</f>
        <v>-60.5028408462848</v>
      </c>
      <c r="J1091" s="5" t="str">
        <f aca="false">IF(D1091&lt;8,"LOW SAMPLE",IF(F1091&gt;H1091*(1+Assumptions!$B$10),"UNDERPAID",IF(F1091&lt;G1091*(1-Assumptions!$B$10),"OVERPAID","FAIR")))</f>
        <v>FAIR</v>
      </c>
      <c r="K1091" s="5" t="n">
        <v>22</v>
      </c>
    </row>
    <row r="1092" customFormat="false" ht="15" hidden="false" customHeight="false" outlineLevel="0" collapsed="false">
      <c r="A1092" s="5" t="n">
        <v>2022</v>
      </c>
      <c r="B1092" s="5" t="s">
        <v>452</v>
      </c>
      <c r="C1092" s="5" t="s">
        <v>456</v>
      </c>
      <c r="D1092" s="5" t="n">
        <v>9</v>
      </c>
      <c r="E1092" s="13" t="n">
        <v>0.58</v>
      </c>
      <c r="F1092" s="14" t="n">
        <f aca="false">E1092*Assumptions!$D$5</f>
        <v>78.127473304888</v>
      </c>
      <c r="G1092" s="14" t="n">
        <v>125</v>
      </c>
      <c r="H1092" s="14" t="n">
        <v>225</v>
      </c>
      <c r="I1092" s="14" t="n">
        <f aca="false">F1092-(G1092+H1092)/2</f>
        <v>-96.872526695112</v>
      </c>
      <c r="J1092" s="5" t="str">
        <f aca="false">IF(D1092&lt;8,"LOW SAMPLE",IF(F1092&gt;H1092*(1+Assumptions!$B$10),"UNDERPAID",IF(F1092&lt;G1092*(1-Assumptions!$B$10),"OVERPAID","FAIR")))</f>
        <v>OVERPAID</v>
      </c>
      <c r="K1092" s="5" t="n">
        <v>11</v>
      </c>
    </row>
    <row r="1093" customFormat="false" ht="15" hidden="false" customHeight="false" outlineLevel="0" collapsed="false">
      <c r="A1093" s="5" t="n">
        <v>2022</v>
      </c>
      <c r="B1093" s="5" t="s">
        <v>452</v>
      </c>
      <c r="C1093" s="5" t="s">
        <v>457</v>
      </c>
      <c r="D1093" s="5" t="n">
        <v>21</v>
      </c>
      <c r="E1093" s="13" t="n">
        <v>2.63</v>
      </c>
      <c r="F1093" s="14" t="n">
        <f aca="false">E1093*Assumptions!$D$5</f>
        <v>354.267680675613</v>
      </c>
      <c r="G1093" s="14" t="n">
        <v>225</v>
      </c>
      <c r="H1093" s="14" t="n">
        <v>345</v>
      </c>
      <c r="I1093" s="14" t="n">
        <f aca="false">F1093-(G1093+H1093)/2</f>
        <v>69.2676806756128</v>
      </c>
      <c r="J1093" s="5" t="str">
        <f aca="false">IF(D1093&lt;8,"LOW SAMPLE",IF(F1093&gt;H1093*(1+Assumptions!$B$10),"UNDERPAID",IF(F1093&lt;G1093*(1-Assumptions!$B$10),"OVERPAID","FAIR")))</f>
        <v>FAIR</v>
      </c>
      <c r="K1093" s="5" t="n">
        <v>34</v>
      </c>
    </row>
    <row r="1094" customFormat="false" ht="15" hidden="false" customHeight="false" outlineLevel="0" collapsed="false">
      <c r="A1094" s="5" t="n">
        <v>2022</v>
      </c>
      <c r="B1094" s="5" t="s">
        <v>452</v>
      </c>
      <c r="C1094" s="5" t="s">
        <v>458</v>
      </c>
      <c r="D1094" s="5" t="n">
        <v>2</v>
      </c>
      <c r="E1094" s="13" t="n">
        <v>0.16</v>
      </c>
      <c r="F1094" s="14" t="n">
        <f aca="false">E1094*Assumptions!$D$5</f>
        <v>21.5524064289346</v>
      </c>
      <c r="G1094" s="14" t="n">
        <v>450</v>
      </c>
      <c r="H1094" s="14" t="n">
        <v>615</v>
      </c>
      <c r="I1094" s="14" t="n">
        <f aca="false">F1094-(G1094+H1094)/2</f>
        <v>-510.947593571065</v>
      </c>
      <c r="J1094" s="5" t="str">
        <f aca="false">IF(D1094&lt;8,"LOW SAMPLE",IF(F1094&gt;H1094*(1+Assumptions!$B$10),"UNDERPAID",IF(F1094&lt;G1094*(1-Assumptions!$B$10),"OVERPAID","FAIR")))</f>
        <v>LOW SAMPLE</v>
      </c>
      <c r="K1094" s="5" t="n">
        <v>128</v>
      </c>
    </row>
    <row r="1095" customFormat="false" ht="15" hidden="false" customHeight="false" outlineLevel="0" collapsed="false">
      <c r="A1095" s="5" t="n">
        <v>2022</v>
      </c>
      <c r="B1095" s="5" t="s">
        <v>452</v>
      </c>
      <c r="C1095" s="5" t="s">
        <v>459</v>
      </c>
      <c r="D1095" s="5" t="n">
        <v>15</v>
      </c>
      <c r="E1095" s="13" t="n">
        <v>1.81</v>
      </c>
      <c r="F1095" s="14" t="n">
        <f aca="false">E1095*Assumptions!$D$5</f>
        <v>243.811597727323</v>
      </c>
      <c r="G1095" s="14" t="n">
        <v>345</v>
      </c>
      <c r="H1095" s="14" t="n">
        <v>450</v>
      </c>
      <c r="I1095" s="14" t="n">
        <f aca="false">F1095-(G1095+H1095)/2</f>
        <v>-153.688402272677</v>
      </c>
      <c r="J1095" s="5" t="str">
        <f aca="false">IF(D1095&lt;8,"LOW SAMPLE",IF(F1095&gt;H1095*(1+Assumptions!$B$10),"UNDERPAID",IF(F1095&lt;G1095*(1-Assumptions!$B$10),"OVERPAID","FAIR")))</f>
        <v>OVERPAID</v>
      </c>
      <c r="K1095" s="5" t="n">
        <v>37</v>
      </c>
    </row>
    <row r="1096" customFormat="false" ht="15" hidden="false" customHeight="false" outlineLevel="0" collapsed="false">
      <c r="A1096" s="5" t="n">
        <v>2022</v>
      </c>
      <c r="B1096" s="5" t="s">
        <v>452</v>
      </c>
      <c r="C1096" s="5" t="s">
        <v>530</v>
      </c>
      <c r="D1096" s="5" t="n">
        <v>10</v>
      </c>
      <c r="E1096" s="13" t="n">
        <v>1.47</v>
      </c>
      <c r="F1096" s="14" t="n">
        <f aca="false">E1096*Assumptions!$D$5</f>
        <v>198.012734065837</v>
      </c>
      <c r="G1096" s="14" t="n">
        <v>125</v>
      </c>
      <c r="H1096" s="14" t="n">
        <v>225</v>
      </c>
      <c r="I1096" s="14" t="n">
        <f aca="false">F1096-(G1096+H1096)/2</f>
        <v>23.0127340658368</v>
      </c>
      <c r="J1096" s="5" t="str">
        <f aca="false">IF(D1096&lt;8,"LOW SAMPLE",IF(F1096&gt;H1096*(1+Assumptions!$B$10),"UNDERPAID",IF(F1096&lt;G1096*(1-Assumptions!$B$10),"OVERPAID","FAIR")))</f>
        <v>FAIR</v>
      </c>
      <c r="K1096" s="5" t="n">
        <v>9</v>
      </c>
    </row>
    <row r="1097" customFormat="false" ht="15" hidden="false" customHeight="false" outlineLevel="0" collapsed="false">
      <c r="A1097" s="5" t="n">
        <v>2022</v>
      </c>
      <c r="B1097" s="5" t="s">
        <v>452</v>
      </c>
      <c r="C1097" s="5" t="s">
        <v>460</v>
      </c>
      <c r="D1097" s="5" t="n">
        <v>19</v>
      </c>
      <c r="E1097" s="13" t="n">
        <v>3.77</v>
      </c>
      <c r="F1097" s="14" t="n">
        <f aca="false">E1097*Assumptions!$D$5</f>
        <v>507.828576481772</v>
      </c>
      <c r="G1097" s="14" t="n">
        <v>450</v>
      </c>
      <c r="H1097" s="14" t="n">
        <v>615</v>
      </c>
      <c r="I1097" s="14" t="n">
        <f aca="false">F1097-(G1097+H1097)/2</f>
        <v>-24.6714235182279</v>
      </c>
      <c r="J1097" s="5" t="str">
        <f aca="false">IF(D1097&lt;8,"LOW SAMPLE",IF(F1097&gt;H1097*(1+Assumptions!$B$10),"UNDERPAID",IF(F1097&lt;G1097*(1-Assumptions!$B$10),"OVERPAID","FAIR")))</f>
        <v>FAIR</v>
      </c>
      <c r="K1097" s="5" t="n">
        <v>64</v>
      </c>
    </row>
    <row r="1098" customFormat="false" ht="15" hidden="false" customHeight="false" outlineLevel="0" collapsed="false">
      <c r="A1098" s="5" t="n">
        <v>2022</v>
      </c>
      <c r="B1098" s="5" t="s">
        <v>452</v>
      </c>
      <c r="C1098" s="5" t="s">
        <v>461</v>
      </c>
      <c r="D1098" s="5" t="n">
        <v>1</v>
      </c>
      <c r="E1098" s="13" t="n">
        <v>0.08</v>
      </c>
      <c r="F1098" s="14" t="n">
        <f aca="false">E1098*Assumptions!$D$5</f>
        <v>10.7762032144673</v>
      </c>
      <c r="G1098" s="14" t="n">
        <v>125</v>
      </c>
      <c r="H1098" s="14" t="n">
        <v>225</v>
      </c>
      <c r="I1098" s="14" t="n">
        <f aca="false">F1098-(G1098+H1098)/2</f>
        <v>-164.223796785533</v>
      </c>
      <c r="J1098" s="5" t="str">
        <f aca="false">IF(D1098&lt;8,"LOW SAMPLE",IF(F1098&gt;H1098*(1+Assumptions!$B$10),"UNDERPAID",IF(F1098&lt;G1098*(1-Assumptions!$B$10),"OVERPAID","FAIR")))</f>
        <v>LOW SAMPLE</v>
      </c>
      <c r="K1098" s="5" t="n">
        <v>1</v>
      </c>
    </row>
    <row r="1099" customFormat="false" ht="15" hidden="false" customHeight="false" outlineLevel="0" collapsed="false">
      <c r="A1099" s="5" t="n">
        <v>2022</v>
      </c>
      <c r="B1099" s="5" t="s">
        <v>452</v>
      </c>
      <c r="C1099" s="5" t="s">
        <v>462</v>
      </c>
      <c r="D1099" s="5" t="n">
        <v>12</v>
      </c>
      <c r="E1099" s="13" t="n">
        <v>0.76</v>
      </c>
      <c r="F1099" s="14" t="n">
        <f aca="false">E1099*Assumptions!$D$5</f>
        <v>102.373930537439</v>
      </c>
      <c r="G1099" s="14" t="n">
        <v>125</v>
      </c>
      <c r="H1099" s="14" t="n">
        <v>225</v>
      </c>
      <c r="I1099" s="14" t="n">
        <f aca="false">F1099-(G1099+H1099)/2</f>
        <v>-72.6260694625605</v>
      </c>
      <c r="J1099" s="5" t="str">
        <f aca="false">IF(D1099&lt;8,"LOW SAMPLE",IF(F1099&gt;H1099*(1+Assumptions!$B$10),"UNDERPAID",IF(F1099&lt;G1099*(1-Assumptions!$B$10),"OVERPAID","FAIR")))</f>
        <v>OVERPAID</v>
      </c>
      <c r="K1099" s="5" t="n">
        <v>12</v>
      </c>
    </row>
    <row r="1100" customFormat="false" ht="15" hidden="false" customHeight="false" outlineLevel="0" collapsed="false">
      <c r="A1100" s="5" t="n">
        <v>2022</v>
      </c>
      <c r="B1100" s="5" t="s">
        <v>452</v>
      </c>
      <c r="C1100" s="5" t="s">
        <v>464</v>
      </c>
      <c r="D1100" s="5" t="n">
        <v>22</v>
      </c>
      <c r="E1100" s="13" t="n">
        <v>3.08</v>
      </c>
      <c r="F1100" s="14" t="n">
        <f aca="false">E1100*Assumptions!$D$5</f>
        <v>414.883823756992</v>
      </c>
      <c r="G1100" s="14" t="n">
        <v>225</v>
      </c>
      <c r="H1100" s="14" t="n">
        <v>345</v>
      </c>
      <c r="I1100" s="14" t="n">
        <f aca="false">F1100-(G1100+H1100)/2</f>
        <v>129.883823756992</v>
      </c>
      <c r="J1100" s="5" t="str">
        <f aca="false">IF(D1100&lt;8,"LOW SAMPLE",IF(F1100&gt;H1100*(1+Assumptions!$B$10),"UNDERPAID",IF(F1100&lt;G1100*(1-Assumptions!$B$10),"OVERPAID","FAIR")))</f>
        <v>UNDERPAID</v>
      </c>
      <c r="K1100" s="5" t="n">
        <v>30</v>
      </c>
    </row>
    <row r="1101" customFormat="false" ht="15" hidden="false" customHeight="false" outlineLevel="0" collapsed="false">
      <c r="A1101" s="5" t="n">
        <v>2022</v>
      </c>
      <c r="B1101" s="5" t="s">
        <v>452</v>
      </c>
      <c r="C1101" s="5" t="s">
        <v>466</v>
      </c>
      <c r="D1101" s="5" t="n">
        <v>3</v>
      </c>
      <c r="E1101" s="13" t="n">
        <v>0.13</v>
      </c>
      <c r="F1101" s="14" t="n">
        <f aca="false">E1101*Assumptions!$D$5</f>
        <v>17.5113302235094</v>
      </c>
      <c r="G1101" s="14" t="n">
        <v>125</v>
      </c>
      <c r="H1101" s="14" t="n">
        <v>225</v>
      </c>
      <c r="I1101" s="14" t="n">
        <f aca="false">F1101-(G1101+H1101)/2</f>
        <v>-157.488669776491</v>
      </c>
      <c r="J1101" s="5" t="str">
        <f aca="false">IF(D1101&lt;8,"LOW SAMPLE",IF(F1101&gt;H1101*(1+Assumptions!$B$10),"UNDERPAID",IF(F1101&lt;G1101*(1-Assumptions!$B$10),"OVERPAID","FAIR")))</f>
        <v>LOW SAMPLE</v>
      </c>
      <c r="K1101" s="5" t="n">
        <v>5</v>
      </c>
    </row>
    <row r="1102" customFormat="false" ht="15" hidden="false" customHeight="false" outlineLevel="0" collapsed="false">
      <c r="A1102" s="5" t="n">
        <v>2022</v>
      </c>
      <c r="B1102" s="5" t="s">
        <v>452</v>
      </c>
      <c r="C1102" s="5" t="s">
        <v>784</v>
      </c>
      <c r="D1102" s="5" t="n">
        <v>16</v>
      </c>
      <c r="E1102" s="13" t="n">
        <v>1.8</v>
      </c>
      <c r="F1102" s="14" t="n">
        <f aca="false">E1102*Assumptions!$D$5</f>
        <v>242.464572325515</v>
      </c>
      <c r="G1102" s="14" t="n">
        <v>125</v>
      </c>
      <c r="H1102" s="14" t="n">
        <v>225</v>
      </c>
      <c r="I1102" s="14" t="n">
        <f aca="false">F1102-(G1102+H1102)/2</f>
        <v>67.4645723255145</v>
      </c>
      <c r="J1102" s="5" t="str">
        <f aca="false">IF(D1102&lt;8,"LOW SAMPLE",IF(F1102&gt;H1102*(1+Assumptions!$B$10),"UNDERPAID",IF(F1102&lt;G1102*(1-Assumptions!$B$10),"OVERPAID","FAIR")))</f>
        <v>FAIR</v>
      </c>
      <c r="K1102" s="5" t="n">
        <v>3</v>
      </c>
    </row>
    <row r="1103" customFormat="false" ht="15" hidden="false" customHeight="false" outlineLevel="0" collapsed="false">
      <c r="A1103" s="5" t="n">
        <v>2022</v>
      </c>
      <c r="B1103" s="5" t="s">
        <v>452</v>
      </c>
      <c r="C1103" s="5" t="s">
        <v>352</v>
      </c>
      <c r="D1103" s="5" t="n">
        <v>21</v>
      </c>
      <c r="E1103" s="13" t="n">
        <v>3.57</v>
      </c>
      <c r="F1103" s="14" t="n">
        <f aca="false">E1103*Assumptions!$D$5</f>
        <v>480.888068445604</v>
      </c>
      <c r="G1103" s="14" t="n">
        <v>450</v>
      </c>
      <c r="H1103" s="14" t="n">
        <v>615</v>
      </c>
      <c r="I1103" s="14" t="n">
        <f aca="false">F1103-(G1103+H1103)/2</f>
        <v>-51.6119315543962</v>
      </c>
      <c r="J1103" s="5" t="str">
        <f aca="false">IF(D1103&lt;8,"LOW SAMPLE",IF(F1103&gt;H1103*(1+Assumptions!$B$10),"UNDERPAID",IF(F1103&lt;G1103*(1-Assumptions!$B$10),"OVERPAID","FAIR")))</f>
        <v>FAIR</v>
      </c>
      <c r="K1103" s="5" t="n">
        <v>83</v>
      </c>
    </row>
    <row r="1104" customFormat="false" ht="15" hidden="false" customHeight="false" outlineLevel="0" collapsed="false">
      <c r="A1104" s="5" t="n">
        <v>2022</v>
      </c>
      <c r="B1104" s="5" t="s">
        <v>452</v>
      </c>
      <c r="C1104" s="5" t="s">
        <v>467</v>
      </c>
      <c r="D1104" s="5" t="n">
        <v>13</v>
      </c>
      <c r="E1104" s="13" t="n">
        <v>1.29</v>
      </c>
      <c r="F1104" s="14" t="n">
        <f aca="false">E1104*Assumptions!$D$5</f>
        <v>173.766276833285</v>
      </c>
      <c r="G1104" s="14" t="n">
        <v>225</v>
      </c>
      <c r="H1104" s="14" t="n">
        <v>345</v>
      </c>
      <c r="I1104" s="14" t="n">
        <f aca="false">F1104-(G1104+H1104)/2</f>
        <v>-111.233723166715</v>
      </c>
      <c r="J1104" s="5" t="str">
        <f aca="false">IF(D1104&lt;8,"LOW SAMPLE",IF(F1104&gt;H1104*(1+Assumptions!$B$10),"UNDERPAID",IF(F1104&lt;G1104*(1-Assumptions!$B$10),"OVERPAID","FAIR")))</f>
        <v>OVERPAID</v>
      </c>
      <c r="K1104" s="5" t="n">
        <v>29</v>
      </c>
    </row>
    <row r="1105" customFormat="false" ht="15" hidden="false" customHeight="false" outlineLevel="0" collapsed="false">
      <c r="A1105" s="5" t="n">
        <v>2022</v>
      </c>
      <c r="B1105" s="5" t="s">
        <v>452</v>
      </c>
      <c r="C1105" s="5" t="s">
        <v>468</v>
      </c>
      <c r="D1105" s="5" t="n">
        <v>19</v>
      </c>
      <c r="E1105" s="13" t="n">
        <v>2.91</v>
      </c>
      <c r="F1105" s="14" t="n">
        <f aca="false">E1105*Assumptions!$D$5</f>
        <v>391.984391926248</v>
      </c>
      <c r="G1105" s="14" t="n">
        <v>450</v>
      </c>
      <c r="H1105" s="14" t="n">
        <v>615</v>
      </c>
      <c r="I1105" s="14" t="n">
        <f aca="false">F1105-(G1105+H1105)/2</f>
        <v>-140.515608073752</v>
      </c>
      <c r="J1105" s="5" t="str">
        <f aca="false">IF(D1105&lt;8,"LOW SAMPLE",IF(F1105&gt;H1105*(1+Assumptions!$B$10),"UNDERPAID",IF(F1105&lt;G1105*(1-Assumptions!$B$10),"OVERPAID","FAIR")))</f>
        <v>FAIR</v>
      </c>
      <c r="K1105" s="5" t="n">
        <v>139</v>
      </c>
    </row>
    <row r="1106" customFormat="false" ht="15" hidden="false" customHeight="false" outlineLevel="0" collapsed="false">
      <c r="A1106" s="5" t="n">
        <v>2022</v>
      </c>
      <c r="B1106" s="5" t="s">
        <v>452</v>
      </c>
      <c r="C1106" s="5" t="s">
        <v>785</v>
      </c>
      <c r="D1106" s="5" t="n">
        <v>3</v>
      </c>
      <c r="E1106" s="13" t="n">
        <v>0.36</v>
      </c>
      <c r="F1106" s="14" t="n">
        <f aca="false">E1106*Assumptions!$D$5</f>
        <v>48.4929144651029</v>
      </c>
      <c r="G1106" s="14" t="n">
        <v>225</v>
      </c>
      <c r="H1106" s="14" t="n">
        <v>345</v>
      </c>
      <c r="I1106" s="14" t="n">
        <f aca="false">F1106-(G1106+H1106)/2</f>
        <v>-236.507085534897</v>
      </c>
      <c r="J1106" s="5" t="str">
        <f aca="false">IF(D1106&lt;8,"LOW SAMPLE",IF(F1106&gt;H1106*(1+Assumptions!$B$10),"UNDERPAID",IF(F1106&lt;G1106*(1-Assumptions!$B$10),"OVERPAID","FAIR")))</f>
        <v>LOW SAMPLE</v>
      </c>
      <c r="K1106" s="5" t="n">
        <v>0</v>
      </c>
    </row>
    <row r="1107" customFormat="false" ht="15" hidden="false" customHeight="false" outlineLevel="0" collapsed="false">
      <c r="A1107" s="5" t="n">
        <v>2022</v>
      </c>
      <c r="B1107" s="5" t="s">
        <v>452</v>
      </c>
      <c r="C1107" s="5" t="s">
        <v>469</v>
      </c>
      <c r="D1107" s="5" t="n">
        <v>16</v>
      </c>
      <c r="E1107" s="13" t="n">
        <v>2.56</v>
      </c>
      <c r="F1107" s="14" t="n">
        <f aca="false">E1107*Assumptions!$D$5</f>
        <v>344.838502862954</v>
      </c>
      <c r="G1107" s="14" t="n">
        <v>345</v>
      </c>
      <c r="H1107" s="14" t="n">
        <v>450</v>
      </c>
      <c r="I1107" s="14" t="n">
        <f aca="false">F1107-(G1107+H1107)/2</f>
        <v>-52.661497137046</v>
      </c>
      <c r="J1107" s="5" t="str">
        <f aca="false">IF(D1107&lt;8,"LOW SAMPLE",IF(F1107&gt;H1107*(1+Assumptions!$B$10),"UNDERPAID",IF(F1107&lt;G1107*(1-Assumptions!$B$10),"OVERPAID","FAIR")))</f>
        <v>FAIR</v>
      </c>
      <c r="K1107" s="5" t="n">
        <v>73</v>
      </c>
    </row>
    <row r="1108" customFormat="false" ht="15" hidden="false" customHeight="false" outlineLevel="0" collapsed="false">
      <c r="A1108" s="5" t="n">
        <v>2022</v>
      </c>
      <c r="B1108" s="5" t="s">
        <v>452</v>
      </c>
      <c r="C1108" s="5" t="s">
        <v>470</v>
      </c>
      <c r="D1108" s="5" t="n">
        <v>2</v>
      </c>
      <c r="E1108" s="13" t="n">
        <v>0.17</v>
      </c>
      <c r="F1108" s="14" t="n">
        <f aca="false">E1108*Assumptions!$D$5</f>
        <v>22.899431830743</v>
      </c>
      <c r="G1108" s="14" t="n">
        <v>345</v>
      </c>
      <c r="H1108" s="14" t="n">
        <v>450</v>
      </c>
      <c r="I1108" s="14" t="n">
        <f aca="false">F1108-(G1108+H1108)/2</f>
        <v>-374.600568169257</v>
      </c>
      <c r="J1108" s="5" t="str">
        <f aca="false">IF(D1108&lt;8,"LOW SAMPLE",IF(F1108&gt;H1108*(1+Assumptions!$B$10),"UNDERPAID",IF(F1108&lt;G1108*(1-Assumptions!$B$10),"OVERPAID","FAIR")))</f>
        <v>LOW SAMPLE</v>
      </c>
      <c r="K1108" s="5" t="n">
        <v>106</v>
      </c>
    </row>
    <row r="1109" customFormat="false" ht="15" hidden="false" customHeight="false" outlineLevel="0" collapsed="false">
      <c r="A1109" s="5" t="n">
        <v>2022</v>
      </c>
      <c r="B1109" s="5" t="s">
        <v>452</v>
      </c>
      <c r="C1109" s="5" t="s">
        <v>786</v>
      </c>
      <c r="D1109" s="5" t="n">
        <v>17</v>
      </c>
      <c r="E1109" s="13" t="n">
        <v>2.62</v>
      </c>
      <c r="F1109" s="14" t="n">
        <f aca="false">E1109*Assumptions!$D$5</f>
        <v>352.920655273804</v>
      </c>
      <c r="G1109" s="14" t="n">
        <v>225</v>
      </c>
      <c r="H1109" s="14" t="n">
        <v>345</v>
      </c>
      <c r="I1109" s="14" t="n">
        <f aca="false">F1109-(G1109+H1109)/2</f>
        <v>67.9206552738045</v>
      </c>
      <c r="J1109" s="5" t="str">
        <f aca="false">IF(D1109&lt;8,"LOW SAMPLE",IF(F1109&gt;H1109*(1+Assumptions!$B$10),"UNDERPAID",IF(F1109&lt;G1109*(1-Assumptions!$B$10),"OVERPAID","FAIR")))</f>
        <v>FAIR</v>
      </c>
      <c r="K1109" s="5" t="n">
        <v>0</v>
      </c>
    </row>
    <row r="1110" customFormat="false" ht="15" hidden="false" customHeight="false" outlineLevel="0" collapsed="false">
      <c r="A1110" s="5" t="n">
        <v>2022</v>
      </c>
      <c r="B1110" s="5" t="s">
        <v>452</v>
      </c>
      <c r="C1110" s="5" t="s">
        <v>471</v>
      </c>
      <c r="D1110" s="5" t="n">
        <v>14</v>
      </c>
      <c r="E1110" s="13" t="n">
        <v>2.7</v>
      </c>
      <c r="F1110" s="14" t="n">
        <f aca="false">E1110*Assumptions!$D$5</f>
        <v>363.696858488272</v>
      </c>
      <c r="G1110" s="14" t="n">
        <v>345</v>
      </c>
      <c r="H1110" s="14" t="n">
        <v>450</v>
      </c>
      <c r="I1110" s="14" t="n">
        <f aca="false">F1110-(G1110+H1110)/2</f>
        <v>-33.8031415117282</v>
      </c>
      <c r="J1110" s="5" t="str">
        <f aca="false">IF(D1110&lt;8,"LOW SAMPLE",IF(F1110&gt;H1110*(1+Assumptions!$B$10),"UNDERPAID",IF(F1110&lt;G1110*(1-Assumptions!$B$10),"OVERPAID","FAIR")))</f>
        <v>FAIR</v>
      </c>
      <c r="K1110" s="5" t="n">
        <v>79</v>
      </c>
    </row>
    <row r="1111" customFormat="false" ht="15" hidden="false" customHeight="false" outlineLevel="0" collapsed="false">
      <c r="A1111" s="5" t="n">
        <v>2022</v>
      </c>
      <c r="B1111" s="5" t="s">
        <v>452</v>
      </c>
      <c r="C1111" s="5" t="s">
        <v>787</v>
      </c>
      <c r="D1111" s="5" t="n">
        <v>1</v>
      </c>
      <c r="E1111" s="13" t="n">
        <v>0.11</v>
      </c>
      <c r="F1111" s="14" t="n">
        <f aca="false">E1111*Assumptions!$D$5</f>
        <v>14.8172794198926</v>
      </c>
      <c r="G1111" s="14" t="n">
        <v>225</v>
      </c>
      <c r="H1111" s="14" t="n">
        <v>345</v>
      </c>
      <c r="I1111" s="14" t="n">
        <f aca="false">F1111-(G1111+H1111)/2</f>
        <v>-270.182720580107</v>
      </c>
      <c r="J1111" s="5" t="str">
        <f aca="false">IF(D1111&lt;8,"LOW SAMPLE",IF(F1111&gt;H1111*(1+Assumptions!$B$10),"UNDERPAID",IF(F1111&lt;G1111*(1-Assumptions!$B$10),"OVERPAID","FAIR")))</f>
        <v>LOW SAMPLE</v>
      </c>
      <c r="K1111" s="5" t="n">
        <v>0</v>
      </c>
    </row>
    <row r="1112" customFormat="false" ht="15" hidden="false" customHeight="false" outlineLevel="0" collapsed="false">
      <c r="A1112" s="5" t="n">
        <v>2022</v>
      </c>
      <c r="B1112" s="5" t="s">
        <v>452</v>
      </c>
      <c r="C1112" s="5" t="s">
        <v>472</v>
      </c>
      <c r="D1112" s="5" t="n">
        <v>16</v>
      </c>
      <c r="E1112" s="13" t="n">
        <v>2.15</v>
      </c>
      <c r="F1112" s="14" t="n">
        <f aca="false">E1112*Assumptions!$D$5</f>
        <v>289.610461388809</v>
      </c>
      <c r="G1112" s="14" t="n">
        <v>345</v>
      </c>
      <c r="H1112" s="14" t="n">
        <v>450</v>
      </c>
      <c r="I1112" s="14" t="n">
        <f aca="false">F1112-(G1112+H1112)/2</f>
        <v>-107.889538611191</v>
      </c>
      <c r="J1112" s="5" t="str">
        <f aca="false">IF(D1112&lt;8,"LOW SAMPLE",IF(F1112&gt;H1112*(1+Assumptions!$B$10),"UNDERPAID",IF(F1112&lt;G1112*(1-Assumptions!$B$10),"OVERPAID","FAIR")))</f>
        <v>OVERPAID</v>
      </c>
      <c r="K1112" s="5" t="n">
        <v>106</v>
      </c>
    </row>
    <row r="1113" customFormat="false" ht="15" hidden="false" customHeight="false" outlineLevel="0" collapsed="false">
      <c r="A1113" s="5" t="n">
        <v>2022</v>
      </c>
      <c r="B1113" s="5" t="s">
        <v>452</v>
      </c>
      <c r="C1113" s="5" t="s">
        <v>473</v>
      </c>
      <c r="D1113" s="5" t="n">
        <v>21</v>
      </c>
      <c r="E1113" s="13" t="n">
        <v>5.08</v>
      </c>
      <c r="F1113" s="14" t="n">
        <f aca="false">E1113*Assumptions!$D$5</f>
        <v>684.288904118674</v>
      </c>
      <c r="G1113" s="14" t="n">
        <v>615</v>
      </c>
      <c r="H1113" s="14" t="n">
        <v>855</v>
      </c>
      <c r="I1113" s="14" t="n">
        <f aca="false">F1113-(G1113+H1113)/2</f>
        <v>-50.7110958813257</v>
      </c>
      <c r="J1113" s="5" t="str">
        <f aca="false">IF(D1113&lt;8,"LOW SAMPLE",IF(F1113&gt;H1113*(1+Assumptions!$B$10),"UNDERPAID",IF(F1113&lt;G1113*(1-Assumptions!$B$10),"OVERPAID","FAIR")))</f>
        <v>FAIR</v>
      </c>
      <c r="K1113" s="5" t="n">
        <v>95</v>
      </c>
    </row>
    <row r="1114" customFormat="false" ht="15" hidden="false" customHeight="false" outlineLevel="0" collapsed="false">
      <c r="A1114" s="5" t="n">
        <v>2022</v>
      </c>
      <c r="B1114" s="5" t="s">
        <v>452</v>
      </c>
      <c r="C1114" s="5" t="s">
        <v>788</v>
      </c>
      <c r="D1114" s="5" t="n">
        <v>4</v>
      </c>
      <c r="E1114" s="13" t="n">
        <v>0.51</v>
      </c>
      <c r="F1114" s="14" t="n">
        <f aca="false">E1114*Assumptions!$D$5</f>
        <v>68.6982954922291</v>
      </c>
      <c r="G1114" s="14" t="n">
        <v>225</v>
      </c>
      <c r="H1114" s="14" t="n">
        <v>345</v>
      </c>
      <c r="I1114" s="14" t="n">
        <f aca="false">F1114-(G1114+H1114)/2</f>
        <v>-216.301704507771</v>
      </c>
      <c r="J1114" s="5" t="str">
        <f aca="false">IF(D1114&lt;8,"LOW SAMPLE",IF(F1114&gt;H1114*(1+Assumptions!$B$10),"UNDERPAID",IF(F1114&lt;G1114*(1-Assumptions!$B$10),"OVERPAID","FAIR")))</f>
        <v>LOW SAMPLE</v>
      </c>
      <c r="K1114" s="5" t="n">
        <v>0</v>
      </c>
    </row>
    <row r="1115" customFormat="false" ht="15" hidden="false" customHeight="false" outlineLevel="0" collapsed="false">
      <c r="A1115" s="5" t="n">
        <v>2022</v>
      </c>
      <c r="B1115" s="5" t="s">
        <v>452</v>
      </c>
      <c r="C1115" s="5" t="s">
        <v>474</v>
      </c>
      <c r="D1115" s="5" t="n">
        <v>17</v>
      </c>
      <c r="E1115" s="13" t="n">
        <v>1.52</v>
      </c>
      <c r="F1115" s="14" t="n">
        <f aca="false">E1115*Assumptions!$D$5</f>
        <v>204.747861074879</v>
      </c>
      <c r="G1115" s="14" t="n">
        <v>345</v>
      </c>
      <c r="H1115" s="14" t="n">
        <v>450</v>
      </c>
      <c r="I1115" s="14" t="n">
        <f aca="false">F1115-(G1115+H1115)/2</f>
        <v>-192.752138925121</v>
      </c>
      <c r="J1115" s="5" t="str">
        <f aca="false">IF(D1115&lt;8,"LOW SAMPLE",IF(F1115&gt;H1115*(1+Assumptions!$B$10),"UNDERPAID",IF(F1115&lt;G1115*(1-Assumptions!$B$10),"OVERPAID","FAIR")))</f>
        <v>OVERPAID</v>
      </c>
      <c r="K1115" s="5" t="n">
        <v>95</v>
      </c>
    </row>
    <row r="1116" customFormat="false" ht="15" hidden="false" customHeight="false" outlineLevel="0" collapsed="false">
      <c r="A1116" s="5" t="n">
        <v>2022</v>
      </c>
      <c r="B1116" s="5" t="s">
        <v>452</v>
      </c>
      <c r="C1116" s="5" t="s">
        <v>475</v>
      </c>
      <c r="D1116" s="5" t="n">
        <v>5</v>
      </c>
      <c r="E1116" s="13" t="n">
        <v>0.46</v>
      </c>
      <c r="F1116" s="14" t="n">
        <f aca="false">E1116*Assumptions!$D$5</f>
        <v>61.9631684831871</v>
      </c>
      <c r="G1116" s="14" t="n">
        <v>125</v>
      </c>
      <c r="H1116" s="14" t="n">
        <v>225</v>
      </c>
      <c r="I1116" s="14" t="n">
        <f aca="false">F1116-(G1116+H1116)/2</f>
        <v>-113.036831516813</v>
      </c>
      <c r="J1116" s="5" t="str">
        <f aca="false">IF(D1116&lt;8,"LOW SAMPLE",IF(F1116&gt;H1116*(1+Assumptions!$B$10),"UNDERPAID",IF(F1116&lt;G1116*(1-Assumptions!$B$10),"OVERPAID","FAIR")))</f>
        <v>LOW SAMPLE</v>
      </c>
      <c r="K1116" s="5" t="n">
        <v>12</v>
      </c>
    </row>
    <row r="1117" customFormat="false" ht="15" hidden="false" customHeight="false" outlineLevel="0" collapsed="false">
      <c r="A1117" s="5" t="n">
        <v>2022</v>
      </c>
      <c r="B1117" s="5" t="s">
        <v>452</v>
      </c>
      <c r="C1117" s="5" t="s">
        <v>476</v>
      </c>
      <c r="D1117" s="5" t="n">
        <v>20</v>
      </c>
      <c r="E1117" s="13" t="n">
        <v>3.1</v>
      </c>
      <c r="F1117" s="14" t="n">
        <f aca="false">E1117*Assumptions!$D$5</f>
        <v>417.577874560608</v>
      </c>
      <c r="G1117" s="14" t="n">
        <v>125</v>
      </c>
      <c r="H1117" s="14" t="n">
        <v>225</v>
      </c>
      <c r="I1117" s="14" t="n">
        <f aca="false">F1117-(G1117+H1117)/2</f>
        <v>242.577874560608</v>
      </c>
      <c r="J1117" s="5" t="str">
        <f aca="false">IF(D1117&lt;8,"LOW SAMPLE",IF(F1117&gt;H1117*(1+Assumptions!$B$10),"UNDERPAID",IF(F1117&lt;G1117*(1-Assumptions!$B$10),"OVERPAID","FAIR")))</f>
        <v>UNDERPAID</v>
      </c>
      <c r="K1117" s="5" t="n">
        <v>23</v>
      </c>
    </row>
    <row r="1118" customFormat="false" ht="15" hidden="false" customHeight="false" outlineLevel="0" collapsed="false">
      <c r="A1118" s="5" t="n">
        <v>2022</v>
      </c>
      <c r="B1118" s="5" t="s">
        <v>452</v>
      </c>
      <c r="C1118" s="5" t="s">
        <v>477</v>
      </c>
      <c r="D1118" s="5" t="n">
        <v>21</v>
      </c>
      <c r="E1118" s="13" t="n">
        <v>5.11</v>
      </c>
      <c r="F1118" s="14" t="n">
        <f aca="false">E1118*Assumptions!$D$5</f>
        <v>688.3299803241</v>
      </c>
      <c r="G1118" s="14" t="n">
        <v>345</v>
      </c>
      <c r="H1118" s="14" t="n">
        <v>450</v>
      </c>
      <c r="I1118" s="14" t="n">
        <f aca="false">F1118-(G1118+H1118)/2</f>
        <v>290.8299803241</v>
      </c>
      <c r="J1118" s="5" t="str">
        <f aca="false">IF(D1118&lt;8,"LOW SAMPLE",IF(F1118&gt;H1118*(1+Assumptions!$B$10),"UNDERPAID",IF(F1118&lt;G1118*(1-Assumptions!$B$10),"OVERPAID","FAIR")))</f>
        <v>UNDERPAID</v>
      </c>
      <c r="K1118" s="5" t="n">
        <v>50</v>
      </c>
    </row>
    <row r="1119" customFormat="false" ht="15" hidden="false" customHeight="false" outlineLevel="0" collapsed="false">
      <c r="A1119" s="5" t="n">
        <v>2022</v>
      </c>
      <c r="B1119" s="5" t="s">
        <v>452</v>
      </c>
      <c r="C1119" s="5" t="s">
        <v>478</v>
      </c>
      <c r="D1119" s="5" t="n">
        <v>22</v>
      </c>
      <c r="E1119" s="13" t="n">
        <v>4.35</v>
      </c>
      <c r="F1119" s="14" t="n">
        <f aca="false">E1119*Assumptions!$D$5</f>
        <v>585.95604978666</v>
      </c>
      <c r="G1119" s="14" t="n">
        <v>345</v>
      </c>
      <c r="H1119" s="14" t="n">
        <v>450</v>
      </c>
      <c r="I1119" s="14" t="n">
        <f aca="false">F1119-(G1119+H1119)/2</f>
        <v>188.45604978666</v>
      </c>
      <c r="J1119" s="5" t="str">
        <f aca="false">IF(D1119&lt;8,"LOW SAMPLE",IF(F1119&gt;H1119*(1+Assumptions!$B$10),"UNDERPAID",IF(F1119&lt;G1119*(1-Assumptions!$B$10),"OVERPAID","FAIR")))</f>
        <v>UNDERPAID</v>
      </c>
      <c r="K1119" s="5" t="n">
        <v>114</v>
      </c>
    </row>
    <row r="1120" customFormat="false" ht="15" hidden="false" customHeight="false" outlineLevel="0" collapsed="false">
      <c r="A1120" s="5" t="n">
        <v>2022</v>
      </c>
      <c r="B1120" s="5" t="s">
        <v>452</v>
      </c>
      <c r="C1120" s="5" t="s">
        <v>789</v>
      </c>
      <c r="D1120" s="5" t="n">
        <v>1</v>
      </c>
      <c r="E1120" s="13" t="n">
        <v>0.02</v>
      </c>
      <c r="F1120" s="14" t="n">
        <f aca="false">E1120*Assumptions!$D$5</f>
        <v>2.69405080361683</v>
      </c>
      <c r="G1120" s="14" t="n">
        <v>225</v>
      </c>
      <c r="H1120" s="14" t="n">
        <v>345</v>
      </c>
      <c r="I1120" s="14" t="n">
        <f aca="false">F1120-(G1120+H1120)/2</f>
        <v>-282.305949196383</v>
      </c>
      <c r="J1120" s="5" t="str">
        <f aca="false">IF(D1120&lt;8,"LOW SAMPLE",IF(F1120&gt;H1120*(1+Assumptions!$B$10),"UNDERPAID",IF(F1120&lt;G1120*(1-Assumptions!$B$10),"OVERPAID","FAIR")))</f>
        <v>LOW SAMPLE</v>
      </c>
      <c r="K1120" s="5" t="n">
        <v>0</v>
      </c>
    </row>
    <row r="1121" customFormat="false" ht="15" hidden="false" customHeight="false" outlineLevel="0" collapsed="false">
      <c r="A1121" s="5" t="n">
        <v>2022</v>
      </c>
      <c r="B1121" s="5" t="s">
        <v>452</v>
      </c>
      <c r="C1121" s="5" t="s">
        <v>479</v>
      </c>
      <c r="D1121" s="5" t="n">
        <v>20</v>
      </c>
      <c r="E1121" s="13" t="n">
        <v>3.7</v>
      </c>
      <c r="F1121" s="14" t="n">
        <f aca="false">E1121*Assumptions!$D$5</f>
        <v>498.399398669113</v>
      </c>
      <c r="G1121" s="14" t="n">
        <v>450</v>
      </c>
      <c r="H1121" s="14" t="n">
        <v>615</v>
      </c>
      <c r="I1121" s="14" t="n">
        <f aca="false">F1121-(G1121+H1121)/2</f>
        <v>-34.1006013308868</v>
      </c>
      <c r="J1121" s="5" t="str">
        <f aca="false">IF(D1121&lt;8,"LOW SAMPLE",IF(F1121&gt;H1121*(1+Assumptions!$B$10),"UNDERPAID",IF(F1121&lt;G1121*(1-Assumptions!$B$10),"OVERPAID","FAIR")))</f>
        <v>FAIR</v>
      </c>
      <c r="K1121" s="5" t="n">
        <v>51</v>
      </c>
    </row>
    <row r="1122" customFormat="false" ht="15" hidden="false" customHeight="false" outlineLevel="0" collapsed="false">
      <c r="A1122" s="5" t="n">
        <v>2022</v>
      </c>
      <c r="B1122" s="5" t="s">
        <v>452</v>
      </c>
      <c r="C1122" s="5" t="s">
        <v>790</v>
      </c>
      <c r="D1122" s="5" t="n">
        <v>15</v>
      </c>
      <c r="E1122" s="13" t="n">
        <v>2.08</v>
      </c>
      <c r="F1122" s="14" t="n">
        <f aca="false">E1122*Assumptions!$D$5</f>
        <v>280.18128357615</v>
      </c>
      <c r="G1122" s="14" t="n">
        <v>225</v>
      </c>
      <c r="H1122" s="14" t="n">
        <v>345</v>
      </c>
      <c r="I1122" s="14" t="n">
        <f aca="false">F1122-(G1122+H1122)/2</f>
        <v>-4.81871642384988</v>
      </c>
      <c r="J1122" s="5" t="str">
        <f aca="false">IF(D1122&lt;8,"LOW SAMPLE",IF(F1122&gt;H1122*(1+Assumptions!$B$10),"UNDERPAID",IF(F1122&lt;G1122*(1-Assumptions!$B$10),"OVERPAID","FAIR")))</f>
        <v>FAIR</v>
      </c>
      <c r="K1122" s="5" t="n">
        <v>0</v>
      </c>
    </row>
    <row r="1123" customFormat="false" ht="15" hidden="false" customHeight="false" outlineLevel="0" collapsed="false">
      <c r="A1123" s="5" t="n">
        <v>2022</v>
      </c>
      <c r="B1123" s="5" t="s">
        <v>452</v>
      </c>
      <c r="C1123" s="5" t="s">
        <v>480</v>
      </c>
      <c r="D1123" s="5" t="n">
        <v>5</v>
      </c>
      <c r="E1123" s="13" t="n">
        <v>0.36</v>
      </c>
      <c r="F1123" s="14" t="n">
        <f aca="false">E1123*Assumptions!$D$5</f>
        <v>48.4929144651029</v>
      </c>
      <c r="G1123" s="14" t="n">
        <v>125</v>
      </c>
      <c r="H1123" s="14" t="n">
        <v>225</v>
      </c>
      <c r="I1123" s="14" t="n">
        <f aca="false">F1123-(G1123+H1123)/2</f>
        <v>-126.507085534897</v>
      </c>
      <c r="J1123" s="5" t="str">
        <f aca="false">IF(D1123&lt;8,"LOW SAMPLE",IF(F1123&gt;H1123*(1+Assumptions!$B$10),"UNDERPAID",IF(F1123&lt;G1123*(1-Assumptions!$B$10),"OVERPAID","FAIR")))</f>
        <v>LOW SAMPLE</v>
      </c>
      <c r="K1123" s="5" t="n">
        <v>1</v>
      </c>
    </row>
    <row r="1124" customFormat="false" ht="15" hidden="false" customHeight="false" outlineLevel="0" collapsed="false">
      <c r="A1124" s="5" t="n">
        <v>2022</v>
      </c>
      <c r="B1124" s="5" t="s">
        <v>452</v>
      </c>
      <c r="C1124" s="5" t="s">
        <v>483</v>
      </c>
      <c r="D1124" s="5" t="n">
        <v>10</v>
      </c>
      <c r="E1124" s="13" t="n">
        <v>1.39</v>
      </c>
      <c r="F1124" s="14" t="n">
        <f aca="false">E1124*Assumptions!$D$5</f>
        <v>187.23653085137</v>
      </c>
      <c r="G1124" s="14" t="n">
        <v>450</v>
      </c>
      <c r="H1124" s="14" t="n">
        <v>615</v>
      </c>
      <c r="I1124" s="14" t="n">
        <f aca="false">F1124-(G1124+H1124)/2</f>
        <v>-345.26346914863</v>
      </c>
      <c r="J1124" s="5" t="str">
        <f aca="false">IF(D1124&lt;8,"LOW SAMPLE",IF(F1124&gt;H1124*(1+Assumptions!$B$10),"UNDERPAID",IF(F1124&lt;G1124*(1-Assumptions!$B$10),"OVERPAID","FAIR")))</f>
        <v>OVERPAID</v>
      </c>
      <c r="K1124" s="5" t="n">
        <v>47</v>
      </c>
    </row>
    <row r="1125" customFormat="false" ht="15" hidden="false" customHeight="false" outlineLevel="0" collapsed="false">
      <c r="A1125" s="5" t="n">
        <v>2022</v>
      </c>
      <c r="B1125" s="5" t="s">
        <v>452</v>
      </c>
      <c r="C1125" s="5" t="s">
        <v>485</v>
      </c>
      <c r="D1125" s="5" t="n">
        <v>22</v>
      </c>
      <c r="E1125" s="13" t="n">
        <v>5.07</v>
      </c>
      <c r="F1125" s="14" t="n">
        <f aca="false">E1125*Assumptions!$D$5</f>
        <v>682.941878716866</v>
      </c>
      <c r="G1125" s="14" t="n">
        <v>615</v>
      </c>
      <c r="H1125" s="14" t="n">
        <v>855</v>
      </c>
      <c r="I1125" s="14" t="n">
        <f aca="false">F1125-(G1125+H1125)/2</f>
        <v>-52.058121283134</v>
      </c>
      <c r="J1125" s="5" t="str">
        <f aca="false">IF(D1125&lt;8,"LOW SAMPLE",IF(F1125&gt;H1125*(1+Assumptions!$B$10),"UNDERPAID",IF(F1125&lt;G1125*(1-Assumptions!$B$10),"OVERPAID","FAIR")))</f>
        <v>FAIR</v>
      </c>
      <c r="K1125" s="5" t="n">
        <v>148</v>
      </c>
    </row>
    <row r="1126" customFormat="false" ht="15" hidden="false" customHeight="false" outlineLevel="0" collapsed="false">
      <c r="A1126" s="5" t="n">
        <v>2022</v>
      </c>
      <c r="B1126" s="5" t="s">
        <v>452</v>
      </c>
      <c r="C1126" s="5" t="s">
        <v>487</v>
      </c>
      <c r="D1126" s="5" t="n">
        <v>18</v>
      </c>
      <c r="E1126" s="13" t="n">
        <v>2.21</v>
      </c>
      <c r="F1126" s="14" t="n">
        <f aca="false">E1126*Assumptions!$D$5</f>
        <v>297.692613799659</v>
      </c>
      <c r="G1126" s="14" t="n">
        <v>225</v>
      </c>
      <c r="H1126" s="14" t="n">
        <v>345</v>
      </c>
      <c r="I1126" s="14" t="n">
        <f aca="false">F1126-(G1126+H1126)/2</f>
        <v>12.6926137996595</v>
      </c>
      <c r="J1126" s="5" t="str">
        <f aca="false">IF(D1126&lt;8,"LOW SAMPLE",IF(F1126&gt;H1126*(1+Assumptions!$B$10),"UNDERPAID",IF(F1126&lt;G1126*(1-Assumptions!$B$10),"OVERPAID","FAIR")))</f>
        <v>FAIR</v>
      </c>
      <c r="K1126" s="5" t="n">
        <v>13</v>
      </c>
    </row>
    <row r="1127" customFormat="false" ht="15" hidden="false" customHeight="false" outlineLevel="0" collapsed="false">
      <c r="A1127" s="5" t="n">
        <v>2022</v>
      </c>
      <c r="B1127" s="5" t="s">
        <v>452</v>
      </c>
      <c r="C1127" s="5" t="s">
        <v>489</v>
      </c>
      <c r="D1127" s="5" t="n">
        <v>12</v>
      </c>
      <c r="E1127" s="13" t="n">
        <v>1.99</v>
      </c>
      <c r="F1127" s="14" t="n">
        <f aca="false">E1127*Assumptions!$D$5</f>
        <v>268.058054959874</v>
      </c>
      <c r="G1127" s="14" t="n">
        <v>125</v>
      </c>
      <c r="H1127" s="14" t="n">
        <v>225</v>
      </c>
      <c r="I1127" s="14" t="n">
        <f aca="false">F1127-(G1127+H1127)/2</f>
        <v>93.0580549598744</v>
      </c>
      <c r="J1127" s="5" t="str">
        <f aca="false">IF(D1127&lt;8,"LOW SAMPLE",IF(F1127&gt;H1127*(1+Assumptions!$B$10),"UNDERPAID",IF(F1127&lt;G1127*(1-Assumptions!$B$10),"OVERPAID","FAIR")))</f>
        <v>UNDERPAID</v>
      </c>
      <c r="K1127" s="5" t="n">
        <v>12</v>
      </c>
    </row>
    <row r="1128" customFormat="false" ht="15" hidden="false" customHeight="false" outlineLevel="0" collapsed="false">
      <c r="A1128" s="5" t="n">
        <v>2022</v>
      </c>
      <c r="B1128" s="5" t="s">
        <v>491</v>
      </c>
      <c r="C1128" s="5" t="s">
        <v>492</v>
      </c>
      <c r="D1128" s="5" t="n">
        <v>19</v>
      </c>
      <c r="E1128" s="13" t="n">
        <v>3.98</v>
      </c>
      <c r="F1128" s="14" t="n">
        <f aca="false">E1128*Assumptions!$D$5</f>
        <v>536.116109919749</v>
      </c>
      <c r="G1128" s="14" t="n">
        <v>450</v>
      </c>
      <c r="H1128" s="14" t="n">
        <v>615</v>
      </c>
      <c r="I1128" s="14" t="n">
        <f aca="false">F1128-(G1128+H1128)/2</f>
        <v>3.61610991974874</v>
      </c>
      <c r="J1128" s="5" t="str">
        <f aca="false">IF(D1128&lt;8,"LOW SAMPLE",IF(F1128&gt;H1128*(1+Assumptions!$B$10),"UNDERPAID",IF(F1128&lt;G1128*(1-Assumptions!$B$10),"OVERPAID","FAIR")))</f>
        <v>FAIR</v>
      </c>
      <c r="K1128" s="5" t="n">
        <v>88</v>
      </c>
    </row>
    <row r="1129" customFormat="false" ht="15" hidden="false" customHeight="false" outlineLevel="0" collapsed="false">
      <c r="A1129" s="5" t="n">
        <v>2022</v>
      </c>
      <c r="B1129" s="5" t="s">
        <v>491</v>
      </c>
      <c r="C1129" s="5" t="s">
        <v>791</v>
      </c>
      <c r="D1129" s="5" t="n">
        <v>2</v>
      </c>
      <c r="E1129" s="13" t="n">
        <v>0.28</v>
      </c>
      <c r="F1129" s="14" t="n">
        <f aca="false">E1129*Assumptions!$D$5</f>
        <v>37.7167112506356</v>
      </c>
      <c r="G1129" s="14" t="n">
        <v>225</v>
      </c>
      <c r="H1129" s="14" t="n">
        <v>345</v>
      </c>
      <c r="I1129" s="14" t="n">
        <f aca="false">F1129-(G1129+H1129)/2</f>
        <v>-247.283288749364</v>
      </c>
      <c r="J1129" s="5" t="str">
        <f aca="false">IF(D1129&lt;8,"LOW SAMPLE",IF(F1129&gt;H1129*(1+Assumptions!$B$10),"UNDERPAID",IF(F1129&lt;G1129*(1-Assumptions!$B$10),"OVERPAID","FAIR")))</f>
        <v>LOW SAMPLE</v>
      </c>
      <c r="K1129" s="5" t="n">
        <v>0</v>
      </c>
    </row>
    <row r="1130" customFormat="false" ht="15" hidden="false" customHeight="false" outlineLevel="0" collapsed="false">
      <c r="A1130" s="5" t="n">
        <v>2022</v>
      </c>
      <c r="B1130" s="5" t="s">
        <v>491</v>
      </c>
      <c r="C1130" s="5" t="s">
        <v>494</v>
      </c>
      <c r="D1130" s="5" t="n">
        <v>12</v>
      </c>
      <c r="E1130" s="13" t="n">
        <v>3.34</v>
      </c>
      <c r="F1130" s="14" t="n">
        <f aca="false">E1130*Assumptions!$D$5</f>
        <v>449.90648420401</v>
      </c>
      <c r="G1130" s="14" t="n">
        <v>615</v>
      </c>
      <c r="H1130" s="14" t="n">
        <v>855</v>
      </c>
      <c r="I1130" s="14" t="n">
        <f aca="false">F1130-(G1130+H1130)/2</f>
        <v>-285.09351579599</v>
      </c>
      <c r="J1130" s="5" t="str">
        <f aca="false">IF(D1130&lt;8,"LOW SAMPLE",IF(F1130&gt;H1130*(1+Assumptions!$B$10),"UNDERPAID",IF(F1130&lt;G1130*(1-Assumptions!$B$10),"OVERPAID","FAIR")))</f>
        <v>OVERPAID</v>
      </c>
      <c r="K1130" s="5" t="n">
        <v>128</v>
      </c>
    </row>
    <row r="1131" customFormat="false" ht="15" hidden="false" customHeight="false" outlineLevel="0" collapsed="false">
      <c r="A1131" s="5" t="n">
        <v>2022</v>
      </c>
      <c r="B1131" s="5" t="s">
        <v>491</v>
      </c>
      <c r="C1131" s="5" t="s">
        <v>495</v>
      </c>
      <c r="D1131" s="5" t="n">
        <v>22</v>
      </c>
      <c r="E1131" s="13" t="n">
        <v>5.64</v>
      </c>
      <c r="F1131" s="14" t="n">
        <f aca="false">E1131*Assumptions!$D$5</f>
        <v>759.722326619945</v>
      </c>
      <c r="G1131" s="14" t="n">
        <v>450</v>
      </c>
      <c r="H1131" s="14" t="n">
        <v>615</v>
      </c>
      <c r="I1131" s="14" t="n">
        <f aca="false">F1131-(G1131+H1131)/2</f>
        <v>227.222326619945</v>
      </c>
      <c r="J1131" s="5" t="str">
        <f aca="false">IF(D1131&lt;8,"LOW SAMPLE",IF(F1131&gt;H1131*(1+Assumptions!$B$10),"UNDERPAID",IF(F1131&lt;G1131*(1-Assumptions!$B$10),"OVERPAID","FAIR")))</f>
        <v>UNDERPAID</v>
      </c>
      <c r="K1131" s="5" t="n">
        <v>59</v>
      </c>
    </row>
    <row r="1132" customFormat="false" ht="15" hidden="false" customHeight="false" outlineLevel="0" collapsed="false">
      <c r="A1132" s="5" t="n">
        <v>2022</v>
      </c>
      <c r="B1132" s="5" t="s">
        <v>491</v>
      </c>
      <c r="C1132" s="5" t="s">
        <v>496</v>
      </c>
      <c r="D1132" s="5" t="n">
        <v>21</v>
      </c>
      <c r="E1132" s="13" t="n">
        <v>5.38</v>
      </c>
      <c r="F1132" s="14" t="n">
        <f aca="false">E1132*Assumptions!$D$5</f>
        <v>724.699666172927</v>
      </c>
      <c r="G1132" s="14" t="n">
        <v>615</v>
      </c>
      <c r="H1132" s="14" t="n">
        <v>855</v>
      </c>
      <c r="I1132" s="14" t="n">
        <f aca="false">F1132-(G1132+H1132)/2</f>
        <v>-10.3003338270734</v>
      </c>
      <c r="J1132" s="5" t="str">
        <f aca="false">IF(D1132&lt;8,"LOW SAMPLE",IF(F1132&gt;H1132*(1+Assumptions!$B$10),"UNDERPAID",IF(F1132&lt;G1132*(1-Assumptions!$B$10),"OVERPAID","FAIR")))</f>
        <v>FAIR</v>
      </c>
      <c r="K1132" s="5" t="n">
        <v>100</v>
      </c>
    </row>
    <row r="1133" customFormat="false" ht="15" hidden="false" customHeight="false" outlineLevel="0" collapsed="false">
      <c r="A1133" s="5" t="n">
        <v>2022</v>
      </c>
      <c r="B1133" s="5" t="s">
        <v>491</v>
      </c>
      <c r="C1133" s="5" t="s">
        <v>497</v>
      </c>
      <c r="D1133" s="5" t="n">
        <v>21</v>
      </c>
      <c r="E1133" s="13" t="n">
        <v>3.56</v>
      </c>
      <c r="F1133" s="14" t="n">
        <f aca="false">E1133*Assumptions!$D$5</f>
        <v>479.541043043795</v>
      </c>
      <c r="G1133" s="14" t="n">
        <v>450</v>
      </c>
      <c r="H1133" s="14" t="n">
        <v>615</v>
      </c>
      <c r="I1133" s="14" t="n">
        <f aca="false">F1133-(G1133+H1133)/2</f>
        <v>-52.9589569562046</v>
      </c>
      <c r="J1133" s="5" t="str">
        <f aca="false">IF(D1133&lt;8,"LOW SAMPLE",IF(F1133&gt;H1133*(1+Assumptions!$B$10),"UNDERPAID",IF(F1133&lt;G1133*(1-Assumptions!$B$10),"OVERPAID","FAIR")))</f>
        <v>FAIR</v>
      </c>
      <c r="K1133" s="5" t="n">
        <v>129</v>
      </c>
    </row>
    <row r="1134" customFormat="false" ht="15" hidden="false" customHeight="false" outlineLevel="0" collapsed="false">
      <c r="A1134" s="5" t="n">
        <v>2022</v>
      </c>
      <c r="B1134" s="5" t="s">
        <v>491</v>
      </c>
      <c r="C1134" s="5" t="s">
        <v>792</v>
      </c>
      <c r="D1134" s="5" t="n">
        <v>11</v>
      </c>
      <c r="E1134" s="13" t="n">
        <v>1.17</v>
      </c>
      <c r="F1134" s="14" t="n">
        <f aca="false">E1134*Assumptions!$D$5</f>
        <v>157.601972011584</v>
      </c>
      <c r="G1134" s="14" t="n">
        <v>225</v>
      </c>
      <c r="H1134" s="14" t="n">
        <v>345</v>
      </c>
      <c r="I1134" s="14" t="n">
        <f aca="false">F1134-(G1134+H1134)/2</f>
        <v>-127.398027988416</v>
      </c>
      <c r="J1134" s="5" t="str">
        <f aca="false">IF(D1134&lt;8,"LOW SAMPLE",IF(F1134&gt;H1134*(1+Assumptions!$B$10),"UNDERPAID",IF(F1134&lt;G1134*(1-Assumptions!$B$10),"OVERPAID","FAIR")))</f>
        <v>OVERPAID</v>
      </c>
      <c r="K1134" s="5" t="n">
        <v>0</v>
      </c>
    </row>
    <row r="1135" customFormat="false" ht="15" hidden="false" customHeight="false" outlineLevel="0" collapsed="false">
      <c r="A1135" s="5" t="n">
        <v>2022</v>
      </c>
      <c r="B1135" s="5" t="s">
        <v>491</v>
      </c>
      <c r="C1135" s="5" t="s">
        <v>793</v>
      </c>
      <c r="D1135" s="5" t="n">
        <v>8</v>
      </c>
      <c r="E1135" s="13" t="n">
        <v>1.1</v>
      </c>
      <c r="F1135" s="14" t="n">
        <f aca="false">E1135*Assumptions!$D$5</f>
        <v>148.172794198926</v>
      </c>
      <c r="G1135" s="14" t="n">
        <v>225</v>
      </c>
      <c r="H1135" s="14" t="n">
        <v>345</v>
      </c>
      <c r="I1135" s="14" t="n">
        <f aca="false">F1135-(G1135+H1135)/2</f>
        <v>-136.827205801074</v>
      </c>
      <c r="J1135" s="5" t="str">
        <f aca="false">IF(D1135&lt;8,"LOW SAMPLE",IF(F1135&gt;H1135*(1+Assumptions!$B$10),"UNDERPAID",IF(F1135&lt;G1135*(1-Assumptions!$B$10),"OVERPAID","FAIR")))</f>
        <v>OVERPAID</v>
      </c>
      <c r="K1135" s="5" t="n">
        <v>0</v>
      </c>
    </row>
    <row r="1136" customFormat="false" ht="15" hidden="false" customHeight="false" outlineLevel="0" collapsed="false">
      <c r="A1136" s="5" t="n">
        <v>2022</v>
      </c>
      <c r="B1136" s="5" t="s">
        <v>491</v>
      </c>
      <c r="C1136" s="5" t="s">
        <v>501</v>
      </c>
      <c r="D1136" s="5" t="n">
        <v>9</v>
      </c>
      <c r="E1136" s="13" t="n">
        <v>0.81</v>
      </c>
      <c r="F1136" s="14" t="n">
        <f aca="false">E1136*Assumptions!$D$5</f>
        <v>109.109057546482</v>
      </c>
      <c r="G1136" s="14" t="n">
        <v>125</v>
      </c>
      <c r="H1136" s="14" t="n">
        <v>225</v>
      </c>
      <c r="I1136" s="14" t="n">
        <f aca="false">F1136-(G1136+H1136)/2</f>
        <v>-65.8909424535185</v>
      </c>
      <c r="J1136" s="5" t="str">
        <f aca="false">IF(D1136&lt;8,"LOW SAMPLE",IF(F1136&gt;H1136*(1+Assumptions!$B$10),"UNDERPAID",IF(F1136&lt;G1136*(1-Assumptions!$B$10),"OVERPAID","FAIR")))</f>
        <v>FAIR</v>
      </c>
      <c r="K1136" s="5" t="n">
        <v>1</v>
      </c>
    </row>
    <row r="1137" customFormat="false" ht="15" hidden="false" customHeight="false" outlineLevel="0" collapsed="false">
      <c r="A1137" s="5" t="n">
        <v>2022</v>
      </c>
      <c r="B1137" s="5" t="s">
        <v>491</v>
      </c>
      <c r="C1137" s="5" t="s">
        <v>280</v>
      </c>
      <c r="D1137" s="5" t="n">
        <v>20</v>
      </c>
      <c r="E1137" s="13" t="n">
        <v>5.43</v>
      </c>
      <c r="F1137" s="14" t="n">
        <f aca="false">E1137*Assumptions!$D$5</f>
        <v>731.434793181969</v>
      </c>
      <c r="G1137" s="14" t="n">
        <v>450</v>
      </c>
      <c r="H1137" s="14" t="n">
        <v>615</v>
      </c>
      <c r="I1137" s="14" t="n">
        <f aca="false">F1137-(G1137+H1137)/2</f>
        <v>198.934793181969</v>
      </c>
      <c r="J1137" s="5" t="str">
        <f aca="false">IF(D1137&lt;8,"LOW SAMPLE",IF(F1137&gt;H1137*(1+Assumptions!$B$10),"UNDERPAID",IF(F1137&lt;G1137*(1-Assumptions!$B$10),"OVERPAID","FAIR")))</f>
        <v>UNDERPAID</v>
      </c>
      <c r="K1137" s="5" t="n">
        <v>66</v>
      </c>
    </row>
    <row r="1138" customFormat="false" ht="15" hidden="false" customHeight="false" outlineLevel="0" collapsed="false">
      <c r="A1138" s="5" t="n">
        <v>2022</v>
      </c>
      <c r="B1138" s="5" t="s">
        <v>491</v>
      </c>
      <c r="C1138" s="5" t="s">
        <v>794</v>
      </c>
      <c r="D1138" s="5" t="n">
        <v>1</v>
      </c>
      <c r="E1138" s="13" t="n">
        <v>0.06</v>
      </c>
      <c r="F1138" s="14" t="n">
        <f aca="false">E1138*Assumptions!$D$5</f>
        <v>8.08215241085048</v>
      </c>
      <c r="G1138" s="14" t="n">
        <v>225</v>
      </c>
      <c r="H1138" s="14" t="n">
        <v>345</v>
      </c>
      <c r="I1138" s="14" t="n">
        <f aca="false">F1138-(G1138+H1138)/2</f>
        <v>-276.91784758915</v>
      </c>
      <c r="J1138" s="5" t="str">
        <f aca="false">IF(D1138&lt;8,"LOW SAMPLE",IF(F1138&gt;H1138*(1+Assumptions!$B$10),"UNDERPAID",IF(F1138&lt;G1138*(1-Assumptions!$B$10),"OVERPAID","FAIR")))</f>
        <v>LOW SAMPLE</v>
      </c>
      <c r="K1138" s="5" t="n">
        <v>0</v>
      </c>
    </row>
    <row r="1139" customFormat="false" ht="15" hidden="false" customHeight="false" outlineLevel="0" collapsed="false">
      <c r="A1139" s="5" t="n">
        <v>2022</v>
      </c>
      <c r="B1139" s="5" t="s">
        <v>491</v>
      </c>
      <c r="C1139" s="5" t="s">
        <v>502</v>
      </c>
      <c r="D1139" s="5" t="n">
        <v>16</v>
      </c>
      <c r="E1139" s="13" t="n">
        <v>3.39</v>
      </c>
      <c r="F1139" s="14" t="n">
        <f aca="false">E1139*Assumptions!$D$5</f>
        <v>456.641611213052</v>
      </c>
      <c r="G1139" s="14" t="n">
        <v>225</v>
      </c>
      <c r="H1139" s="14" t="n">
        <v>345</v>
      </c>
      <c r="I1139" s="14" t="n">
        <f aca="false">F1139-(G1139+H1139)/2</f>
        <v>171.641611213052</v>
      </c>
      <c r="J1139" s="5" t="str">
        <f aca="false">IF(D1139&lt;8,"LOW SAMPLE",IF(F1139&gt;H1139*(1+Assumptions!$B$10),"UNDERPAID",IF(F1139&lt;G1139*(1-Assumptions!$B$10),"OVERPAID","FAIR")))</f>
        <v>UNDERPAID</v>
      </c>
      <c r="K1139" s="5" t="n">
        <v>33</v>
      </c>
    </row>
    <row r="1140" customFormat="false" ht="15" hidden="false" customHeight="false" outlineLevel="0" collapsed="false">
      <c r="A1140" s="5" t="n">
        <v>2022</v>
      </c>
      <c r="B1140" s="5" t="s">
        <v>491</v>
      </c>
      <c r="C1140" s="5" t="s">
        <v>503</v>
      </c>
      <c r="D1140" s="5" t="n">
        <v>22</v>
      </c>
      <c r="E1140" s="13" t="n">
        <v>5.05</v>
      </c>
      <c r="F1140" s="14" t="n">
        <f aca="false">E1140*Assumptions!$D$5</f>
        <v>680.247827913249</v>
      </c>
      <c r="G1140" s="14" t="n">
        <v>615</v>
      </c>
      <c r="H1140" s="14" t="n">
        <v>855</v>
      </c>
      <c r="I1140" s="14" t="n">
        <f aca="false">F1140-(G1140+H1140)/2</f>
        <v>-54.752172086751</v>
      </c>
      <c r="J1140" s="5" t="str">
        <f aca="false">IF(D1140&lt;8,"LOW SAMPLE",IF(F1140&gt;H1140*(1+Assumptions!$B$10),"UNDERPAID",IF(F1140&lt;G1140*(1-Assumptions!$B$10),"OVERPAID","FAIR")))</f>
        <v>FAIR</v>
      </c>
      <c r="K1140" s="5" t="n">
        <v>102</v>
      </c>
    </row>
    <row r="1141" customFormat="false" ht="15" hidden="false" customHeight="false" outlineLevel="0" collapsed="false">
      <c r="A1141" s="5" t="n">
        <v>2022</v>
      </c>
      <c r="B1141" s="5" t="s">
        <v>491</v>
      </c>
      <c r="C1141" s="5" t="s">
        <v>504</v>
      </c>
      <c r="D1141" s="5" t="n">
        <v>14</v>
      </c>
      <c r="E1141" s="13" t="n">
        <v>2.01</v>
      </c>
      <c r="F1141" s="14" t="n">
        <f aca="false">E1141*Assumptions!$D$5</f>
        <v>270.752105763491</v>
      </c>
      <c r="G1141" s="14" t="n">
        <v>125</v>
      </c>
      <c r="H1141" s="14" t="n">
        <v>225</v>
      </c>
      <c r="I1141" s="14" t="n">
        <f aca="false">F1141-(G1141+H1141)/2</f>
        <v>95.7521057634912</v>
      </c>
      <c r="J1141" s="5" t="str">
        <f aca="false">IF(D1141&lt;8,"LOW SAMPLE",IF(F1141&gt;H1141*(1+Assumptions!$B$10),"UNDERPAID",IF(F1141&lt;G1141*(1-Assumptions!$B$10),"OVERPAID","FAIR")))</f>
        <v>UNDERPAID</v>
      </c>
      <c r="K1141" s="5" t="n">
        <v>6</v>
      </c>
    </row>
    <row r="1142" customFormat="false" ht="15" hidden="false" customHeight="false" outlineLevel="0" collapsed="false">
      <c r="A1142" s="5" t="n">
        <v>2022</v>
      </c>
      <c r="B1142" s="5" t="s">
        <v>491</v>
      </c>
      <c r="C1142" s="5" t="s">
        <v>505</v>
      </c>
      <c r="D1142" s="5" t="n">
        <v>6</v>
      </c>
      <c r="E1142" s="13" t="n">
        <v>0.29</v>
      </c>
      <c r="F1142" s="14" t="n">
        <f aca="false">E1142*Assumptions!$D$5</f>
        <v>39.063736652444</v>
      </c>
      <c r="G1142" s="14" t="n">
        <v>125</v>
      </c>
      <c r="H1142" s="14" t="n">
        <v>225</v>
      </c>
      <c r="I1142" s="14" t="n">
        <f aca="false">F1142-(G1142+H1142)/2</f>
        <v>-135.936263347556</v>
      </c>
      <c r="J1142" s="5" t="str">
        <f aca="false">IF(D1142&lt;8,"LOW SAMPLE",IF(F1142&gt;H1142*(1+Assumptions!$B$10),"UNDERPAID",IF(F1142&lt;G1142*(1-Assumptions!$B$10),"OVERPAID","FAIR")))</f>
        <v>LOW SAMPLE</v>
      </c>
      <c r="K1142" s="5" t="n">
        <v>8</v>
      </c>
    </row>
    <row r="1143" customFormat="false" ht="15" hidden="false" customHeight="false" outlineLevel="0" collapsed="false">
      <c r="A1143" s="5" t="n">
        <v>2022</v>
      </c>
      <c r="B1143" s="5" t="s">
        <v>491</v>
      </c>
      <c r="C1143" s="5" t="s">
        <v>506</v>
      </c>
      <c r="D1143" s="5" t="n">
        <v>10</v>
      </c>
      <c r="E1143" s="13" t="n">
        <v>1.63</v>
      </c>
      <c r="F1143" s="14" t="n">
        <f aca="false">E1143*Assumptions!$D$5</f>
        <v>219.565140494771</v>
      </c>
      <c r="G1143" s="14" t="n">
        <v>345</v>
      </c>
      <c r="H1143" s="14" t="n">
        <v>450</v>
      </c>
      <c r="I1143" s="14" t="n">
        <f aca="false">F1143-(G1143+H1143)/2</f>
        <v>-177.934859505229</v>
      </c>
      <c r="J1143" s="5" t="str">
        <f aca="false">IF(D1143&lt;8,"LOW SAMPLE",IF(F1143&gt;H1143*(1+Assumptions!$B$10),"UNDERPAID",IF(F1143&lt;G1143*(1-Assumptions!$B$10),"OVERPAID","FAIR")))</f>
        <v>OVERPAID</v>
      </c>
      <c r="K1143" s="5" t="n">
        <v>23</v>
      </c>
    </row>
    <row r="1144" customFormat="false" ht="15" hidden="false" customHeight="false" outlineLevel="0" collapsed="false">
      <c r="A1144" s="5" t="n">
        <v>2022</v>
      </c>
      <c r="B1144" s="5" t="s">
        <v>491</v>
      </c>
      <c r="C1144" s="5" t="s">
        <v>507</v>
      </c>
      <c r="D1144" s="5" t="n">
        <v>19</v>
      </c>
      <c r="E1144" s="13" t="n">
        <v>3.61</v>
      </c>
      <c r="F1144" s="14" t="n">
        <f aca="false">E1144*Assumptions!$D$5</f>
        <v>486.276170052837</v>
      </c>
      <c r="G1144" s="14" t="n">
        <v>345</v>
      </c>
      <c r="H1144" s="14" t="n">
        <v>450</v>
      </c>
      <c r="I1144" s="14" t="n">
        <f aca="false">F1144-(G1144+H1144)/2</f>
        <v>88.7761700528374</v>
      </c>
      <c r="J1144" s="5" t="str">
        <f aca="false">IF(D1144&lt;8,"LOW SAMPLE",IF(F1144&gt;H1144*(1+Assumptions!$B$10),"UNDERPAID",IF(F1144&lt;G1144*(1-Assumptions!$B$10),"OVERPAID","FAIR")))</f>
        <v>FAIR</v>
      </c>
      <c r="K1144" s="5" t="n">
        <v>28</v>
      </c>
    </row>
    <row r="1145" customFormat="false" ht="15" hidden="false" customHeight="false" outlineLevel="0" collapsed="false">
      <c r="A1145" s="5" t="n">
        <v>2022</v>
      </c>
      <c r="B1145" s="5" t="s">
        <v>491</v>
      </c>
      <c r="C1145" s="5" t="s">
        <v>508</v>
      </c>
      <c r="D1145" s="5" t="n">
        <v>21</v>
      </c>
      <c r="E1145" s="13" t="n">
        <v>6.01</v>
      </c>
      <c r="F1145" s="14" t="n">
        <f aca="false">E1145*Assumptions!$D$5</f>
        <v>809.562266486857</v>
      </c>
      <c r="G1145" s="14" t="n">
        <v>855</v>
      </c>
      <c r="H1145" s="14" t="n">
        <v>1170</v>
      </c>
      <c r="I1145" s="14" t="n">
        <f aca="false">F1145-(G1145+H1145)/2</f>
        <v>-202.937733513143</v>
      </c>
      <c r="J1145" s="5" t="str">
        <f aca="false">IF(D1145&lt;8,"LOW SAMPLE",IF(F1145&gt;H1145*(1+Assumptions!$B$10),"UNDERPAID",IF(F1145&lt;G1145*(1-Assumptions!$B$10),"OVERPAID","FAIR")))</f>
        <v>FAIR</v>
      </c>
      <c r="K1145" s="5" t="n">
        <v>133</v>
      </c>
    </row>
    <row r="1146" customFormat="false" ht="15" hidden="false" customHeight="false" outlineLevel="0" collapsed="false">
      <c r="A1146" s="5" t="n">
        <v>2022</v>
      </c>
      <c r="B1146" s="5" t="s">
        <v>491</v>
      </c>
      <c r="C1146" s="5" t="s">
        <v>509</v>
      </c>
      <c r="D1146" s="5" t="n">
        <v>1</v>
      </c>
      <c r="E1146" s="13" t="n">
        <v>0</v>
      </c>
      <c r="F1146" s="14" t="n">
        <f aca="false">E1146*Assumptions!$D$5</f>
        <v>0</v>
      </c>
      <c r="G1146" s="14" t="n">
        <v>225</v>
      </c>
      <c r="H1146" s="14" t="n">
        <v>345</v>
      </c>
      <c r="I1146" s="14" t="n">
        <f aca="false">F1146-(G1146+H1146)/2</f>
        <v>-285</v>
      </c>
      <c r="J1146" s="5" t="str">
        <f aca="false">IF(D1146&lt;8,"LOW SAMPLE",IF(F1146&gt;H1146*(1+Assumptions!$B$10),"UNDERPAID",IF(F1146&lt;G1146*(1-Assumptions!$B$10),"OVERPAID","FAIR")))</f>
        <v>LOW SAMPLE</v>
      </c>
      <c r="K1146" s="5" t="n">
        <v>92</v>
      </c>
    </row>
    <row r="1147" customFormat="false" ht="15" hidden="false" customHeight="false" outlineLevel="0" collapsed="false">
      <c r="A1147" s="5" t="n">
        <v>2022</v>
      </c>
      <c r="B1147" s="5" t="s">
        <v>491</v>
      </c>
      <c r="C1147" s="5" t="s">
        <v>511</v>
      </c>
      <c r="D1147" s="5" t="n">
        <v>17</v>
      </c>
      <c r="E1147" s="13" t="n">
        <v>2.7</v>
      </c>
      <c r="F1147" s="14" t="n">
        <f aca="false">E1147*Assumptions!$D$5</f>
        <v>363.696858488272</v>
      </c>
      <c r="G1147" s="14" t="n">
        <v>345</v>
      </c>
      <c r="H1147" s="14" t="n">
        <v>450</v>
      </c>
      <c r="I1147" s="14" t="n">
        <f aca="false">F1147-(G1147+H1147)/2</f>
        <v>-33.8031415117282</v>
      </c>
      <c r="J1147" s="5" t="str">
        <f aca="false">IF(D1147&lt;8,"LOW SAMPLE",IF(F1147&gt;H1147*(1+Assumptions!$B$10),"UNDERPAID",IF(F1147&lt;G1147*(1-Assumptions!$B$10),"OVERPAID","FAIR")))</f>
        <v>FAIR</v>
      </c>
      <c r="K1147" s="5" t="n">
        <v>65</v>
      </c>
    </row>
    <row r="1148" customFormat="false" ht="15" hidden="false" customHeight="false" outlineLevel="0" collapsed="false">
      <c r="A1148" s="5" t="n">
        <v>2022</v>
      </c>
      <c r="B1148" s="5" t="s">
        <v>491</v>
      </c>
      <c r="C1148" s="5" t="s">
        <v>512</v>
      </c>
      <c r="D1148" s="5" t="n">
        <v>16</v>
      </c>
      <c r="E1148" s="13" t="n">
        <v>3.02</v>
      </c>
      <c r="F1148" s="14" t="n">
        <f aca="false">E1148*Assumptions!$D$5</f>
        <v>406.801671346141</v>
      </c>
      <c r="G1148" s="14" t="n">
        <v>450</v>
      </c>
      <c r="H1148" s="14" t="n">
        <v>615</v>
      </c>
      <c r="I1148" s="14" t="n">
        <f aca="false">F1148-(G1148+H1148)/2</f>
        <v>-125.698328653859</v>
      </c>
      <c r="J1148" s="5" t="str">
        <f aca="false">IF(D1148&lt;8,"LOW SAMPLE",IF(F1148&gt;H1148*(1+Assumptions!$B$10),"UNDERPAID",IF(F1148&lt;G1148*(1-Assumptions!$B$10),"OVERPAID","FAIR")))</f>
        <v>FAIR</v>
      </c>
      <c r="K1148" s="5" t="n">
        <v>140</v>
      </c>
    </row>
    <row r="1149" customFormat="false" ht="15" hidden="false" customHeight="false" outlineLevel="0" collapsed="false">
      <c r="A1149" s="5" t="n">
        <v>2022</v>
      </c>
      <c r="B1149" s="5" t="s">
        <v>491</v>
      </c>
      <c r="C1149" s="5" t="s">
        <v>513</v>
      </c>
      <c r="D1149" s="5" t="n">
        <v>22</v>
      </c>
      <c r="E1149" s="13" t="n">
        <v>5.12</v>
      </c>
      <c r="F1149" s="14" t="n">
        <f aca="false">E1149*Assumptions!$D$5</f>
        <v>689.677005725908</v>
      </c>
      <c r="G1149" s="14" t="n">
        <v>345</v>
      </c>
      <c r="H1149" s="14" t="n">
        <v>450</v>
      </c>
      <c r="I1149" s="14" t="n">
        <f aca="false">F1149-(G1149+H1149)/2</f>
        <v>292.177005725908</v>
      </c>
      <c r="J1149" s="5" t="str">
        <f aca="false">IF(D1149&lt;8,"LOW SAMPLE",IF(F1149&gt;H1149*(1+Assumptions!$B$10),"UNDERPAID",IF(F1149&lt;G1149*(1-Assumptions!$B$10),"OVERPAID","FAIR")))</f>
        <v>UNDERPAID</v>
      </c>
      <c r="K1149" s="5" t="n">
        <v>95</v>
      </c>
    </row>
    <row r="1150" customFormat="false" ht="15" hidden="false" customHeight="false" outlineLevel="0" collapsed="false">
      <c r="A1150" s="5" t="n">
        <v>2022</v>
      </c>
      <c r="B1150" s="5" t="s">
        <v>491</v>
      </c>
      <c r="C1150" s="5" t="s">
        <v>795</v>
      </c>
      <c r="D1150" s="5" t="n">
        <v>7</v>
      </c>
      <c r="E1150" s="13" t="n">
        <v>1.16</v>
      </c>
      <c r="F1150" s="14" t="n">
        <f aca="false">E1150*Assumptions!$D$5</f>
        <v>156.254946609776</v>
      </c>
      <c r="G1150" s="14" t="n">
        <v>225</v>
      </c>
      <c r="H1150" s="14" t="n">
        <v>345</v>
      </c>
      <c r="I1150" s="14" t="n">
        <f aca="false">F1150-(G1150+H1150)/2</f>
        <v>-128.745053390224</v>
      </c>
      <c r="J1150" s="5" t="str">
        <f aca="false">IF(D1150&lt;8,"LOW SAMPLE",IF(F1150&gt;H1150*(1+Assumptions!$B$10),"UNDERPAID",IF(F1150&lt;G1150*(1-Assumptions!$B$10),"OVERPAID","FAIR")))</f>
        <v>LOW SAMPLE</v>
      </c>
      <c r="K1150" s="5" t="n">
        <v>0</v>
      </c>
    </row>
    <row r="1151" customFormat="false" ht="15" hidden="false" customHeight="false" outlineLevel="0" collapsed="false">
      <c r="A1151" s="5" t="n">
        <v>2022</v>
      </c>
      <c r="B1151" s="5" t="s">
        <v>491</v>
      </c>
      <c r="C1151" s="5" t="s">
        <v>514</v>
      </c>
      <c r="D1151" s="5" t="n">
        <v>3</v>
      </c>
      <c r="E1151" s="13" t="n">
        <v>0.31</v>
      </c>
      <c r="F1151" s="14" t="n">
        <f aca="false">E1151*Assumptions!$D$5</f>
        <v>41.7577874560608</v>
      </c>
      <c r="G1151" s="14" t="n">
        <v>225</v>
      </c>
      <c r="H1151" s="14" t="n">
        <v>345</v>
      </c>
      <c r="I1151" s="14" t="n">
        <f aca="false">F1151-(G1151+H1151)/2</f>
        <v>-243.242212543939</v>
      </c>
      <c r="J1151" s="5" t="str">
        <f aca="false">IF(D1151&lt;8,"LOW SAMPLE",IF(F1151&gt;H1151*(1+Assumptions!$B$10),"UNDERPAID",IF(F1151&lt;G1151*(1-Assumptions!$B$10),"OVERPAID","FAIR")))</f>
        <v>LOW SAMPLE</v>
      </c>
      <c r="K1151" s="5" t="n">
        <v>79</v>
      </c>
    </row>
    <row r="1152" customFormat="false" ht="15" hidden="false" customHeight="false" outlineLevel="0" collapsed="false">
      <c r="A1152" s="5" t="n">
        <v>2022</v>
      </c>
      <c r="B1152" s="5" t="s">
        <v>491</v>
      </c>
      <c r="C1152" s="5" t="s">
        <v>515</v>
      </c>
      <c r="D1152" s="5" t="n">
        <v>22</v>
      </c>
      <c r="E1152" s="13" t="n">
        <v>4.76</v>
      </c>
      <c r="F1152" s="14" t="n">
        <f aca="false">E1152*Assumptions!$D$5</f>
        <v>641.184091260805</v>
      </c>
      <c r="G1152" s="14" t="n">
        <v>450</v>
      </c>
      <c r="H1152" s="14" t="n">
        <v>615</v>
      </c>
      <c r="I1152" s="14" t="n">
        <f aca="false">F1152-(G1152+H1152)/2</f>
        <v>108.684091260805</v>
      </c>
      <c r="J1152" s="5" t="str">
        <f aca="false">IF(D1152&lt;8,"LOW SAMPLE",IF(F1152&gt;H1152*(1+Assumptions!$B$10),"UNDERPAID",IF(F1152&lt;G1152*(1-Assumptions!$B$10),"OVERPAID","FAIR")))</f>
        <v>FAIR</v>
      </c>
      <c r="K1152" s="5" t="n">
        <v>92</v>
      </c>
    </row>
    <row r="1153" customFormat="false" ht="15" hidden="false" customHeight="false" outlineLevel="0" collapsed="false">
      <c r="A1153" s="5" t="n">
        <v>2022</v>
      </c>
      <c r="B1153" s="5" t="s">
        <v>491</v>
      </c>
      <c r="C1153" s="5" t="s">
        <v>796</v>
      </c>
      <c r="D1153" s="5" t="n">
        <v>2</v>
      </c>
      <c r="E1153" s="13" t="n">
        <v>0.27</v>
      </c>
      <c r="F1153" s="14" t="n">
        <f aca="false">E1153*Assumptions!$D$5</f>
        <v>36.3696858488272</v>
      </c>
      <c r="G1153" s="14" t="n">
        <v>125</v>
      </c>
      <c r="H1153" s="14" t="n">
        <v>225</v>
      </c>
      <c r="I1153" s="14" t="n">
        <f aca="false">F1153-(G1153+H1153)/2</f>
        <v>-138.630314151173</v>
      </c>
      <c r="J1153" s="5" t="str">
        <f aca="false">IF(D1153&lt;8,"LOW SAMPLE",IF(F1153&gt;H1153*(1+Assumptions!$B$10),"UNDERPAID",IF(F1153&lt;G1153*(1-Assumptions!$B$10),"OVERPAID","FAIR")))</f>
        <v>LOW SAMPLE</v>
      </c>
      <c r="K1153" s="5" t="n">
        <v>3</v>
      </c>
    </row>
    <row r="1154" customFormat="false" ht="15" hidden="false" customHeight="false" outlineLevel="0" collapsed="false">
      <c r="A1154" s="5" t="n">
        <v>2022</v>
      </c>
      <c r="B1154" s="5" t="s">
        <v>491</v>
      </c>
      <c r="C1154" s="5" t="s">
        <v>516</v>
      </c>
      <c r="D1154" s="5" t="n">
        <v>4</v>
      </c>
      <c r="E1154" s="13" t="n">
        <v>0.82</v>
      </c>
      <c r="F1154" s="14" t="n">
        <f aca="false">E1154*Assumptions!$D$5</f>
        <v>110.45608294829</v>
      </c>
      <c r="G1154" s="14" t="n">
        <v>450</v>
      </c>
      <c r="H1154" s="14" t="n">
        <v>615</v>
      </c>
      <c r="I1154" s="14" t="n">
        <f aca="false">F1154-(G1154+H1154)/2</f>
        <v>-422.04391705171</v>
      </c>
      <c r="J1154" s="5" t="str">
        <f aca="false">IF(D1154&lt;8,"LOW SAMPLE",IF(F1154&gt;H1154*(1+Assumptions!$B$10),"UNDERPAID",IF(F1154&lt;G1154*(1-Assumptions!$B$10),"OVERPAID","FAIR")))</f>
        <v>LOW SAMPLE</v>
      </c>
      <c r="K1154" s="5" t="n">
        <v>106</v>
      </c>
    </row>
    <row r="1155" customFormat="false" ht="15" hidden="false" customHeight="false" outlineLevel="0" collapsed="false">
      <c r="A1155" s="5" t="n">
        <v>2022</v>
      </c>
      <c r="B1155" s="5" t="s">
        <v>491</v>
      </c>
      <c r="C1155" s="5" t="s">
        <v>517</v>
      </c>
      <c r="D1155" s="5" t="n">
        <v>14</v>
      </c>
      <c r="E1155" s="13" t="n">
        <v>2.14</v>
      </c>
      <c r="F1155" s="14" t="n">
        <f aca="false">E1155*Assumptions!$D$5</f>
        <v>288.263435987001</v>
      </c>
      <c r="G1155" s="14" t="n">
        <v>345</v>
      </c>
      <c r="H1155" s="14" t="n">
        <v>450</v>
      </c>
      <c r="I1155" s="14" t="n">
        <f aca="false">F1155-(G1155+H1155)/2</f>
        <v>-109.236564012999</v>
      </c>
      <c r="J1155" s="5" t="str">
        <f aca="false">IF(D1155&lt;8,"LOW SAMPLE",IF(F1155&gt;H1155*(1+Assumptions!$B$10),"UNDERPAID",IF(F1155&lt;G1155*(1-Assumptions!$B$10),"OVERPAID","FAIR")))</f>
        <v>OVERPAID</v>
      </c>
      <c r="K1155" s="5" t="n">
        <v>135</v>
      </c>
    </row>
    <row r="1156" customFormat="false" ht="15" hidden="false" customHeight="false" outlineLevel="0" collapsed="false">
      <c r="A1156" s="5" t="n">
        <v>2022</v>
      </c>
      <c r="B1156" s="5" t="s">
        <v>491</v>
      </c>
      <c r="C1156" s="5" t="s">
        <v>518</v>
      </c>
      <c r="D1156" s="5" t="n">
        <v>21</v>
      </c>
      <c r="E1156" s="13" t="n">
        <v>5.47</v>
      </c>
      <c r="F1156" s="14" t="n">
        <f aca="false">E1156*Assumptions!$D$5</f>
        <v>736.822894789203</v>
      </c>
      <c r="G1156" s="14" t="n">
        <v>345</v>
      </c>
      <c r="H1156" s="14" t="n">
        <v>450</v>
      </c>
      <c r="I1156" s="14" t="n">
        <f aca="false">F1156-(G1156+H1156)/2</f>
        <v>339.322894789202</v>
      </c>
      <c r="J1156" s="5" t="str">
        <f aca="false">IF(D1156&lt;8,"LOW SAMPLE",IF(F1156&gt;H1156*(1+Assumptions!$B$10),"UNDERPAID",IF(F1156&lt;G1156*(1-Assumptions!$B$10),"OVERPAID","FAIR")))</f>
        <v>UNDERPAID</v>
      </c>
      <c r="K1156" s="5" t="n">
        <v>55</v>
      </c>
    </row>
    <row r="1157" customFormat="false" ht="15" hidden="false" customHeight="false" outlineLevel="0" collapsed="false">
      <c r="A1157" s="5" t="n">
        <v>2022</v>
      </c>
      <c r="B1157" s="5" t="s">
        <v>491</v>
      </c>
      <c r="C1157" s="5" t="s">
        <v>519</v>
      </c>
      <c r="D1157" s="5" t="n">
        <v>13</v>
      </c>
      <c r="E1157" s="13" t="n">
        <v>1.98</v>
      </c>
      <c r="F1157" s="14" t="n">
        <f aca="false">E1157*Assumptions!$D$5</f>
        <v>266.711029558066</v>
      </c>
      <c r="G1157" s="14" t="n">
        <v>345</v>
      </c>
      <c r="H1157" s="14" t="n">
        <v>450</v>
      </c>
      <c r="I1157" s="14" t="n">
        <f aca="false">F1157-(G1157+H1157)/2</f>
        <v>-130.788970441934</v>
      </c>
      <c r="J1157" s="5" t="str">
        <f aca="false">IF(D1157&lt;8,"LOW SAMPLE",IF(F1157&gt;H1157*(1+Assumptions!$B$10),"UNDERPAID",IF(F1157&lt;G1157*(1-Assumptions!$B$10),"OVERPAID","FAIR")))</f>
        <v>OVERPAID</v>
      </c>
      <c r="K1157" s="5" t="n">
        <v>109</v>
      </c>
    </row>
    <row r="1158" customFormat="false" ht="15" hidden="false" customHeight="false" outlineLevel="0" collapsed="false">
      <c r="A1158" s="5" t="n">
        <v>2022</v>
      </c>
      <c r="B1158" s="5" t="s">
        <v>491</v>
      </c>
      <c r="C1158" s="5" t="s">
        <v>520</v>
      </c>
      <c r="D1158" s="5" t="n">
        <v>21</v>
      </c>
      <c r="E1158" s="13" t="n">
        <v>4.01</v>
      </c>
      <c r="F1158" s="14" t="n">
        <f aca="false">E1158*Assumptions!$D$5</f>
        <v>540.157186125174</v>
      </c>
      <c r="G1158" s="14" t="n">
        <v>615</v>
      </c>
      <c r="H1158" s="14" t="n">
        <v>855</v>
      </c>
      <c r="I1158" s="14" t="n">
        <f aca="false">F1158-(G1158+H1158)/2</f>
        <v>-194.842813874826</v>
      </c>
      <c r="J1158" s="5" t="str">
        <f aca="false">IF(D1158&lt;8,"LOW SAMPLE",IF(F1158&gt;H1158*(1+Assumptions!$B$10),"UNDERPAID",IF(F1158&lt;G1158*(1-Assumptions!$B$10),"OVERPAID","FAIR")))</f>
        <v>FAIR</v>
      </c>
      <c r="K1158" s="5" t="n">
        <v>126</v>
      </c>
    </row>
    <row r="1159" customFormat="false" ht="15" hidden="false" customHeight="false" outlineLevel="0" collapsed="false">
      <c r="A1159" s="5" t="n">
        <v>2022</v>
      </c>
      <c r="B1159" s="5" t="s">
        <v>491</v>
      </c>
      <c r="C1159" s="5" t="s">
        <v>522</v>
      </c>
      <c r="D1159" s="5" t="n">
        <v>21</v>
      </c>
      <c r="E1159" s="13" t="n">
        <v>6.27</v>
      </c>
      <c r="F1159" s="14" t="n">
        <f aca="false">E1159*Assumptions!$D$5</f>
        <v>844.584926933876</v>
      </c>
      <c r="G1159" s="14" t="n">
        <v>855</v>
      </c>
      <c r="H1159" s="14" t="n">
        <v>1170</v>
      </c>
      <c r="I1159" s="14" t="n">
        <f aca="false">F1159-(G1159+H1159)/2</f>
        <v>-167.915073066124</v>
      </c>
      <c r="J1159" s="5" t="str">
        <f aca="false">IF(D1159&lt;8,"LOW SAMPLE",IF(F1159&gt;H1159*(1+Assumptions!$B$10),"UNDERPAID",IF(F1159&lt;G1159*(1-Assumptions!$B$10),"OVERPAID","FAIR")))</f>
        <v>FAIR</v>
      </c>
      <c r="K1159" s="5" t="n">
        <v>151</v>
      </c>
    </row>
    <row r="1160" customFormat="false" ht="15" hidden="false" customHeight="false" outlineLevel="0" collapsed="false">
      <c r="A1160" s="5" t="n">
        <v>2022</v>
      </c>
      <c r="B1160" s="5" t="s">
        <v>491</v>
      </c>
      <c r="C1160" s="5" t="s">
        <v>488</v>
      </c>
      <c r="D1160" s="5" t="n">
        <v>8</v>
      </c>
      <c r="E1160" s="13" t="n">
        <v>1.21</v>
      </c>
      <c r="F1160" s="14" t="n">
        <f aca="false">E1160*Assumptions!$D$5</f>
        <v>162.990073618818</v>
      </c>
      <c r="G1160" s="14" t="n">
        <v>345</v>
      </c>
      <c r="H1160" s="14" t="n">
        <v>450</v>
      </c>
      <c r="I1160" s="14" t="n">
        <f aca="false">F1160-(G1160+H1160)/2</f>
        <v>-234.509926381182</v>
      </c>
      <c r="J1160" s="5" t="str">
        <f aca="false">IF(D1160&lt;8,"LOW SAMPLE",IF(F1160&gt;H1160*(1+Assumptions!$B$10),"UNDERPAID",IF(F1160&lt;G1160*(1-Assumptions!$B$10),"OVERPAID","FAIR")))</f>
        <v>OVERPAID</v>
      </c>
      <c r="K1160" s="5" t="n">
        <v>113</v>
      </c>
    </row>
    <row r="1161" customFormat="false" ht="15" hidden="false" customHeight="false" outlineLevel="0" collapsed="false">
      <c r="A1161" s="5" t="n">
        <v>2022</v>
      </c>
      <c r="B1161" s="5" t="s">
        <v>491</v>
      </c>
      <c r="C1161" s="5" t="s">
        <v>523</v>
      </c>
      <c r="D1161" s="5" t="n">
        <v>7</v>
      </c>
      <c r="E1161" s="13" t="n">
        <v>1.12</v>
      </c>
      <c r="F1161" s="14" t="n">
        <f aca="false">E1161*Assumptions!$D$5</f>
        <v>150.866845002542</v>
      </c>
      <c r="G1161" s="14" t="n">
        <v>345</v>
      </c>
      <c r="H1161" s="14" t="n">
        <v>450</v>
      </c>
      <c r="I1161" s="14" t="n">
        <f aca="false">F1161-(G1161+H1161)/2</f>
        <v>-246.633154997458</v>
      </c>
      <c r="J1161" s="5" t="str">
        <f aca="false">IF(D1161&lt;8,"LOW SAMPLE",IF(F1161&gt;H1161*(1+Assumptions!$B$10),"UNDERPAID",IF(F1161&lt;G1161*(1-Assumptions!$B$10),"OVERPAID","FAIR")))</f>
        <v>LOW SAMPLE</v>
      </c>
      <c r="K1161" s="5" t="n">
        <v>63</v>
      </c>
    </row>
    <row r="1162" customFormat="false" ht="15" hidden="false" customHeight="false" outlineLevel="0" collapsed="false">
      <c r="A1162" s="5" t="n">
        <v>2022</v>
      </c>
      <c r="B1162" s="5" t="s">
        <v>491</v>
      </c>
      <c r="C1162" s="5" t="s">
        <v>524</v>
      </c>
      <c r="D1162" s="5" t="n">
        <v>22</v>
      </c>
      <c r="E1162" s="13" t="n">
        <v>4.56</v>
      </c>
      <c r="F1162" s="14" t="n">
        <f aca="false">E1162*Assumptions!$D$5</f>
        <v>614.243583224637</v>
      </c>
      <c r="G1162" s="14" t="n">
        <v>450</v>
      </c>
      <c r="H1162" s="14" t="n">
        <v>615</v>
      </c>
      <c r="I1162" s="14" t="n">
        <f aca="false">F1162-(G1162+H1162)/2</f>
        <v>81.7435832246367</v>
      </c>
      <c r="J1162" s="5" t="str">
        <f aca="false">IF(D1162&lt;8,"LOW SAMPLE",IF(F1162&gt;H1162*(1+Assumptions!$B$10),"UNDERPAID",IF(F1162&lt;G1162*(1-Assumptions!$B$10),"OVERPAID","FAIR")))</f>
        <v>FAIR</v>
      </c>
      <c r="K1162" s="5" t="n">
        <v>34</v>
      </c>
    </row>
    <row r="1163" customFormat="false" ht="15" hidden="false" customHeight="false" outlineLevel="0" collapsed="false">
      <c r="A1163" s="5" t="n">
        <v>2022</v>
      </c>
      <c r="B1163" s="5" t="s">
        <v>491</v>
      </c>
      <c r="C1163" s="5" t="s">
        <v>525</v>
      </c>
      <c r="D1163" s="5" t="n">
        <v>11</v>
      </c>
      <c r="E1163" s="13" t="n">
        <v>1.67</v>
      </c>
      <c r="F1163" s="14" t="n">
        <f aca="false">E1163*Assumptions!$D$5</f>
        <v>224.953242102005</v>
      </c>
      <c r="G1163" s="14" t="n">
        <v>345</v>
      </c>
      <c r="H1163" s="14" t="n">
        <v>450</v>
      </c>
      <c r="I1163" s="14" t="n">
        <f aca="false">F1163-(G1163+H1163)/2</f>
        <v>-172.546757897995</v>
      </c>
      <c r="J1163" s="5" t="str">
        <f aca="false">IF(D1163&lt;8,"LOW SAMPLE",IF(F1163&gt;H1163*(1+Assumptions!$B$10),"UNDERPAID",IF(F1163&lt;G1163*(1-Assumptions!$B$10),"OVERPAID","FAIR")))</f>
        <v>OVERPAID</v>
      </c>
      <c r="K1163" s="5" t="n">
        <v>46</v>
      </c>
    </row>
    <row r="1164" customFormat="false" ht="15" hidden="false" customHeight="false" outlineLevel="0" collapsed="false">
      <c r="A1164" s="5" t="n">
        <v>2022</v>
      </c>
      <c r="B1164" s="5" t="s">
        <v>491</v>
      </c>
      <c r="C1164" s="5" t="s">
        <v>526</v>
      </c>
      <c r="D1164" s="5" t="n">
        <v>20</v>
      </c>
      <c r="E1164" s="13" t="n">
        <v>4.75</v>
      </c>
      <c r="F1164" s="14" t="n">
        <f aca="false">E1164*Assumptions!$D$5</f>
        <v>639.837065858997</v>
      </c>
      <c r="G1164" s="14" t="n">
        <v>345</v>
      </c>
      <c r="H1164" s="14" t="n">
        <v>450</v>
      </c>
      <c r="I1164" s="14" t="n">
        <f aca="false">F1164-(G1164+H1164)/2</f>
        <v>242.337065858997</v>
      </c>
      <c r="J1164" s="5" t="str">
        <f aca="false">IF(D1164&lt;8,"LOW SAMPLE",IF(F1164&gt;H1164*(1+Assumptions!$B$10),"UNDERPAID",IF(F1164&lt;G1164*(1-Assumptions!$B$10),"OVERPAID","FAIR")))</f>
        <v>UNDERPAID</v>
      </c>
      <c r="K1164" s="5" t="n">
        <v>48</v>
      </c>
    </row>
    <row r="1165" customFormat="false" ht="15" hidden="false" customHeight="false" outlineLevel="0" collapsed="false">
      <c r="A1165" s="5" t="n">
        <v>2022</v>
      </c>
      <c r="B1165" s="5" t="s">
        <v>527</v>
      </c>
      <c r="C1165" s="5" t="s">
        <v>529</v>
      </c>
      <c r="D1165" s="5" t="n">
        <v>11</v>
      </c>
      <c r="E1165" s="13" t="n">
        <v>2.25</v>
      </c>
      <c r="F1165" s="14" t="n">
        <f aca="false">E1165*Assumptions!$D$5</f>
        <v>303.080715406893</v>
      </c>
      <c r="G1165" s="14" t="n">
        <v>125</v>
      </c>
      <c r="H1165" s="14" t="n">
        <v>225</v>
      </c>
      <c r="I1165" s="14" t="n">
        <f aca="false">F1165-(G1165+H1165)/2</f>
        <v>128.080715406893</v>
      </c>
      <c r="J1165" s="5" t="str">
        <f aca="false">IF(D1165&lt;8,"LOW SAMPLE",IF(F1165&gt;H1165*(1+Assumptions!$B$10),"UNDERPAID",IF(F1165&lt;G1165*(1-Assumptions!$B$10),"OVERPAID","FAIR")))</f>
        <v>UNDERPAID</v>
      </c>
      <c r="K1165" s="5" t="n">
        <v>1</v>
      </c>
    </row>
    <row r="1166" customFormat="false" ht="15" hidden="false" customHeight="false" outlineLevel="0" collapsed="false">
      <c r="A1166" s="5" t="n">
        <v>2022</v>
      </c>
      <c r="B1166" s="5" t="s">
        <v>527</v>
      </c>
      <c r="C1166" s="5" t="s">
        <v>797</v>
      </c>
      <c r="D1166" s="5" t="n">
        <v>1</v>
      </c>
      <c r="E1166" s="13" t="n">
        <v>0.15</v>
      </c>
      <c r="F1166" s="14" t="n">
        <f aca="false">E1166*Assumptions!$D$5</f>
        <v>20.2053810271262</v>
      </c>
      <c r="G1166" s="14" t="n">
        <v>225</v>
      </c>
      <c r="H1166" s="14" t="n">
        <v>345</v>
      </c>
      <c r="I1166" s="14" t="n">
        <f aca="false">F1166-(G1166+H1166)/2</f>
        <v>-264.794618972874</v>
      </c>
      <c r="J1166" s="5" t="str">
        <f aca="false">IF(D1166&lt;8,"LOW SAMPLE",IF(F1166&gt;H1166*(1+Assumptions!$B$10),"UNDERPAID",IF(F1166&lt;G1166*(1-Assumptions!$B$10),"OVERPAID","FAIR")))</f>
        <v>LOW SAMPLE</v>
      </c>
      <c r="K1166" s="5" t="n">
        <v>0</v>
      </c>
    </row>
    <row r="1167" customFormat="false" ht="15" hidden="false" customHeight="false" outlineLevel="0" collapsed="false">
      <c r="A1167" s="5" t="n">
        <v>2022</v>
      </c>
      <c r="B1167" s="5" t="s">
        <v>527</v>
      </c>
      <c r="C1167" s="5" t="s">
        <v>531</v>
      </c>
      <c r="D1167" s="5" t="n">
        <v>23</v>
      </c>
      <c r="E1167" s="13" t="n">
        <v>4.67</v>
      </c>
      <c r="F1167" s="14" t="n">
        <f aca="false">E1167*Assumptions!$D$5</f>
        <v>629.060862644529</v>
      </c>
      <c r="G1167" s="14" t="n">
        <v>345</v>
      </c>
      <c r="H1167" s="14" t="n">
        <v>450</v>
      </c>
      <c r="I1167" s="14" t="n">
        <f aca="false">F1167-(G1167+H1167)/2</f>
        <v>231.560862644529</v>
      </c>
      <c r="J1167" s="5" t="str">
        <f aca="false">IF(D1167&lt;8,"LOW SAMPLE",IF(F1167&gt;H1167*(1+Assumptions!$B$10),"UNDERPAID",IF(F1167&lt;G1167*(1-Assumptions!$B$10),"OVERPAID","FAIR")))</f>
        <v>UNDERPAID</v>
      </c>
      <c r="K1167" s="5" t="n">
        <v>114</v>
      </c>
    </row>
    <row r="1168" customFormat="false" ht="15" hidden="false" customHeight="false" outlineLevel="0" collapsed="false">
      <c r="A1168" s="5" t="n">
        <v>2022</v>
      </c>
      <c r="B1168" s="5" t="s">
        <v>527</v>
      </c>
      <c r="C1168" s="5" t="s">
        <v>534</v>
      </c>
      <c r="D1168" s="5" t="n">
        <v>19</v>
      </c>
      <c r="E1168" s="13" t="n">
        <v>5.26</v>
      </c>
      <c r="F1168" s="14" t="n">
        <f aca="false">E1168*Assumptions!$D$5</f>
        <v>708.535361351226</v>
      </c>
      <c r="G1168" s="14" t="n">
        <v>345</v>
      </c>
      <c r="H1168" s="14" t="n">
        <v>450</v>
      </c>
      <c r="I1168" s="14" t="n">
        <f aca="false">F1168-(G1168+H1168)/2</f>
        <v>311.035361351226</v>
      </c>
      <c r="J1168" s="5" t="str">
        <f aca="false">IF(D1168&lt;8,"LOW SAMPLE",IF(F1168&gt;H1168*(1+Assumptions!$B$10),"UNDERPAID",IF(F1168&lt;G1168*(1-Assumptions!$B$10),"OVERPAID","FAIR")))</f>
        <v>UNDERPAID</v>
      </c>
      <c r="K1168" s="5" t="n">
        <v>100</v>
      </c>
    </row>
    <row r="1169" customFormat="false" ht="15" hidden="false" customHeight="false" outlineLevel="0" collapsed="false">
      <c r="A1169" s="5" t="n">
        <v>2022</v>
      </c>
      <c r="B1169" s="5" t="s">
        <v>527</v>
      </c>
      <c r="C1169" s="5" t="s">
        <v>535</v>
      </c>
      <c r="D1169" s="5" t="n">
        <v>9</v>
      </c>
      <c r="E1169" s="13" t="n">
        <v>2.21</v>
      </c>
      <c r="F1169" s="14" t="n">
        <f aca="false">E1169*Assumptions!$D$5</f>
        <v>297.692613799659</v>
      </c>
      <c r="G1169" s="14" t="n">
        <v>855</v>
      </c>
      <c r="H1169" s="14" t="n">
        <v>1170</v>
      </c>
      <c r="I1169" s="14" t="n">
        <f aca="false">F1169-(G1169+H1169)/2</f>
        <v>-714.807386200341</v>
      </c>
      <c r="J1169" s="5" t="str">
        <f aca="false">IF(D1169&lt;8,"LOW SAMPLE",IF(F1169&gt;H1169*(1+Assumptions!$B$10),"UNDERPAID",IF(F1169&lt;G1169*(1-Assumptions!$B$10),"OVERPAID","FAIR")))</f>
        <v>OVERPAID</v>
      </c>
      <c r="K1169" s="5" t="n">
        <v>152</v>
      </c>
    </row>
    <row r="1170" customFormat="false" ht="15" hidden="false" customHeight="false" outlineLevel="0" collapsed="false">
      <c r="A1170" s="5" t="n">
        <v>2022</v>
      </c>
      <c r="B1170" s="5" t="s">
        <v>527</v>
      </c>
      <c r="C1170" s="5" t="s">
        <v>536</v>
      </c>
      <c r="D1170" s="5" t="n">
        <v>15</v>
      </c>
      <c r="E1170" s="13" t="n">
        <v>2.35</v>
      </c>
      <c r="F1170" s="14" t="n">
        <f aca="false">E1170*Assumptions!$D$5</f>
        <v>316.550969424977</v>
      </c>
      <c r="G1170" s="14" t="n">
        <v>450</v>
      </c>
      <c r="H1170" s="14" t="n">
        <v>615</v>
      </c>
      <c r="I1170" s="14" t="n">
        <f aca="false">F1170-(G1170+H1170)/2</f>
        <v>-215.949030575023</v>
      </c>
      <c r="J1170" s="5" t="str">
        <f aca="false">IF(D1170&lt;8,"LOW SAMPLE",IF(F1170&gt;H1170*(1+Assumptions!$B$10),"UNDERPAID",IF(F1170&lt;G1170*(1-Assumptions!$B$10),"OVERPAID","FAIR")))</f>
        <v>OVERPAID</v>
      </c>
      <c r="K1170" s="5" t="n">
        <v>147</v>
      </c>
    </row>
    <row r="1171" customFormat="false" ht="15" hidden="false" customHeight="false" outlineLevel="0" collapsed="false">
      <c r="A1171" s="5" t="n">
        <v>2022</v>
      </c>
      <c r="B1171" s="5" t="s">
        <v>527</v>
      </c>
      <c r="C1171" s="5" t="s">
        <v>537</v>
      </c>
      <c r="D1171" s="5" t="n">
        <v>13</v>
      </c>
      <c r="E1171" s="13" t="n">
        <v>1.88</v>
      </c>
      <c r="F1171" s="14" t="n">
        <f aca="false">E1171*Assumptions!$D$5</f>
        <v>253.240775539982</v>
      </c>
      <c r="G1171" s="14" t="n">
        <v>125</v>
      </c>
      <c r="H1171" s="14" t="n">
        <v>225</v>
      </c>
      <c r="I1171" s="14" t="n">
        <f aca="false">F1171-(G1171+H1171)/2</f>
        <v>78.2407755399818</v>
      </c>
      <c r="J1171" s="5" t="str">
        <f aca="false">IF(D1171&lt;8,"LOW SAMPLE",IF(F1171&gt;H1171*(1+Assumptions!$B$10),"UNDERPAID",IF(F1171&lt;G1171*(1-Assumptions!$B$10),"OVERPAID","FAIR")))</f>
        <v>FAIR</v>
      </c>
      <c r="K1171" s="5" t="n">
        <v>6</v>
      </c>
    </row>
    <row r="1172" customFormat="false" ht="15" hidden="false" customHeight="false" outlineLevel="0" collapsed="false">
      <c r="A1172" s="5" t="n">
        <v>2022</v>
      </c>
      <c r="B1172" s="5" t="s">
        <v>527</v>
      </c>
      <c r="C1172" s="5" t="s">
        <v>798</v>
      </c>
      <c r="D1172" s="5" t="n">
        <v>13</v>
      </c>
      <c r="E1172" s="13" t="n">
        <v>2.1</v>
      </c>
      <c r="F1172" s="14" t="n">
        <f aca="false">E1172*Assumptions!$D$5</f>
        <v>282.875334379767</v>
      </c>
      <c r="G1172" s="14" t="n">
        <v>345</v>
      </c>
      <c r="H1172" s="14" t="n">
        <v>450</v>
      </c>
      <c r="I1172" s="14" t="n">
        <f aca="false">F1172-(G1172+H1172)/2</f>
        <v>-114.624665620233</v>
      </c>
      <c r="J1172" s="5" t="str">
        <f aca="false">IF(D1172&lt;8,"LOW SAMPLE",IF(F1172&gt;H1172*(1+Assumptions!$B$10),"UNDERPAID",IF(F1172&lt;G1172*(1-Assumptions!$B$10),"OVERPAID","FAIR")))</f>
        <v>OVERPAID</v>
      </c>
      <c r="K1172" s="5" t="n">
        <v>36</v>
      </c>
    </row>
    <row r="1173" customFormat="false" ht="15" hidden="false" customHeight="false" outlineLevel="0" collapsed="false">
      <c r="A1173" s="5" t="n">
        <v>2022</v>
      </c>
      <c r="B1173" s="5" t="s">
        <v>527</v>
      </c>
      <c r="C1173" s="5" t="s">
        <v>538</v>
      </c>
      <c r="D1173" s="5" t="n">
        <v>20</v>
      </c>
      <c r="E1173" s="13" t="n">
        <v>4</v>
      </c>
      <c r="F1173" s="14" t="n">
        <f aca="false">E1173*Assumptions!$D$5</f>
        <v>538.810160723366</v>
      </c>
      <c r="G1173" s="14" t="n">
        <v>450</v>
      </c>
      <c r="H1173" s="14" t="n">
        <v>615</v>
      </c>
      <c r="I1173" s="14" t="n">
        <f aca="false">F1173-(G1173+H1173)/2</f>
        <v>6.31016072336558</v>
      </c>
      <c r="J1173" s="5" t="str">
        <f aca="false">IF(D1173&lt;8,"LOW SAMPLE",IF(F1173&gt;H1173*(1+Assumptions!$B$10),"UNDERPAID",IF(F1173&lt;G1173*(1-Assumptions!$B$10),"OVERPAID","FAIR")))</f>
        <v>FAIR</v>
      </c>
      <c r="K1173" s="5" t="n">
        <v>77</v>
      </c>
    </row>
    <row r="1174" customFormat="false" ht="15" hidden="false" customHeight="false" outlineLevel="0" collapsed="false">
      <c r="A1174" s="5" t="n">
        <v>2022</v>
      </c>
      <c r="B1174" s="5" t="s">
        <v>527</v>
      </c>
      <c r="C1174" s="5" t="s">
        <v>539</v>
      </c>
      <c r="D1174" s="5" t="n">
        <v>21</v>
      </c>
      <c r="E1174" s="13" t="n">
        <v>5.69</v>
      </c>
      <c r="F1174" s="14" t="n">
        <f aca="false">E1174*Assumptions!$D$5</f>
        <v>766.457453628988</v>
      </c>
      <c r="G1174" s="14" t="n">
        <v>615</v>
      </c>
      <c r="H1174" s="14" t="n">
        <v>855</v>
      </c>
      <c r="I1174" s="14" t="n">
        <f aca="false">F1174-(G1174+H1174)/2</f>
        <v>31.4574536289877</v>
      </c>
      <c r="J1174" s="5" t="str">
        <f aca="false">IF(D1174&lt;8,"LOW SAMPLE",IF(F1174&gt;H1174*(1+Assumptions!$B$10),"UNDERPAID",IF(F1174&lt;G1174*(1-Assumptions!$B$10),"OVERPAID","FAIR")))</f>
        <v>FAIR</v>
      </c>
      <c r="K1174" s="5" t="n">
        <v>148</v>
      </c>
    </row>
    <row r="1175" customFormat="false" ht="15" hidden="false" customHeight="false" outlineLevel="0" collapsed="false">
      <c r="A1175" s="5" t="n">
        <v>2022</v>
      </c>
      <c r="B1175" s="5" t="s">
        <v>527</v>
      </c>
      <c r="C1175" s="5" t="s">
        <v>540</v>
      </c>
      <c r="D1175" s="5" t="n">
        <v>15</v>
      </c>
      <c r="E1175" s="13" t="n">
        <v>2.39</v>
      </c>
      <c r="F1175" s="14" t="n">
        <f aca="false">E1175*Assumptions!$D$5</f>
        <v>321.939071032211</v>
      </c>
      <c r="G1175" s="14" t="n">
        <v>125</v>
      </c>
      <c r="H1175" s="14" t="n">
        <v>225</v>
      </c>
      <c r="I1175" s="14" t="n">
        <f aca="false">F1175-(G1175+H1175)/2</f>
        <v>146.939071032211</v>
      </c>
      <c r="J1175" s="5" t="str">
        <f aca="false">IF(D1175&lt;8,"LOW SAMPLE",IF(F1175&gt;H1175*(1+Assumptions!$B$10),"UNDERPAID",IF(F1175&lt;G1175*(1-Assumptions!$B$10),"OVERPAID","FAIR")))</f>
        <v>UNDERPAID</v>
      </c>
      <c r="K1175" s="5" t="n">
        <v>29</v>
      </c>
    </row>
    <row r="1176" customFormat="false" ht="15" hidden="false" customHeight="false" outlineLevel="0" collapsed="false">
      <c r="A1176" s="5" t="n">
        <v>2022</v>
      </c>
      <c r="B1176" s="5" t="s">
        <v>527</v>
      </c>
      <c r="C1176" s="5" t="s">
        <v>541</v>
      </c>
      <c r="D1176" s="5" t="n">
        <v>7</v>
      </c>
      <c r="E1176" s="13" t="n">
        <v>0.62</v>
      </c>
      <c r="F1176" s="14" t="n">
        <f aca="false">E1176*Assumptions!$D$5</f>
        <v>83.5155749121217</v>
      </c>
      <c r="G1176" s="14" t="n">
        <v>345</v>
      </c>
      <c r="H1176" s="14" t="n">
        <v>450</v>
      </c>
      <c r="I1176" s="14" t="n">
        <f aca="false">F1176-(G1176+H1176)/2</f>
        <v>-313.984425087878</v>
      </c>
      <c r="J1176" s="5" t="str">
        <f aca="false">IF(D1176&lt;8,"LOW SAMPLE",IF(F1176&gt;H1176*(1+Assumptions!$B$10),"UNDERPAID",IF(F1176&lt;G1176*(1-Assumptions!$B$10),"OVERPAID","FAIR")))</f>
        <v>LOW SAMPLE</v>
      </c>
      <c r="K1176" s="5" t="n">
        <v>35</v>
      </c>
    </row>
    <row r="1177" customFormat="false" ht="15" hidden="false" customHeight="false" outlineLevel="0" collapsed="false">
      <c r="A1177" s="5" t="n">
        <v>2022</v>
      </c>
      <c r="B1177" s="5" t="s">
        <v>527</v>
      </c>
      <c r="C1177" s="5" t="s">
        <v>542</v>
      </c>
      <c r="D1177" s="5" t="n">
        <v>16</v>
      </c>
      <c r="E1177" s="13" t="n">
        <v>2.22</v>
      </c>
      <c r="F1177" s="14" t="n">
        <f aca="false">E1177*Assumptions!$D$5</f>
        <v>299.039639201468</v>
      </c>
      <c r="G1177" s="14" t="n">
        <v>345</v>
      </c>
      <c r="H1177" s="14" t="n">
        <v>450</v>
      </c>
      <c r="I1177" s="14" t="n">
        <f aca="false">F1177-(G1177+H1177)/2</f>
        <v>-98.4603607985321</v>
      </c>
      <c r="J1177" s="5" t="str">
        <f aca="false">IF(D1177&lt;8,"LOW SAMPLE",IF(F1177&gt;H1177*(1+Assumptions!$B$10),"UNDERPAID",IF(F1177&lt;G1177*(1-Assumptions!$B$10),"OVERPAID","FAIR")))</f>
        <v>FAIR</v>
      </c>
      <c r="K1177" s="5" t="n">
        <v>118</v>
      </c>
    </row>
    <row r="1178" customFormat="false" ht="15" hidden="false" customHeight="false" outlineLevel="0" collapsed="false">
      <c r="A1178" s="5" t="n">
        <v>2022</v>
      </c>
      <c r="B1178" s="5" t="s">
        <v>527</v>
      </c>
      <c r="C1178" s="5" t="s">
        <v>543</v>
      </c>
      <c r="D1178" s="5" t="n">
        <v>23</v>
      </c>
      <c r="E1178" s="13" t="n">
        <v>5.7</v>
      </c>
      <c r="F1178" s="14" t="n">
        <f aca="false">E1178*Assumptions!$D$5</f>
        <v>767.804479030796</v>
      </c>
      <c r="G1178" s="14" t="n">
        <v>450</v>
      </c>
      <c r="H1178" s="14" t="n">
        <v>615</v>
      </c>
      <c r="I1178" s="14" t="n">
        <f aca="false">F1178-(G1178+H1178)/2</f>
        <v>235.304479030796</v>
      </c>
      <c r="J1178" s="5" t="str">
        <f aca="false">IF(D1178&lt;8,"LOW SAMPLE",IF(F1178&gt;H1178*(1+Assumptions!$B$10),"UNDERPAID",IF(F1178&lt;G1178*(1-Assumptions!$B$10),"OVERPAID","FAIR")))</f>
        <v>UNDERPAID</v>
      </c>
      <c r="K1178" s="5" t="n">
        <v>114</v>
      </c>
    </row>
    <row r="1179" customFormat="false" ht="15" hidden="false" customHeight="false" outlineLevel="0" collapsed="false">
      <c r="A1179" s="5" t="n">
        <v>2022</v>
      </c>
      <c r="B1179" s="5" t="s">
        <v>527</v>
      </c>
      <c r="C1179" s="5" t="s">
        <v>799</v>
      </c>
      <c r="D1179" s="5" t="n">
        <v>18</v>
      </c>
      <c r="E1179" s="13" t="n">
        <v>3.01</v>
      </c>
      <c r="F1179" s="14" t="n">
        <f aca="false">E1179*Assumptions!$D$5</f>
        <v>405.454645944333</v>
      </c>
      <c r="G1179" s="14" t="n">
        <v>225</v>
      </c>
      <c r="H1179" s="14" t="n">
        <v>345</v>
      </c>
      <c r="I1179" s="14" t="n">
        <f aca="false">F1179-(G1179+H1179)/2</f>
        <v>120.454645944333</v>
      </c>
      <c r="J1179" s="5" t="str">
        <f aca="false">IF(D1179&lt;8,"LOW SAMPLE",IF(F1179&gt;H1179*(1+Assumptions!$B$10),"UNDERPAID",IF(F1179&lt;G1179*(1-Assumptions!$B$10),"OVERPAID","FAIR")))</f>
        <v>UNDERPAID</v>
      </c>
      <c r="K1179" s="5" t="n">
        <v>0</v>
      </c>
    </row>
    <row r="1180" customFormat="false" ht="15" hidden="false" customHeight="false" outlineLevel="0" collapsed="false">
      <c r="A1180" s="5" t="n">
        <v>2022</v>
      </c>
      <c r="B1180" s="5" t="s">
        <v>527</v>
      </c>
      <c r="C1180" s="5" t="s">
        <v>800</v>
      </c>
      <c r="D1180" s="5" t="n">
        <v>3</v>
      </c>
      <c r="E1180" s="13" t="n">
        <v>0.39</v>
      </c>
      <c r="F1180" s="14" t="n">
        <f aca="false">E1180*Assumptions!$D$5</f>
        <v>52.5339906705282</v>
      </c>
      <c r="G1180" s="14" t="n">
        <v>225</v>
      </c>
      <c r="H1180" s="14" t="n">
        <v>345</v>
      </c>
      <c r="I1180" s="14" t="n">
        <f aca="false">F1180-(G1180+H1180)/2</f>
        <v>-232.466009329472</v>
      </c>
      <c r="J1180" s="5" t="str">
        <f aca="false">IF(D1180&lt;8,"LOW SAMPLE",IF(F1180&gt;H1180*(1+Assumptions!$B$10),"UNDERPAID",IF(F1180&lt;G1180*(1-Assumptions!$B$10),"OVERPAID","FAIR")))</f>
        <v>LOW SAMPLE</v>
      </c>
      <c r="K1180" s="5" t="n">
        <v>0</v>
      </c>
    </row>
    <row r="1181" customFormat="false" ht="15" hidden="false" customHeight="false" outlineLevel="0" collapsed="false">
      <c r="A1181" s="5" t="n">
        <v>2022</v>
      </c>
      <c r="B1181" s="5" t="s">
        <v>527</v>
      </c>
      <c r="C1181" s="5" t="s">
        <v>545</v>
      </c>
      <c r="D1181" s="5" t="n">
        <v>21</v>
      </c>
      <c r="E1181" s="13" t="n">
        <v>3.95</v>
      </c>
      <c r="F1181" s="14" t="n">
        <f aca="false">E1181*Assumptions!$D$5</f>
        <v>532.075033714324</v>
      </c>
      <c r="G1181" s="14" t="n">
        <v>345</v>
      </c>
      <c r="H1181" s="14" t="n">
        <v>450</v>
      </c>
      <c r="I1181" s="14" t="n">
        <f aca="false">F1181-(G1181+H1181)/2</f>
        <v>134.575033714324</v>
      </c>
      <c r="J1181" s="5" t="str">
        <f aca="false">IF(D1181&lt;8,"LOW SAMPLE",IF(F1181&gt;H1181*(1+Assumptions!$B$10),"UNDERPAID",IF(F1181&lt;G1181*(1-Assumptions!$B$10),"OVERPAID","FAIR")))</f>
        <v>UNDERPAID</v>
      </c>
      <c r="K1181" s="5" t="n">
        <v>125</v>
      </c>
    </row>
    <row r="1182" customFormat="false" ht="15" hidden="false" customHeight="false" outlineLevel="0" collapsed="false">
      <c r="A1182" s="5" t="n">
        <v>2022</v>
      </c>
      <c r="B1182" s="5" t="s">
        <v>527</v>
      </c>
      <c r="C1182" s="5" t="s">
        <v>546</v>
      </c>
      <c r="D1182" s="5" t="n">
        <v>7</v>
      </c>
      <c r="E1182" s="13" t="n">
        <v>0.73</v>
      </c>
      <c r="F1182" s="14" t="n">
        <f aca="false">E1182*Assumptions!$D$5</f>
        <v>98.3328543320142</v>
      </c>
      <c r="G1182" s="14" t="n">
        <v>450</v>
      </c>
      <c r="H1182" s="14" t="n">
        <v>615</v>
      </c>
      <c r="I1182" s="14" t="n">
        <f aca="false">F1182-(G1182+H1182)/2</f>
        <v>-434.167145667986</v>
      </c>
      <c r="J1182" s="5" t="str">
        <f aca="false">IF(D1182&lt;8,"LOW SAMPLE",IF(F1182&gt;H1182*(1+Assumptions!$B$10),"UNDERPAID",IF(F1182&lt;G1182*(1-Assumptions!$B$10),"OVERPAID","FAIR")))</f>
        <v>LOW SAMPLE</v>
      </c>
      <c r="K1182" s="5" t="n">
        <v>128</v>
      </c>
    </row>
    <row r="1183" customFormat="false" ht="15" hidden="false" customHeight="false" outlineLevel="0" collapsed="false">
      <c r="A1183" s="5" t="n">
        <v>2022</v>
      </c>
      <c r="B1183" s="5" t="s">
        <v>527</v>
      </c>
      <c r="C1183" s="5" t="s">
        <v>547</v>
      </c>
      <c r="D1183" s="5" t="n">
        <v>23</v>
      </c>
      <c r="E1183" s="13" t="n">
        <v>4.92</v>
      </c>
      <c r="F1183" s="14" t="n">
        <f aca="false">E1183*Assumptions!$D$5</f>
        <v>662.73649768974</v>
      </c>
      <c r="G1183" s="14" t="n">
        <v>450</v>
      </c>
      <c r="H1183" s="14" t="n">
        <v>615</v>
      </c>
      <c r="I1183" s="14" t="n">
        <f aca="false">F1183-(G1183+H1183)/2</f>
        <v>130.23649768974</v>
      </c>
      <c r="J1183" s="5" t="str">
        <f aca="false">IF(D1183&lt;8,"LOW SAMPLE",IF(F1183&gt;H1183*(1+Assumptions!$B$10),"UNDERPAID",IF(F1183&lt;G1183*(1-Assumptions!$B$10),"OVERPAID","FAIR")))</f>
        <v>FAIR</v>
      </c>
      <c r="K1183" s="5" t="n">
        <v>64</v>
      </c>
    </row>
    <row r="1184" customFormat="false" ht="15" hidden="false" customHeight="false" outlineLevel="0" collapsed="false">
      <c r="A1184" s="5" t="n">
        <v>2022</v>
      </c>
      <c r="B1184" s="5" t="s">
        <v>527</v>
      </c>
      <c r="C1184" s="5" t="s">
        <v>549</v>
      </c>
      <c r="D1184" s="5" t="n">
        <v>19</v>
      </c>
      <c r="E1184" s="13" t="n">
        <v>3.75</v>
      </c>
      <c r="F1184" s="14" t="n">
        <f aca="false">E1184*Assumptions!$D$5</f>
        <v>505.134525678155</v>
      </c>
      <c r="G1184" s="14" t="n">
        <v>345</v>
      </c>
      <c r="H1184" s="14" t="n">
        <v>450</v>
      </c>
      <c r="I1184" s="14" t="n">
        <f aca="false">F1184-(G1184+H1184)/2</f>
        <v>107.634525678155</v>
      </c>
      <c r="J1184" s="5" t="str">
        <f aca="false">IF(D1184&lt;8,"LOW SAMPLE",IF(F1184&gt;H1184*(1+Assumptions!$B$10),"UNDERPAID",IF(F1184&lt;G1184*(1-Assumptions!$B$10),"OVERPAID","FAIR")))</f>
        <v>FAIR</v>
      </c>
      <c r="K1184" s="5" t="n">
        <v>38</v>
      </c>
    </row>
    <row r="1185" customFormat="false" ht="15" hidden="false" customHeight="false" outlineLevel="0" collapsed="false">
      <c r="A1185" s="5" t="n">
        <v>2022</v>
      </c>
      <c r="B1185" s="5" t="s">
        <v>527</v>
      </c>
      <c r="C1185" s="5" t="s">
        <v>550</v>
      </c>
      <c r="D1185" s="5" t="n">
        <v>5</v>
      </c>
      <c r="E1185" s="13" t="n">
        <v>0.94</v>
      </c>
      <c r="F1185" s="14" t="n">
        <f aca="false">E1185*Assumptions!$D$5</f>
        <v>126.620387769991</v>
      </c>
      <c r="G1185" s="14" t="n">
        <v>125</v>
      </c>
      <c r="H1185" s="14" t="n">
        <v>225</v>
      </c>
      <c r="I1185" s="14" t="n">
        <f aca="false">F1185-(G1185+H1185)/2</f>
        <v>-48.3796122300091</v>
      </c>
      <c r="J1185" s="5" t="str">
        <f aca="false">IF(D1185&lt;8,"LOW SAMPLE",IF(F1185&gt;H1185*(1+Assumptions!$B$10),"UNDERPAID",IF(F1185&lt;G1185*(1-Assumptions!$B$10),"OVERPAID","FAIR")))</f>
        <v>LOW SAMPLE</v>
      </c>
      <c r="K1185" s="5" t="n">
        <v>25</v>
      </c>
    </row>
    <row r="1186" customFormat="false" ht="15" hidden="false" customHeight="false" outlineLevel="0" collapsed="false">
      <c r="A1186" s="5" t="n">
        <v>2022</v>
      </c>
      <c r="B1186" s="5" t="s">
        <v>527</v>
      </c>
      <c r="C1186" s="5" t="s">
        <v>551</v>
      </c>
      <c r="D1186" s="5" t="n">
        <v>15</v>
      </c>
      <c r="E1186" s="13" t="n">
        <v>2.3</v>
      </c>
      <c r="F1186" s="14" t="n">
        <f aca="false">E1186*Assumptions!$D$5</f>
        <v>309.815842415935</v>
      </c>
      <c r="G1186" s="14" t="n">
        <v>125</v>
      </c>
      <c r="H1186" s="14" t="n">
        <v>225</v>
      </c>
      <c r="I1186" s="14" t="n">
        <f aca="false">F1186-(G1186+H1186)/2</f>
        <v>134.815842415935</v>
      </c>
      <c r="J1186" s="5" t="str">
        <f aca="false">IF(D1186&lt;8,"LOW SAMPLE",IF(F1186&gt;H1186*(1+Assumptions!$B$10),"UNDERPAID",IF(F1186&lt;G1186*(1-Assumptions!$B$10),"OVERPAID","FAIR")))</f>
        <v>UNDERPAID</v>
      </c>
      <c r="K1186" s="5" t="n">
        <v>2</v>
      </c>
    </row>
    <row r="1187" customFormat="false" ht="15" hidden="false" customHeight="false" outlineLevel="0" collapsed="false">
      <c r="A1187" s="5" t="n">
        <v>2022</v>
      </c>
      <c r="B1187" s="5" t="s">
        <v>527</v>
      </c>
      <c r="C1187" s="5" t="s">
        <v>552</v>
      </c>
      <c r="D1187" s="5" t="n">
        <v>23</v>
      </c>
      <c r="E1187" s="13" t="n">
        <v>4.46</v>
      </c>
      <c r="F1187" s="14" t="n">
        <f aca="false">E1187*Assumptions!$D$5</f>
        <v>600.773329206553</v>
      </c>
      <c r="G1187" s="14" t="n">
        <v>345</v>
      </c>
      <c r="H1187" s="14" t="n">
        <v>450</v>
      </c>
      <c r="I1187" s="14" t="n">
        <f aca="false">F1187-(G1187+H1187)/2</f>
        <v>203.273329206553</v>
      </c>
      <c r="J1187" s="5" t="str">
        <f aca="false">IF(D1187&lt;8,"LOW SAMPLE",IF(F1187&gt;H1187*(1+Assumptions!$B$10),"UNDERPAID",IF(F1187&lt;G1187*(1-Assumptions!$B$10),"OVERPAID","FAIR")))</f>
        <v>UNDERPAID</v>
      </c>
      <c r="K1187" s="5" t="n">
        <v>84</v>
      </c>
    </row>
    <row r="1188" customFormat="false" ht="15" hidden="false" customHeight="false" outlineLevel="0" collapsed="false">
      <c r="A1188" s="5" t="n">
        <v>2022</v>
      </c>
      <c r="B1188" s="5" t="s">
        <v>527</v>
      </c>
      <c r="C1188" s="5" t="s">
        <v>553</v>
      </c>
      <c r="D1188" s="5" t="n">
        <v>17</v>
      </c>
      <c r="E1188" s="13" t="n">
        <v>4.06</v>
      </c>
      <c r="F1188" s="14" t="n">
        <f aca="false">E1188*Assumptions!$D$5</f>
        <v>546.892313134216</v>
      </c>
      <c r="G1188" s="14" t="n">
        <v>450</v>
      </c>
      <c r="H1188" s="14" t="n">
        <v>615</v>
      </c>
      <c r="I1188" s="14" t="n">
        <f aca="false">F1188-(G1188+H1188)/2</f>
        <v>14.392313134216</v>
      </c>
      <c r="J1188" s="5" t="str">
        <f aca="false">IF(D1188&lt;8,"LOW SAMPLE",IF(F1188&gt;H1188*(1+Assumptions!$B$10),"UNDERPAID",IF(F1188&lt;G1188*(1-Assumptions!$B$10),"OVERPAID","FAIR")))</f>
        <v>FAIR</v>
      </c>
      <c r="K1188" s="5" t="n">
        <v>135</v>
      </c>
    </row>
    <row r="1189" customFormat="false" ht="15" hidden="false" customHeight="false" outlineLevel="0" collapsed="false">
      <c r="A1189" s="5" t="n">
        <v>2022</v>
      </c>
      <c r="B1189" s="5" t="s">
        <v>527</v>
      </c>
      <c r="C1189" s="5" t="s">
        <v>554</v>
      </c>
      <c r="D1189" s="5" t="n">
        <v>18</v>
      </c>
      <c r="E1189" s="13" t="n">
        <v>3.72</v>
      </c>
      <c r="F1189" s="14" t="n">
        <f aca="false">E1189*Assumptions!$D$5</f>
        <v>501.09344947273</v>
      </c>
      <c r="G1189" s="14" t="n">
        <v>345</v>
      </c>
      <c r="H1189" s="14" t="n">
        <v>450</v>
      </c>
      <c r="I1189" s="14" t="n">
        <f aca="false">F1189-(G1189+H1189)/2</f>
        <v>103.59344947273</v>
      </c>
      <c r="J1189" s="5" t="str">
        <f aca="false">IF(D1189&lt;8,"LOW SAMPLE",IF(F1189&gt;H1189*(1+Assumptions!$B$10),"UNDERPAID",IF(F1189&lt;G1189*(1-Assumptions!$B$10),"OVERPAID","FAIR")))</f>
        <v>FAIR</v>
      </c>
      <c r="K1189" s="5" t="n">
        <v>44</v>
      </c>
    </row>
    <row r="1190" customFormat="false" ht="15" hidden="false" customHeight="false" outlineLevel="0" collapsed="false">
      <c r="A1190" s="5" t="n">
        <v>2022</v>
      </c>
      <c r="B1190" s="5" t="s">
        <v>527</v>
      </c>
      <c r="C1190" s="5" t="s">
        <v>801</v>
      </c>
      <c r="D1190" s="5" t="n">
        <v>9</v>
      </c>
      <c r="E1190" s="13" t="n">
        <v>1.94</v>
      </c>
      <c r="F1190" s="14" t="n">
        <f aca="false">E1190*Assumptions!$D$5</f>
        <v>261.322927950832</v>
      </c>
      <c r="G1190" s="14" t="n">
        <v>225</v>
      </c>
      <c r="H1190" s="14" t="n">
        <v>345</v>
      </c>
      <c r="I1190" s="14" t="n">
        <f aca="false">F1190-(G1190+H1190)/2</f>
        <v>-23.6770720491677</v>
      </c>
      <c r="J1190" s="5" t="str">
        <f aca="false">IF(D1190&lt;8,"LOW SAMPLE",IF(F1190&gt;H1190*(1+Assumptions!$B$10),"UNDERPAID",IF(F1190&lt;G1190*(1-Assumptions!$B$10),"OVERPAID","FAIR")))</f>
        <v>FAIR</v>
      </c>
      <c r="K1190" s="5" t="n">
        <v>0</v>
      </c>
    </row>
    <row r="1191" customFormat="false" ht="15" hidden="false" customHeight="false" outlineLevel="0" collapsed="false">
      <c r="A1191" s="5" t="n">
        <v>2022</v>
      </c>
      <c r="B1191" s="5" t="s">
        <v>527</v>
      </c>
      <c r="C1191" s="5" t="s">
        <v>556</v>
      </c>
      <c r="D1191" s="5" t="n">
        <v>2</v>
      </c>
      <c r="E1191" s="13" t="n">
        <v>0.25</v>
      </c>
      <c r="F1191" s="14" t="n">
        <f aca="false">E1191*Assumptions!$D$5</f>
        <v>33.6756350452104</v>
      </c>
      <c r="G1191" s="14" t="n">
        <v>225</v>
      </c>
      <c r="H1191" s="14" t="n">
        <v>345</v>
      </c>
      <c r="I1191" s="14" t="n">
        <f aca="false">F1191-(G1191+H1191)/2</f>
        <v>-251.32436495479</v>
      </c>
      <c r="J1191" s="5" t="str">
        <f aca="false">IF(D1191&lt;8,"LOW SAMPLE",IF(F1191&gt;H1191*(1+Assumptions!$B$10),"UNDERPAID",IF(F1191&lt;G1191*(1-Assumptions!$B$10),"OVERPAID","FAIR")))</f>
        <v>LOW SAMPLE</v>
      </c>
      <c r="K1191" s="5" t="n">
        <v>13</v>
      </c>
    </row>
    <row r="1192" customFormat="false" ht="15" hidden="false" customHeight="false" outlineLevel="0" collapsed="false">
      <c r="A1192" s="5" t="n">
        <v>2022</v>
      </c>
      <c r="B1192" s="5" t="s">
        <v>527</v>
      </c>
      <c r="C1192" s="5" t="s">
        <v>557</v>
      </c>
      <c r="D1192" s="5" t="n">
        <v>2</v>
      </c>
      <c r="E1192" s="13" t="n">
        <v>0.26</v>
      </c>
      <c r="F1192" s="14" t="n">
        <f aca="false">E1192*Assumptions!$D$5</f>
        <v>35.0226604470188</v>
      </c>
      <c r="G1192" s="14" t="n">
        <v>225</v>
      </c>
      <c r="H1192" s="14" t="n">
        <v>345</v>
      </c>
      <c r="I1192" s="14" t="n">
        <f aca="false">F1192-(G1192+H1192)/2</f>
        <v>-249.977339552981</v>
      </c>
      <c r="J1192" s="5" t="str">
        <f aca="false">IF(D1192&lt;8,"LOW SAMPLE",IF(F1192&gt;H1192*(1+Assumptions!$B$10),"UNDERPAID",IF(F1192&lt;G1192*(1-Assumptions!$B$10),"OVERPAID","FAIR")))</f>
        <v>LOW SAMPLE</v>
      </c>
      <c r="K1192" s="5" t="n">
        <v>9</v>
      </c>
    </row>
    <row r="1193" customFormat="false" ht="15" hidden="false" customHeight="false" outlineLevel="0" collapsed="false">
      <c r="A1193" s="5" t="n">
        <v>2022</v>
      </c>
      <c r="B1193" s="5" t="s">
        <v>527</v>
      </c>
      <c r="C1193" s="5" t="s">
        <v>481</v>
      </c>
      <c r="D1193" s="5" t="n">
        <v>20</v>
      </c>
      <c r="E1193" s="13" t="n">
        <v>3.14</v>
      </c>
      <c r="F1193" s="14" t="n">
        <f aca="false">E1193*Assumptions!$D$5</f>
        <v>422.965976167842</v>
      </c>
      <c r="G1193" s="14" t="n">
        <v>345</v>
      </c>
      <c r="H1193" s="14" t="n">
        <v>450</v>
      </c>
      <c r="I1193" s="14" t="n">
        <f aca="false">F1193-(G1193+H1193)/2</f>
        <v>25.465976167842</v>
      </c>
      <c r="J1193" s="5" t="str">
        <f aca="false">IF(D1193&lt;8,"LOW SAMPLE",IF(F1193&gt;H1193*(1+Assumptions!$B$10),"UNDERPAID",IF(F1193&lt;G1193*(1-Assumptions!$B$10),"OVERPAID","FAIR")))</f>
        <v>FAIR</v>
      </c>
      <c r="K1193" s="5" t="n">
        <v>135</v>
      </c>
    </row>
    <row r="1194" customFormat="false" ht="15" hidden="false" customHeight="false" outlineLevel="0" collapsed="false">
      <c r="A1194" s="5" t="n">
        <v>2022</v>
      </c>
      <c r="B1194" s="5" t="s">
        <v>527</v>
      </c>
      <c r="C1194" s="5" t="s">
        <v>560</v>
      </c>
      <c r="D1194" s="5" t="n">
        <v>23</v>
      </c>
      <c r="E1194" s="13" t="n">
        <v>7.04</v>
      </c>
      <c r="F1194" s="14" t="n">
        <f aca="false">E1194*Assumptions!$D$5</f>
        <v>948.305882873123</v>
      </c>
      <c r="G1194" s="14" t="n">
        <v>615</v>
      </c>
      <c r="H1194" s="14" t="n">
        <v>855</v>
      </c>
      <c r="I1194" s="14" t="n">
        <f aca="false">F1194-(G1194+H1194)/2</f>
        <v>213.305882873123</v>
      </c>
      <c r="J1194" s="5" t="str">
        <f aca="false">IF(D1194&lt;8,"LOW SAMPLE",IF(F1194&gt;H1194*(1+Assumptions!$B$10),"UNDERPAID",IF(F1194&lt;G1194*(1-Assumptions!$B$10),"OVERPAID","FAIR")))</f>
        <v>FAIR</v>
      </c>
      <c r="K1194" s="5" t="n">
        <v>67</v>
      </c>
    </row>
    <row r="1195" customFormat="false" ht="15" hidden="false" customHeight="false" outlineLevel="0" collapsed="false">
      <c r="A1195" s="5" t="n">
        <v>2022</v>
      </c>
      <c r="B1195" s="5" t="s">
        <v>527</v>
      </c>
      <c r="C1195" s="5" t="s">
        <v>561</v>
      </c>
      <c r="D1195" s="5" t="n">
        <v>22</v>
      </c>
      <c r="E1195" s="13" t="n">
        <v>3.39</v>
      </c>
      <c r="F1195" s="14" t="n">
        <f aca="false">E1195*Assumptions!$D$5</f>
        <v>456.641611213052</v>
      </c>
      <c r="G1195" s="14" t="n">
        <v>450</v>
      </c>
      <c r="H1195" s="14" t="n">
        <v>615</v>
      </c>
      <c r="I1195" s="14" t="n">
        <f aca="false">F1195-(G1195+H1195)/2</f>
        <v>-75.8583887869477</v>
      </c>
      <c r="J1195" s="5" t="str">
        <f aca="false">IF(D1195&lt;8,"LOW SAMPLE",IF(F1195&gt;H1195*(1+Assumptions!$B$10),"UNDERPAID",IF(F1195&lt;G1195*(1-Assumptions!$B$10),"OVERPAID","FAIR")))</f>
        <v>FAIR</v>
      </c>
      <c r="K1195" s="5" t="n">
        <v>129</v>
      </c>
    </row>
    <row r="1196" customFormat="false" ht="15" hidden="false" customHeight="false" outlineLevel="0" collapsed="false">
      <c r="A1196" s="5" t="n">
        <v>2022</v>
      </c>
      <c r="B1196" s="5" t="s">
        <v>527</v>
      </c>
      <c r="C1196" s="5" t="s">
        <v>562</v>
      </c>
      <c r="D1196" s="5" t="n">
        <v>2</v>
      </c>
      <c r="E1196" s="13" t="n">
        <v>0.13</v>
      </c>
      <c r="F1196" s="14" t="n">
        <f aca="false">E1196*Assumptions!$D$5</f>
        <v>17.5113302235094</v>
      </c>
      <c r="G1196" s="14" t="n">
        <v>225</v>
      </c>
      <c r="H1196" s="14" t="n">
        <v>345</v>
      </c>
      <c r="I1196" s="14" t="n">
        <f aca="false">F1196-(G1196+H1196)/2</f>
        <v>-267.488669776491</v>
      </c>
      <c r="J1196" s="5" t="str">
        <f aca="false">IF(D1196&lt;8,"LOW SAMPLE",IF(F1196&gt;H1196*(1+Assumptions!$B$10),"UNDERPAID",IF(F1196&lt;G1196*(1-Assumptions!$B$10),"OVERPAID","FAIR")))</f>
        <v>LOW SAMPLE</v>
      </c>
      <c r="K1196" s="5" t="n">
        <v>33</v>
      </c>
    </row>
    <row r="1197" customFormat="false" ht="15" hidden="false" customHeight="false" outlineLevel="0" collapsed="false">
      <c r="A1197" s="5" t="n">
        <v>2022</v>
      </c>
      <c r="B1197" s="5" t="s">
        <v>527</v>
      </c>
      <c r="C1197" s="5" t="s">
        <v>563</v>
      </c>
      <c r="D1197" s="5" t="n">
        <v>6</v>
      </c>
      <c r="E1197" s="13" t="n">
        <v>1.12</v>
      </c>
      <c r="F1197" s="14" t="n">
        <f aca="false">E1197*Assumptions!$D$5</f>
        <v>150.866845002542</v>
      </c>
      <c r="G1197" s="14" t="n">
        <v>125</v>
      </c>
      <c r="H1197" s="14" t="n">
        <v>225</v>
      </c>
      <c r="I1197" s="14" t="n">
        <f aca="false">F1197-(G1197+H1197)/2</f>
        <v>-24.1331549974576</v>
      </c>
      <c r="J1197" s="5" t="str">
        <f aca="false">IF(D1197&lt;8,"LOW SAMPLE",IF(F1197&gt;H1197*(1+Assumptions!$B$10),"UNDERPAID",IF(F1197&lt;G1197*(1-Assumptions!$B$10),"OVERPAID","FAIR")))</f>
        <v>LOW SAMPLE</v>
      </c>
      <c r="K1197" s="5" t="n">
        <v>7</v>
      </c>
    </row>
    <row r="1198" customFormat="false" ht="15" hidden="false" customHeight="false" outlineLevel="0" collapsed="false">
      <c r="A1198" s="5" t="n">
        <v>2022</v>
      </c>
      <c r="B1198" s="5" t="s">
        <v>527</v>
      </c>
      <c r="C1198" s="5" t="s">
        <v>564</v>
      </c>
      <c r="D1198" s="5" t="n">
        <v>23</v>
      </c>
      <c r="E1198" s="13" t="n">
        <v>6.29</v>
      </c>
      <c r="F1198" s="14" t="n">
        <f aca="false">E1198*Assumptions!$D$5</f>
        <v>847.278977737492</v>
      </c>
      <c r="G1198" s="14" t="n">
        <v>450</v>
      </c>
      <c r="H1198" s="14" t="n">
        <v>615</v>
      </c>
      <c r="I1198" s="14" t="n">
        <f aca="false">F1198-(G1198+H1198)/2</f>
        <v>314.778977737492</v>
      </c>
      <c r="J1198" s="5" t="str">
        <f aca="false">IF(D1198&lt;8,"LOW SAMPLE",IF(F1198&gt;H1198*(1+Assumptions!$B$10),"UNDERPAID",IF(F1198&lt;G1198*(1-Assumptions!$B$10),"OVERPAID","FAIR")))</f>
        <v>UNDERPAID</v>
      </c>
      <c r="K1198" s="5" t="n">
        <v>98</v>
      </c>
    </row>
    <row r="1199" customFormat="false" ht="15" hidden="false" customHeight="false" outlineLevel="0" collapsed="false">
      <c r="A1199" s="5" t="n">
        <v>2022</v>
      </c>
      <c r="B1199" s="5" t="s">
        <v>527</v>
      </c>
      <c r="C1199" s="5" t="s">
        <v>71</v>
      </c>
      <c r="D1199" s="5" t="n">
        <v>19</v>
      </c>
      <c r="E1199" s="13" t="n">
        <v>6.57</v>
      </c>
      <c r="F1199" s="14" t="n">
        <f aca="false">E1199*Assumptions!$D$5</f>
        <v>884.995688988128</v>
      </c>
      <c r="G1199" s="14" t="n">
        <v>1170</v>
      </c>
      <c r="H1199" s="14" t="n">
        <v>1530</v>
      </c>
      <c r="I1199" s="14" t="n">
        <f aca="false">F1199-(G1199+H1199)/2</f>
        <v>-465.004311011872</v>
      </c>
      <c r="J1199" s="5" t="str">
        <f aca="false">IF(D1199&lt;8,"LOW SAMPLE",IF(F1199&gt;H1199*(1+Assumptions!$B$10),"UNDERPAID",IF(F1199&lt;G1199*(1-Assumptions!$B$10),"OVERPAID","FAIR")))</f>
        <v>OVERPAID</v>
      </c>
      <c r="K1199" s="5" t="n">
        <v>260</v>
      </c>
    </row>
    <row r="1200" customFormat="false" ht="15" hidden="false" customHeight="false" outlineLevel="0" collapsed="false">
      <c r="A1200" s="5" t="n">
        <v>2022</v>
      </c>
      <c r="B1200" s="5" t="s">
        <v>527</v>
      </c>
      <c r="C1200" s="5" t="s">
        <v>565</v>
      </c>
      <c r="D1200" s="5" t="n">
        <v>19</v>
      </c>
      <c r="E1200" s="13" t="n">
        <v>4.83</v>
      </c>
      <c r="F1200" s="14" t="n">
        <f aca="false">E1200*Assumptions!$D$5</f>
        <v>650.613269073464</v>
      </c>
      <c r="G1200" s="14" t="n">
        <v>450</v>
      </c>
      <c r="H1200" s="14" t="n">
        <v>615</v>
      </c>
      <c r="I1200" s="14" t="n">
        <f aca="false">F1200-(G1200+H1200)/2</f>
        <v>118.113269073464</v>
      </c>
      <c r="J1200" s="5" t="str">
        <f aca="false">IF(D1200&lt;8,"LOW SAMPLE",IF(F1200&gt;H1200*(1+Assumptions!$B$10),"UNDERPAID",IF(F1200&lt;G1200*(1-Assumptions!$B$10),"OVERPAID","FAIR")))</f>
        <v>FAIR</v>
      </c>
      <c r="K1200" s="5" t="n">
        <v>137</v>
      </c>
    </row>
    <row r="1201" customFormat="false" ht="15" hidden="false" customHeight="false" outlineLevel="0" collapsed="false">
      <c r="A1201" s="5" t="n">
        <v>2022</v>
      </c>
      <c r="B1201" s="5" t="s">
        <v>527</v>
      </c>
      <c r="C1201" s="5" t="s">
        <v>802</v>
      </c>
      <c r="D1201" s="5" t="n">
        <v>7</v>
      </c>
      <c r="E1201" s="13" t="n">
        <v>1.34</v>
      </c>
      <c r="F1201" s="14" t="n">
        <f aca="false">E1201*Assumptions!$D$5</f>
        <v>180.501403842327</v>
      </c>
      <c r="G1201" s="14" t="n">
        <v>225</v>
      </c>
      <c r="H1201" s="14" t="n">
        <v>345</v>
      </c>
      <c r="I1201" s="14" t="n">
        <f aca="false">F1201-(G1201+H1201)/2</f>
        <v>-104.498596157673</v>
      </c>
      <c r="J1201" s="5" t="str">
        <f aca="false">IF(D1201&lt;8,"LOW SAMPLE",IF(F1201&gt;H1201*(1+Assumptions!$B$10),"UNDERPAID",IF(F1201&lt;G1201*(1-Assumptions!$B$10),"OVERPAID","FAIR")))</f>
        <v>LOW SAMPLE</v>
      </c>
      <c r="K1201" s="5" t="n">
        <v>0</v>
      </c>
    </row>
    <row r="1202" customFormat="false" ht="15" hidden="false" customHeight="false" outlineLevel="0" collapsed="false">
      <c r="A1202" s="5" t="n">
        <v>2022</v>
      </c>
      <c r="B1202" s="5" t="s">
        <v>567</v>
      </c>
      <c r="C1202" s="5" t="s">
        <v>568</v>
      </c>
      <c r="D1202" s="5" t="n">
        <v>19</v>
      </c>
      <c r="E1202" s="13" t="n">
        <v>3.05</v>
      </c>
      <c r="F1202" s="14" t="n">
        <f aca="false">E1202*Assumptions!$D$5</f>
        <v>410.842747551566</v>
      </c>
      <c r="G1202" s="14" t="n">
        <v>345</v>
      </c>
      <c r="H1202" s="14" t="n">
        <v>450</v>
      </c>
      <c r="I1202" s="14" t="n">
        <f aca="false">F1202-(G1202+H1202)/2</f>
        <v>13.3427475515662</v>
      </c>
      <c r="J1202" s="5" t="str">
        <f aca="false">IF(D1202&lt;8,"LOW SAMPLE",IF(F1202&gt;H1202*(1+Assumptions!$B$10),"UNDERPAID",IF(F1202&lt;G1202*(1-Assumptions!$B$10),"OVERPAID","FAIR")))</f>
        <v>FAIR</v>
      </c>
      <c r="K1202" s="5" t="n">
        <v>60</v>
      </c>
    </row>
    <row r="1203" customFormat="false" ht="15" hidden="false" customHeight="false" outlineLevel="0" collapsed="false">
      <c r="A1203" s="5" t="n">
        <v>2022</v>
      </c>
      <c r="B1203" s="5" t="s">
        <v>567</v>
      </c>
      <c r="C1203" s="5" t="s">
        <v>803</v>
      </c>
      <c r="D1203" s="5" t="n">
        <v>20</v>
      </c>
      <c r="E1203" s="13" t="n">
        <v>2.68</v>
      </c>
      <c r="F1203" s="14" t="n">
        <f aca="false">E1203*Assumptions!$D$5</f>
        <v>361.002807684655</v>
      </c>
      <c r="G1203" s="14" t="n">
        <v>345</v>
      </c>
      <c r="H1203" s="14" t="n">
        <v>450</v>
      </c>
      <c r="I1203" s="14" t="n">
        <f aca="false">F1203-(G1203+H1203)/2</f>
        <v>-36.497192315345</v>
      </c>
      <c r="J1203" s="5" t="str">
        <f aca="false">IF(D1203&lt;8,"LOW SAMPLE",IF(F1203&gt;H1203*(1+Assumptions!$B$10),"UNDERPAID",IF(F1203&lt;G1203*(1-Assumptions!$B$10),"OVERPAID","FAIR")))</f>
        <v>FAIR</v>
      </c>
      <c r="K1203" s="5" t="n">
        <v>35</v>
      </c>
    </row>
    <row r="1204" customFormat="false" ht="15" hidden="false" customHeight="false" outlineLevel="0" collapsed="false">
      <c r="A1204" s="5" t="n">
        <v>2022</v>
      </c>
      <c r="B1204" s="5" t="s">
        <v>567</v>
      </c>
      <c r="C1204" s="5" t="s">
        <v>569</v>
      </c>
      <c r="D1204" s="5" t="n">
        <v>21</v>
      </c>
      <c r="E1204" s="13" t="n">
        <v>5.7</v>
      </c>
      <c r="F1204" s="14" t="n">
        <f aca="false">E1204*Assumptions!$D$5</f>
        <v>767.804479030796</v>
      </c>
      <c r="G1204" s="14" t="n">
        <v>450</v>
      </c>
      <c r="H1204" s="14" t="n">
        <v>615</v>
      </c>
      <c r="I1204" s="14" t="n">
        <f aca="false">F1204-(G1204+H1204)/2</f>
        <v>235.304479030796</v>
      </c>
      <c r="J1204" s="5" t="str">
        <f aca="false">IF(D1204&lt;8,"LOW SAMPLE",IF(F1204&gt;H1204*(1+Assumptions!$B$10),"UNDERPAID",IF(F1204&lt;G1204*(1-Assumptions!$B$10),"OVERPAID","FAIR")))</f>
        <v>UNDERPAID</v>
      </c>
      <c r="K1204" s="5" t="n">
        <v>90</v>
      </c>
    </row>
    <row r="1205" customFormat="false" ht="15" hidden="false" customHeight="false" outlineLevel="0" collapsed="false">
      <c r="A1205" s="5" t="n">
        <v>2022</v>
      </c>
      <c r="B1205" s="5" t="s">
        <v>567</v>
      </c>
      <c r="C1205" s="5" t="s">
        <v>570</v>
      </c>
      <c r="D1205" s="5" t="n">
        <v>21</v>
      </c>
      <c r="E1205" s="13" t="n">
        <v>3.71</v>
      </c>
      <c r="F1205" s="14" t="n">
        <f aca="false">E1205*Assumptions!$D$5</f>
        <v>499.746424070922</v>
      </c>
      <c r="G1205" s="14" t="n">
        <v>450</v>
      </c>
      <c r="H1205" s="14" t="n">
        <v>615</v>
      </c>
      <c r="I1205" s="14" t="n">
        <f aca="false">F1205-(G1205+H1205)/2</f>
        <v>-32.7535759290784</v>
      </c>
      <c r="J1205" s="5" t="str">
        <f aca="false">IF(D1205&lt;8,"LOW SAMPLE",IF(F1205&gt;H1205*(1+Assumptions!$B$10),"UNDERPAID",IF(F1205&lt;G1205*(1-Assumptions!$B$10),"OVERPAID","FAIR")))</f>
        <v>FAIR</v>
      </c>
      <c r="K1205" s="5" t="n">
        <v>139</v>
      </c>
    </row>
    <row r="1206" customFormat="false" ht="15" hidden="false" customHeight="false" outlineLevel="0" collapsed="false">
      <c r="A1206" s="5" t="n">
        <v>2022</v>
      </c>
      <c r="B1206" s="5" t="s">
        <v>567</v>
      </c>
      <c r="C1206" s="5" t="s">
        <v>571</v>
      </c>
      <c r="D1206" s="5" t="n">
        <v>22</v>
      </c>
      <c r="E1206" s="13" t="n">
        <v>4.55</v>
      </c>
      <c r="F1206" s="14" t="n">
        <f aca="false">E1206*Assumptions!$D$5</f>
        <v>612.896557822828</v>
      </c>
      <c r="G1206" s="14" t="n">
        <v>450</v>
      </c>
      <c r="H1206" s="14" t="n">
        <v>615</v>
      </c>
      <c r="I1206" s="14" t="n">
        <f aca="false">F1206-(G1206+H1206)/2</f>
        <v>80.3965578228283</v>
      </c>
      <c r="J1206" s="5" t="str">
        <f aca="false">IF(D1206&lt;8,"LOW SAMPLE",IF(F1206&gt;H1206*(1+Assumptions!$B$10),"UNDERPAID",IF(F1206&lt;G1206*(1-Assumptions!$B$10),"OVERPAID","FAIR")))</f>
        <v>FAIR</v>
      </c>
      <c r="K1206" s="5" t="n">
        <v>63</v>
      </c>
    </row>
    <row r="1207" customFormat="false" ht="15" hidden="false" customHeight="false" outlineLevel="0" collapsed="false">
      <c r="A1207" s="5" t="n">
        <v>2022</v>
      </c>
      <c r="B1207" s="5" t="s">
        <v>567</v>
      </c>
      <c r="C1207" s="5" t="s">
        <v>572</v>
      </c>
      <c r="D1207" s="5" t="n">
        <v>10</v>
      </c>
      <c r="E1207" s="13" t="n">
        <v>1.33</v>
      </c>
      <c r="F1207" s="14" t="n">
        <f aca="false">E1207*Assumptions!$D$5</f>
        <v>179.154378440519</v>
      </c>
      <c r="G1207" s="14" t="n">
        <v>125</v>
      </c>
      <c r="H1207" s="14" t="n">
        <v>225</v>
      </c>
      <c r="I1207" s="14" t="n">
        <f aca="false">F1207-(G1207+H1207)/2</f>
        <v>4.15437844051905</v>
      </c>
      <c r="J1207" s="5" t="str">
        <f aca="false">IF(D1207&lt;8,"LOW SAMPLE",IF(F1207&gt;H1207*(1+Assumptions!$B$10),"UNDERPAID",IF(F1207&lt;G1207*(1-Assumptions!$B$10),"OVERPAID","FAIR")))</f>
        <v>FAIR</v>
      </c>
      <c r="K1207" s="5" t="n">
        <v>5</v>
      </c>
    </row>
    <row r="1208" customFormat="false" ht="15" hidden="false" customHeight="false" outlineLevel="0" collapsed="false">
      <c r="A1208" s="5" t="n">
        <v>2022</v>
      </c>
      <c r="B1208" s="5" t="s">
        <v>567</v>
      </c>
      <c r="C1208" s="5" t="s">
        <v>573</v>
      </c>
      <c r="D1208" s="5" t="n">
        <v>19</v>
      </c>
      <c r="E1208" s="13" t="n">
        <v>3.05</v>
      </c>
      <c r="F1208" s="14" t="n">
        <f aca="false">E1208*Assumptions!$D$5</f>
        <v>410.842747551566</v>
      </c>
      <c r="G1208" s="14" t="n">
        <v>450</v>
      </c>
      <c r="H1208" s="14" t="n">
        <v>615</v>
      </c>
      <c r="I1208" s="14" t="n">
        <f aca="false">F1208-(G1208+H1208)/2</f>
        <v>-121.657252448434</v>
      </c>
      <c r="J1208" s="5" t="str">
        <f aca="false">IF(D1208&lt;8,"LOW SAMPLE",IF(F1208&gt;H1208*(1+Assumptions!$B$10),"UNDERPAID",IF(F1208&lt;G1208*(1-Assumptions!$B$10),"OVERPAID","FAIR")))</f>
        <v>FAIR</v>
      </c>
      <c r="K1208" s="5" t="n">
        <v>86</v>
      </c>
    </row>
    <row r="1209" customFormat="false" ht="15" hidden="false" customHeight="false" outlineLevel="0" collapsed="false">
      <c r="A1209" s="5" t="n">
        <v>2022</v>
      </c>
      <c r="B1209" s="5" t="s">
        <v>567</v>
      </c>
      <c r="C1209" s="5" t="s">
        <v>574</v>
      </c>
      <c r="D1209" s="5" t="n">
        <v>3</v>
      </c>
      <c r="E1209" s="13" t="n">
        <v>0.62</v>
      </c>
      <c r="F1209" s="14" t="n">
        <f aca="false">E1209*Assumptions!$D$5</f>
        <v>83.5155749121217</v>
      </c>
      <c r="G1209" s="14" t="n">
        <v>345</v>
      </c>
      <c r="H1209" s="14" t="n">
        <v>450</v>
      </c>
      <c r="I1209" s="14" t="n">
        <f aca="false">F1209-(G1209+H1209)/2</f>
        <v>-313.984425087878</v>
      </c>
      <c r="J1209" s="5" t="str">
        <f aca="false">IF(D1209&lt;8,"LOW SAMPLE",IF(F1209&gt;H1209*(1+Assumptions!$B$10),"UNDERPAID",IF(F1209&lt;G1209*(1-Assumptions!$B$10),"OVERPAID","FAIR")))</f>
        <v>LOW SAMPLE</v>
      </c>
      <c r="K1209" s="5" t="n">
        <v>103</v>
      </c>
    </row>
    <row r="1210" customFormat="false" ht="15" hidden="false" customHeight="false" outlineLevel="0" collapsed="false">
      <c r="A1210" s="5" t="n">
        <v>2022</v>
      </c>
      <c r="B1210" s="5" t="s">
        <v>567</v>
      </c>
      <c r="C1210" s="5" t="s">
        <v>575</v>
      </c>
      <c r="D1210" s="5" t="n">
        <v>12</v>
      </c>
      <c r="E1210" s="13" t="n">
        <v>2.15</v>
      </c>
      <c r="F1210" s="14" t="n">
        <f aca="false">E1210*Assumptions!$D$5</f>
        <v>289.610461388809</v>
      </c>
      <c r="G1210" s="14" t="n">
        <v>225</v>
      </c>
      <c r="H1210" s="14" t="n">
        <v>345</v>
      </c>
      <c r="I1210" s="14" t="n">
        <f aca="false">F1210-(G1210+H1210)/2</f>
        <v>4.61046138880897</v>
      </c>
      <c r="J1210" s="5" t="str">
        <f aca="false">IF(D1210&lt;8,"LOW SAMPLE",IF(F1210&gt;H1210*(1+Assumptions!$B$10),"UNDERPAID",IF(F1210&lt;G1210*(1-Assumptions!$B$10),"OVERPAID","FAIR")))</f>
        <v>FAIR</v>
      </c>
      <c r="K1210" s="5" t="n">
        <v>61</v>
      </c>
    </row>
    <row r="1211" customFormat="false" ht="15" hidden="false" customHeight="false" outlineLevel="0" collapsed="false">
      <c r="A1211" s="5" t="n">
        <v>2022</v>
      </c>
      <c r="B1211" s="5" t="s">
        <v>567</v>
      </c>
      <c r="C1211" s="5" t="s">
        <v>576</v>
      </c>
      <c r="D1211" s="5" t="n">
        <v>3</v>
      </c>
      <c r="E1211" s="13" t="n">
        <v>0.33</v>
      </c>
      <c r="F1211" s="14" t="n">
        <f aca="false">E1211*Assumptions!$D$5</f>
        <v>44.4518382596777</v>
      </c>
      <c r="G1211" s="14" t="n">
        <v>125</v>
      </c>
      <c r="H1211" s="14" t="n">
        <v>225</v>
      </c>
      <c r="I1211" s="14" t="n">
        <f aca="false">F1211-(G1211+H1211)/2</f>
        <v>-130.548161740322</v>
      </c>
      <c r="J1211" s="5" t="str">
        <f aca="false">IF(D1211&lt;8,"LOW SAMPLE",IF(F1211&gt;H1211*(1+Assumptions!$B$10),"UNDERPAID",IF(F1211&lt;G1211*(1-Assumptions!$B$10),"OVERPAID","FAIR")))</f>
        <v>LOW SAMPLE</v>
      </c>
      <c r="K1211" s="5" t="n">
        <v>10</v>
      </c>
    </row>
    <row r="1212" customFormat="false" ht="15" hidden="false" customHeight="false" outlineLevel="0" collapsed="false">
      <c r="A1212" s="5" t="n">
        <v>2022</v>
      </c>
      <c r="B1212" s="5" t="s">
        <v>567</v>
      </c>
      <c r="C1212" s="5" t="s">
        <v>577</v>
      </c>
      <c r="D1212" s="5" t="n">
        <v>2</v>
      </c>
      <c r="E1212" s="13" t="n">
        <v>0.22</v>
      </c>
      <c r="F1212" s="14" t="n">
        <f aca="false">E1212*Assumptions!$D$5</f>
        <v>29.6345588397851</v>
      </c>
      <c r="G1212" s="14" t="n">
        <v>225</v>
      </c>
      <c r="H1212" s="14" t="n">
        <v>345</v>
      </c>
      <c r="I1212" s="14" t="n">
        <f aca="false">F1212-(G1212+H1212)/2</f>
        <v>-255.365441160215</v>
      </c>
      <c r="J1212" s="5" t="str">
        <f aca="false">IF(D1212&lt;8,"LOW SAMPLE",IF(F1212&gt;H1212*(1+Assumptions!$B$10),"UNDERPAID",IF(F1212&lt;G1212*(1-Assumptions!$B$10),"OVERPAID","FAIR")))</f>
        <v>LOW SAMPLE</v>
      </c>
      <c r="K1212" s="5" t="n">
        <v>70</v>
      </c>
    </row>
    <row r="1213" customFormat="false" ht="15" hidden="false" customHeight="false" outlineLevel="0" collapsed="false">
      <c r="A1213" s="5" t="n">
        <v>2022</v>
      </c>
      <c r="B1213" s="5" t="s">
        <v>567</v>
      </c>
      <c r="C1213" s="5" t="s">
        <v>578</v>
      </c>
      <c r="D1213" s="5" t="n">
        <v>17</v>
      </c>
      <c r="E1213" s="13" t="n">
        <v>3.9</v>
      </c>
      <c r="F1213" s="14" t="n">
        <f aca="false">E1213*Assumptions!$D$5</f>
        <v>525.339906705282</v>
      </c>
      <c r="G1213" s="14" t="n">
        <v>450</v>
      </c>
      <c r="H1213" s="14" t="n">
        <v>615</v>
      </c>
      <c r="I1213" s="14" t="n">
        <f aca="false">F1213-(G1213+H1213)/2</f>
        <v>-7.16009329471854</v>
      </c>
      <c r="J1213" s="5" t="str">
        <f aca="false">IF(D1213&lt;8,"LOW SAMPLE",IF(F1213&gt;H1213*(1+Assumptions!$B$10),"UNDERPAID",IF(F1213&lt;G1213*(1-Assumptions!$B$10),"OVERPAID","FAIR")))</f>
        <v>FAIR</v>
      </c>
      <c r="K1213" s="5" t="n">
        <v>85</v>
      </c>
    </row>
    <row r="1214" customFormat="false" ht="15" hidden="false" customHeight="false" outlineLevel="0" collapsed="false">
      <c r="A1214" s="5" t="n">
        <v>2022</v>
      </c>
      <c r="B1214" s="5" t="s">
        <v>567</v>
      </c>
      <c r="C1214" s="5" t="s">
        <v>579</v>
      </c>
      <c r="D1214" s="5" t="n">
        <v>8</v>
      </c>
      <c r="E1214" s="13" t="n">
        <v>1.08</v>
      </c>
      <c r="F1214" s="14" t="n">
        <f aca="false">E1214*Assumptions!$D$5</f>
        <v>145.478743395309</v>
      </c>
      <c r="G1214" s="14" t="n">
        <v>345</v>
      </c>
      <c r="H1214" s="14" t="n">
        <v>450</v>
      </c>
      <c r="I1214" s="14" t="n">
        <f aca="false">F1214-(G1214+H1214)/2</f>
        <v>-252.021256604691</v>
      </c>
      <c r="J1214" s="5" t="str">
        <f aca="false">IF(D1214&lt;8,"LOW SAMPLE",IF(F1214&gt;H1214*(1+Assumptions!$B$10),"UNDERPAID",IF(F1214&lt;G1214*(1-Assumptions!$B$10),"OVERPAID","FAIR")))</f>
        <v>OVERPAID</v>
      </c>
      <c r="K1214" s="5" t="n">
        <v>60</v>
      </c>
    </row>
    <row r="1215" customFormat="false" ht="15" hidden="false" customHeight="false" outlineLevel="0" collapsed="false">
      <c r="A1215" s="5" t="n">
        <v>2022</v>
      </c>
      <c r="B1215" s="5" t="s">
        <v>567</v>
      </c>
      <c r="C1215" s="5" t="s">
        <v>580</v>
      </c>
      <c r="D1215" s="5" t="n">
        <v>8</v>
      </c>
      <c r="E1215" s="13" t="n">
        <v>1.54</v>
      </c>
      <c r="F1215" s="14" t="n">
        <f aca="false">E1215*Assumptions!$D$5</f>
        <v>207.441911878496</v>
      </c>
      <c r="G1215" s="14" t="n">
        <v>450</v>
      </c>
      <c r="H1215" s="14" t="n">
        <v>615</v>
      </c>
      <c r="I1215" s="14" t="n">
        <f aca="false">F1215-(G1215+H1215)/2</f>
        <v>-325.058088121504</v>
      </c>
      <c r="J1215" s="5" t="str">
        <f aca="false">IF(D1215&lt;8,"LOW SAMPLE",IF(F1215&gt;H1215*(1+Assumptions!$B$10),"UNDERPAID",IF(F1215&lt;G1215*(1-Assumptions!$B$10),"OVERPAID","FAIR")))</f>
        <v>OVERPAID</v>
      </c>
      <c r="K1215" s="5" t="n">
        <v>128</v>
      </c>
    </row>
    <row r="1216" customFormat="false" ht="15" hidden="false" customHeight="false" outlineLevel="0" collapsed="false">
      <c r="A1216" s="5" t="n">
        <v>2022</v>
      </c>
      <c r="B1216" s="5" t="s">
        <v>567</v>
      </c>
      <c r="C1216" s="5" t="s">
        <v>804</v>
      </c>
      <c r="D1216" s="5" t="n">
        <v>5</v>
      </c>
      <c r="E1216" s="13" t="n">
        <v>1.07</v>
      </c>
      <c r="F1216" s="14" t="n">
        <f aca="false">E1216*Assumptions!$D$5</f>
        <v>144.1317179935</v>
      </c>
      <c r="G1216" s="14" t="n">
        <v>225</v>
      </c>
      <c r="H1216" s="14" t="n">
        <v>345</v>
      </c>
      <c r="I1216" s="14" t="n">
        <f aca="false">F1216-(G1216+H1216)/2</f>
        <v>-140.8682820065</v>
      </c>
      <c r="J1216" s="5" t="str">
        <f aca="false">IF(D1216&lt;8,"LOW SAMPLE",IF(F1216&gt;H1216*(1+Assumptions!$B$10),"UNDERPAID",IF(F1216&lt;G1216*(1-Assumptions!$B$10),"OVERPAID","FAIR")))</f>
        <v>LOW SAMPLE</v>
      </c>
      <c r="K1216" s="5" t="n">
        <v>0</v>
      </c>
    </row>
    <row r="1217" customFormat="false" ht="15" hidden="false" customHeight="false" outlineLevel="0" collapsed="false">
      <c r="A1217" s="5" t="n">
        <v>2022</v>
      </c>
      <c r="B1217" s="5" t="s">
        <v>567</v>
      </c>
      <c r="C1217" s="5" t="s">
        <v>582</v>
      </c>
      <c r="D1217" s="5" t="n">
        <v>18</v>
      </c>
      <c r="E1217" s="13" t="n">
        <v>3.63</v>
      </c>
      <c r="F1217" s="14" t="n">
        <f aca="false">E1217*Assumptions!$D$5</f>
        <v>488.970220856454</v>
      </c>
      <c r="G1217" s="14" t="n">
        <v>345</v>
      </c>
      <c r="H1217" s="14" t="n">
        <v>450</v>
      </c>
      <c r="I1217" s="14" t="n">
        <f aca="false">F1217-(G1217+H1217)/2</f>
        <v>91.4702208564543</v>
      </c>
      <c r="J1217" s="5" t="str">
        <f aca="false">IF(D1217&lt;8,"LOW SAMPLE",IF(F1217&gt;H1217*(1+Assumptions!$B$10),"UNDERPAID",IF(F1217&lt;G1217*(1-Assumptions!$B$10),"OVERPAID","FAIR")))</f>
        <v>FAIR</v>
      </c>
      <c r="K1217" s="5" t="n">
        <v>62</v>
      </c>
    </row>
    <row r="1218" customFormat="false" ht="15" hidden="false" customHeight="false" outlineLevel="0" collapsed="false">
      <c r="A1218" s="5" t="n">
        <v>2022</v>
      </c>
      <c r="B1218" s="5" t="s">
        <v>567</v>
      </c>
      <c r="C1218" s="5" t="s">
        <v>584</v>
      </c>
      <c r="D1218" s="5" t="n">
        <v>22</v>
      </c>
      <c r="E1218" s="13" t="n">
        <v>5.91</v>
      </c>
      <c r="F1218" s="14" t="n">
        <f aca="false">E1218*Assumptions!$D$5</f>
        <v>796.092012468773</v>
      </c>
      <c r="G1218" s="14" t="n">
        <v>450</v>
      </c>
      <c r="H1218" s="14" t="n">
        <v>615</v>
      </c>
      <c r="I1218" s="14" t="n">
        <f aca="false">F1218-(G1218+H1218)/2</f>
        <v>263.592012468773</v>
      </c>
      <c r="J1218" s="5" t="str">
        <f aca="false">IF(D1218&lt;8,"LOW SAMPLE",IF(F1218&gt;H1218*(1+Assumptions!$B$10),"UNDERPAID",IF(F1218&lt;G1218*(1-Assumptions!$B$10),"OVERPAID","FAIR")))</f>
        <v>UNDERPAID</v>
      </c>
      <c r="K1218" s="5" t="n">
        <v>119</v>
      </c>
    </row>
    <row r="1219" customFormat="false" ht="15" hidden="false" customHeight="false" outlineLevel="0" collapsed="false">
      <c r="A1219" s="5" t="n">
        <v>2022</v>
      </c>
      <c r="B1219" s="5" t="s">
        <v>567</v>
      </c>
      <c r="C1219" s="5" t="s">
        <v>585</v>
      </c>
      <c r="D1219" s="5" t="n">
        <v>18</v>
      </c>
      <c r="E1219" s="13" t="n">
        <v>5.22</v>
      </c>
      <c r="F1219" s="14" t="n">
        <f aca="false">E1219*Assumptions!$D$5</f>
        <v>703.147259743992</v>
      </c>
      <c r="G1219" s="14" t="n">
        <v>855</v>
      </c>
      <c r="H1219" s="14" t="n">
        <v>1170</v>
      </c>
      <c r="I1219" s="14" t="n">
        <f aca="false">F1219-(G1219+H1219)/2</f>
        <v>-309.352740256008</v>
      </c>
      <c r="J1219" s="5" t="str">
        <f aca="false">IF(D1219&lt;8,"LOW SAMPLE",IF(F1219&gt;H1219*(1+Assumptions!$B$10),"UNDERPAID",IF(F1219&lt;G1219*(1-Assumptions!$B$10),"OVERPAID","FAIR")))</f>
        <v>OVERPAID</v>
      </c>
      <c r="K1219" s="5" t="n">
        <v>119</v>
      </c>
    </row>
    <row r="1220" customFormat="false" ht="15" hidden="false" customHeight="false" outlineLevel="0" collapsed="false">
      <c r="A1220" s="5" t="n">
        <v>2022</v>
      </c>
      <c r="B1220" s="5" t="s">
        <v>567</v>
      </c>
      <c r="C1220" s="5" t="s">
        <v>586</v>
      </c>
      <c r="D1220" s="5" t="n">
        <v>18</v>
      </c>
      <c r="E1220" s="13" t="n">
        <v>4.36</v>
      </c>
      <c r="F1220" s="14" t="n">
        <f aca="false">E1220*Assumptions!$D$5</f>
        <v>587.303075188469</v>
      </c>
      <c r="G1220" s="14" t="n">
        <v>345</v>
      </c>
      <c r="H1220" s="14" t="n">
        <v>450</v>
      </c>
      <c r="I1220" s="14" t="n">
        <f aca="false">F1220-(G1220+H1220)/2</f>
        <v>189.803075188468</v>
      </c>
      <c r="J1220" s="5" t="str">
        <f aca="false">IF(D1220&lt;8,"LOW SAMPLE",IF(F1220&gt;H1220*(1+Assumptions!$B$10),"UNDERPAID",IF(F1220&lt;G1220*(1-Assumptions!$B$10),"OVERPAID","FAIR")))</f>
        <v>UNDERPAID</v>
      </c>
      <c r="K1220" s="5" t="n">
        <v>95</v>
      </c>
    </row>
    <row r="1221" customFormat="false" ht="15" hidden="false" customHeight="false" outlineLevel="0" collapsed="false">
      <c r="A1221" s="5" t="n">
        <v>2022</v>
      </c>
      <c r="B1221" s="5" t="s">
        <v>567</v>
      </c>
      <c r="C1221" s="5" t="s">
        <v>500</v>
      </c>
      <c r="D1221" s="5" t="n">
        <v>11</v>
      </c>
      <c r="E1221" s="13" t="n">
        <v>1.8</v>
      </c>
      <c r="F1221" s="14" t="n">
        <f aca="false">E1221*Assumptions!$D$5</f>
        <v>242.464572325515</v>
      </c>
      <c r="G1221" s="14" t="n">
        <v>125</v>
      </c>
      <c r="H1221" s="14" t="n">
        <v>225</v>
      </c>
      <c r="I1221" s="14" t="n">
        <f aca="false">F1221-(G1221+H1221)/2</f>
        <v>67.4645723255145</v>
      </c>
      <c r="J1221" s="5" t="str">
        <f aca="false">IF(D1221&lt;8,"LOW SAMPLE",IF(F1221&gt;H1221*(1+Assumptions!$B$10),"UNDERPAID",IF(F1221&lt;G1221*(1-Assumptions!$B$10),"OVERPAID","FAIR")))</f>
        <v>FAIR</v>
      </c>
      <c r="K1221" s="5" t="n">
        <v>23</v>
      </c>
    </row>
    <row r="1222" customFormat="false" ht="15" hidden="false" customHeight="false" outlineLevel="0" collapsed="false">
      <c r="A1222" s="5" t="n">
        <v>2022</v>
      </c>
      <c r="B1222" s="5" t="s">
        <v>567</v>
      </c>
      <c r="C1222" s="5" t="s">
        <v>590</v>
      </c>
      <c r="D1222" s="5" t="n">
        <v>20</v>
      </c>
      <c r="E1222" s="13" t="n">
        <v>2.9</v>
      </c>
      <c r="F1222" s="14" t="n">
        <f aca="false">E1222*Assumptions!$D$5</f>
        <v>390.63736652444</v>
      </c>
      <c r="G1222" s="14" t="n">
        <v>345</v>
      </c>
      <c r="H1222" s="14" t="n">
        <v>450</v>
      </c>
      <c r="I1222" s="14" t="n">
        <f aca="false">F1222-(G1222+H1222)/2</f>
        <v>-6.86263347555996</v>
      </c>
      <c r="J1222" s="5" t="str">
        <f aca="false">IF(D1222&lt;8,"LOW SAMPLE",IF(F1222&gt;H1222*(1+Assumptions!$B$10),"UNDERPAID",IF(F1222&lt;G1222*(1-Assumptions!$B$10),"OVERPAID","FAIR")))</f>
        <v>FAIR</v>
      </c>
      <c r="K1222" s="5" t="n">
        <v>91</v>
      </c>
    </row>
    <row r="1223" customFormat="false" ht="15" hidden="false" customHeight="false" outlineLevel="0" collapsed="false">
      <c r="A1223" s="5" t="n">
        <v>2022</v>
      </c>
      <c r="B1223" s="5" t="s">
        <v>567</v>
      </c>
      <c r="C1223" s="5" t="s">
        <v>591</v>
      </c>
      <c r="D1223" s="5" t="n">
        <v>21</v>
      </c>
      <c r="E1223" s="13" t="n">
        <v>3.51</v>
      </c>
      <c r="F1223" s="14" t="n">
        <f aca="false">E1223*Assumptions!$D$5</f>
        <v>472.805916034753</v>
      </c>
      <c r="G1223" s="14" t="n">
        <v>345</v>
      </c>
      <c r="H1223" s="14" t="n">
        <v>450</v>
      </c>
      <c r="I1223" s="14" t="n">
        <f aca="false">F1223-(G1223+H1223)/2</f>
        <v>75.3059160347533</v>
      </c>
      <c r="J1223" s="5" t="str">
        <f aca="false">IF(D1223&lt;8,"LOW SAMPLE",IF(F1223&gt;H1223*(1+Assumptions!$B$10),"UNDERPAID",IF(F1223&lt;G1223*(1-Assumptions!$B$10),"OVERPAID","FAIR")))</f>
        <v>FAIR</v>
      </c>
      <c r="K1223" s="5" t="n">
        <v>56</v>
      </c>
    </row>
    <row r="1224" customFormat="false" ht="15" hidden="false" customHeight="false" outlineLevel="0" collapsed="false">
      <c r="A1224" s="5" t="n">
        <v>2022</v>
      </c>
      <c r="B1224" s="5" t="s">
        <v>567</v>
      </c>
      <c r="C1224" s="5" t="s">
        <v>805</v>
      </c>
      <c r="D1224" s="5" t="n">
        <v>18</v>
      </c>
      <c r="E1224" s="13" t="n">
        <v>1.92</v>
      </c>
      <c r="F1224" s="14" t="n">
        <f aca="false">E1224*Assumptions!$D$5</f>
        <v>258.628877147215</v>
      </c>
      <c r="G1224" s="14" t="n">
        <v>225</v>
      </c>
      <c r="H1224" s="14" t="n">
        <v>345</v>
      </c>
      <c r="I1224" s="14" t="n">
        <f aca="false">F1224-(G1224+H1224)/2</f>
        <v>-26.3711228527845</v>
      </c>
      <c r="J1224" s="5" t="str">
        <f aca="false">IF(D1224&lt;8,"LOW SAMPLE",IF(F1224&gt;H1224*(1+Assumptions!$B$10),"UNDERPAID",IF(F1224&lt;G1224*(1-Assumptions!$B$10),"OVERPAID","FAIR")))</f>
        <v>FAIR</v>
      </c>
      <c r="K1224" s="5" t="n">
        <v>0</v>
      </c>
    </row>
    <row r="1225" customFormat="false" ht="15" hidden="false" customHeight="false" outlineLevel="0" collapsed="false">
      <c r="A1225" s="5" t="n">
        <v>2022</v>
      </c>
      <c r="B1225" s="5" t="s">
        <v>567</v>
      </c>
      <c r="C1225" s="5" t="s">
        <v>594</v>
      </c>
      <c r="D1225" s="5" t="n">
        <v>19</v>
      </c>
      <c r="E1225" s="13" t="n">
        <v>3.68</v>
      </c>
      <c r="F1225" s="14" t="n">
        <f aca="false">E1225*Assumptions!$D$5</f>
        <v>495.705347865496</v>
      </c>
      <c r="G1225" s="14" t="n">
        <v>225</v>
      </c>
      <c r="H1225" s="14" t="n">
        <v>345</v>
      </c>
      <c r="I1225" s="14" t="n">
        <f aca="false">F1225-(G1225+H1225)/2</f>
        <v>210.705347865496</v>
      </c>
      <c r="J1225" s="5" t="str">
        <f aca="false">IF(D1225&lt;8,"LOW SAMPLE",IF(F1225&gt;H1225*(1+Assumptions!$B$10),"UNDERPAID",IF(F1225&lt;G1225*(1-Assumptions!$B$10),"OVERPAID","FAIR")))</f>
        <v>UNDERPAID</v>
      </c>
      <c r="K1225" s="5" t="n">
        <v>73</v>
      </c>
    </row>
    <row r="1226" customFormat="false" ht="15" hidden="false" customHeight="false" outlineLevel="0" collapsed="false">
      <c r="A1226" s="5" t="n">
        <v>2022</v>
      </c>
      <c r="B1226" s="5" t="s">
        <v>567</v>
      </c>
      <c r="C1226" s="5" t="s">
        <v>595</v>
      </c>
      <c r="D1226" s="5" t="n">
        <v>22</v>
      </c>
      <c r="E1226" s="13" t="n">
        <v>5.78</v>
      </c>
      <c r="F1226" s="14" t="n">
        <f aca="false">E1226*Assumptions!$D$5</f>
        <v>778.580682245263</v>
      </c>
      <c r="G1226" s="14" t="n">
        <v>615</v>
      </c>
      <c r="H1226" s="14" t="n">
        <v>855</v>
      </c>
      <c r="I1226" s="14" t="n">
        <f aca="false">F1226-(G1226+H1226)/2</f>
        <v>43.5806822452634</v>
      </c>
      <c r="J1226" s="5" t="str">
        <f aca="false">IF(D1226&lt;8,"LOW SAMPLE",IF(F1226&gt;H1226*(1+Assumptions!$B$10),"UNDERPAID",IF(F1226&lt;G1226*(1-Assumptions!$B$10),"OVERPAID","FAIR")))</f>
        <v>FAIR</v>
      </c>
      <c r="K1226" s="5" t="n">
        <v>38</v>
      </c>
    </row>
    <row r="1227" customFormat="false" ht="15" hidden="false" customHeight="false" outlineLevel="0" collapsed="false">
      <c r="A1227" s="5" t="n">
        <v>2022</v>
      </c>
      <c r="B1227" s="5" t="s">
        <v>567</v>
      </c>
      <c r="C1227" s="5" t="s">
        <v>806</v>
      </c>
      <c r="D1227" s="5" t="n">
        <v>7</v>
      </c>
      <c r="E1227" s="13" t="n">
        <v>1.09</v>
      </c>
      <c r="F1227" s="14" t="n">
        <f aca="false">E1227*Assumptions!$D$5</f>
        <v>146.825768797117</v>
      </c>
      <c r="G1227" s="14" t="n">
        <v>225</v>
      </c>
      <c r="H1227" s="14" t="n">
        <v>345</v>
      </c>
      <c r="I1227" s="14" t="n">
        <f aca="false">F1227-(G1227+H1227)/2</f>
        <v>-138.174231202883</v>
      </c>
      <c r="J1227" s="5" t="str">
        <f aca="false">IF(D1227&lt;8,"LOW SAMPLE",IF(F1227&gt;H1227*(1+Assumptions!$B$10),"UNDERPAID",IF(F1227&lt;G1227*(1-Assumptions!$B$10),"OVERPAID","FAIR")))</f>
        <v>LOW SAMPLE</v>
      </c>
      <c r="K1227" s="5" t="n">
        <v>0</v>
      </c>
    </row>
    <row r="1228" customFormat="false" ht="15" hidden="false" customHeight="false" outlineLevel="0" collapsed="false">
      <c r="A1228" s="5" t="n">
        <v>2022</v>
      </c>
      <c r="B1228" s="5" t="s">
        <v>567</v>
      </c>
      <c r="C1228" s="5" t="s">
        <v>807</v>
      </c>
      <c r="D1228" s="5" t="n">
        <v>17</v>
      </c>
      <c r="E1228" s="13" t="n">
        <v>2.06</v>
      </c>
      <c r="F1228" s="14" t="n">
        <f aca="false">E1228*Assumptions!$D$5</f>
        <v>277.487232772533</v>
      </c>
      <c r="G1228" s="14" t="n">
        <v>225</v>
      </c>
      <c r="H1228" s="14" t="n">
        <v>345</v>
      </c>
      <c r="I1228" s="14" t="n">
        <f aca="false">F1228-(G1228+H1228)/2</f>
        <v>-7.51276722746673</v>
      </c>
      <c r="J1228" s="5" t="str">
        <f aca="false">IF(D1228&lt;8,"LOW SAMPLE",IF(F1228&gt;H1228*(1+Assumptions!$B$10),"UNDERPAID",IF(F1228&lt;G1228*(1-Assumptions!$B$10),"OVERPAID","FAIR")))</f>
        <v>FAIR</v>
      </c>
      <c r="K1228" s="5" t="n">
        <v>0</v>
      </c>
    </row>
    <row r="1229" customFormat="false" ht="15" hidden="false" customHeight="false" outlineLevel="0" collapsed="false">
      <c r="A1229" s="5" t="n">
        <v>2022</v>
      </c>
      <c r="B1229" s="5" t="s">
        <v>567</v>
      </c>
      <c r="C1229" s="5" t="s">
        <v>598</v>
      </c>
      <c r="D1229" s="5" t="n">
        <v>12</v>
      </c>
      <c r="E1229" s="13" t="n">
        <v>2.48</v>
      </c>
      <c r="F1229" s="14" t="n">
        <f aca="false">E1229*Assumptions!$D$5</f>
        <v>334.062299648487</v>
      </c>
      <c r="G1229" s="14" t="n">
        <v>450</v>
      </c>
      <c r="H1229" s="14" t="n">
        <v>615</v>
      </c>
      <c r="I1229" s="14" t="n">
        <f aca="false">F1229-(G1229+H1229)/2</f>
        <v>-198.437700351513</v>
      </c>
      <c r="J1229" s="5" t="str">
        <f aca="false">IF(D1229&lt;8,"LOW SAMPLE",IF(F1229&gt;H1229*(1+Assumptions!$B$10),"UNDERPAID",IF(F1229&lt;G1229*(1-Assumptions!$B$10),"OVERPAID","FAIR")))</f>
        <v>OVERPAID</v>
      </c>
      <c r="K1229" s="5" t="n">
        <v>99</v>
      </c>
    </row>
    <row r="1230" customFormat="false" ht="15" hidden="false" customHeight="false" outlineLevel="0" collapsed="false">
      <c r="A1230" s="5" t="n">
        <v>2022</v>
      </c>
      <c r="B1230" s="5" t="s">
        <v>567</v>
      </c>
      <c r="C1230" s="5" t="s">
        <v>600</v>
      </c>
      <c r="D1230" s="5" t="n">
        <v>21</v>
      </c>
      <c r="E1230" s="13" t="n">
        <v>5.42</v>
      </c>
      <c r="F1230" s="14" t="n">
        <f aca="false">E1230*Assumptions!$D$5</f>
        <v>730.08776778016</v>
      </c>
      <c r="G1230" s="14" t="n">
        <v>615</v>
      </c>
      <c r="H1230" s="14" t="n">
        <v>855</v>
      </c>
      <c r="I1230" s="14" t="n">
        <f aca="false">F1230-(G1230+H1230)/2</f>
        <v>-4.91223221983967</v>
      </c>
      <c r="J1230" s="5" t="str">
        <f aca="false">IF(D1230&lt;8,"LOW SAMPLE",IF(F1230&gt;H1230*(1+Assumptions!$B$10),"UNDERPAID",IF(F1230&lt;G1230*(1-Assumptions!$B$10),"OVERPAID","FAIR")))</f>
        <v>FAIR</v>
      </c>
      <c r="K1230" s="5" t="n">
        <v>65</v>
      </c>
    </row>
    <row r="1231" customFormat="false" ht="15" hidden="false" customHeight="false" outlineLevel="0" collapsed="false">
      <c r="A1231" s="5" t="n">
        <v>2022</v>
      </c>
      <c r="B1231" s="5" t="s">
        <v>567</v>
      </c>
      <c r="C1231" s="5" t="s">
        <v>601</v>
      </c>
      <c r="D1231" s="5" t="n">
        <v>11</v>
      </c>
      <c r="E1231" s="13" t="n">
        <v>0.75</v>
      </c>
      <c r="F1231" s="14" t="n">
        <f aca="false">E1231*Assumptions!$D$5</f>
        <v>101.026905135631</v>
      </c>
      <c r="G1231" s="14" t="n">
        <v>125</v>
      </c>
      <c r="H1231" s="14" t="n">
        <v>225</v>
      </c>
      <c r="I1231" s="14" t="n">
        <f aca="false">F1231-(G1231+H1231)/2</f>
        <v>-73.973094864369</v>
      </c>
      <c r="J1231" s="5" t="str">
        <f aca="false">IF(D1231&lt;8,"LOW SAMPLE",IF(F1231&gt;H1231*(1+Assumptions!$B$10),"UNDERPAID",IF(F1231&lt;G1231*(1-Assumptions!$B$10),"OVERPAID","FAIR")))</f>
        <v>OVERPAID</v>
      </c>
      <c r="K1231" s="5" t="n">
        <v>17</v>
      </c>
    </row>
    <row r="1232" customFormat="false" ht="15" hidden="false" customHeight="false" outlineLevel="0" collapsed="false">
      <c r="A1232" s="5" t="n">
        <v>2022</v>
      </c>
      <c r="B1232" s="5" t="s">
        <v>567</v>
      </c>
      <c r="C1232" s="5" t="s">
        <v>602</v>
      </c>
      <c r="D1232" s="5" t="n">
        <v>21</v>
      </c>
      <c r="E1232" s="13" t="n">
        <v>4.93</v>
      </c>
      <c r="F1232" s="14" t="n">
        <f aca="false">E1232*Assumptions!$D$5</f>
        <v>664.083523091548</v>
      </c>
      <c r="G1232" s="14" t="n">
        <v>450</v>
      </c>
      <c r="H1232" s="14" t="n">
        <v>615</v>
      </c>
      <c r="I1232" s="14" t="n">
        <f aca="false">F1232-(G1232+H1232)/2</f>
        <v>131.583523091548</v>
      </c>
      <c r="J1232" s="5" t="str">
        <f aca="false">IF(D1232&lt;8,"LOW SAMPLE",IF(F1232&gt;H1232*(1+Assumptions!$B$10),"UNDERPAID",IF(F1232&lt;G1232*(1-Assumptions!$B$10),"OVERPAID","FAIR")))</f>
        <v>FAIR</v>
      </c>
      <c r="K1232" s="5" t="n">
        <v>133</v>
      </c>
    </row>
    <row r="1233" customFormat="false" ht="15" hidden="false" customHeight="false" outlineLevel="0" collapsed="false">
      <c r="A1233" s="5" t="n">
        <v>2022</v>
      </c>
      <c r="B1233" s="5" t="s">
        <v>567</v>
      </c>
      <c r="C1233" s="5" t="s">
        <v>604</v>
      </c>
      <c r="D1233" s="5" t="n">
        <v>22</v>
      </c>
      <c r="E1233" s="13" t="n">
        <v>4.96</v>
      </c>
      <c r="F1233" s="14" t="n">
        <f aca="false">E1233*Assumptions!$D$5</f>
        <v>668.124599296973</v>
      </c>
      <c r="G1233" s="14" t="n">
        <v>615</v>
      </c>
      <c r="H1233" s="14" t="n">
        <v>855</v>
      </c>
      <c r="I1233" s="14" t="n">
        <f aca="false">F1233-(G1233+H1233)/2</f>
        <v>-66.8754007030267</v>
      </c>
      <c r="J1233" s="5" t="str">
        <f aca="false">IF(D1233&lt;8,"LOW SAMPLE",IF(F1233&gt;H1233*(1+Assumptions!$B$10),"UNDERPAID",IF(F1233&lt;G1233*(1-Assumptions!$B$10),"OVERPAID","FAIR")))</f>
        <v>FAIR</v>
      </c>
      <c r="K1233" s="5" t="n">
        <v>130</v>
      </c>
    </row>
    <row r="1234" customFormat="false" ht="15" hidden="false" customHeight="false" outlineLevel="0" collapsed="false">
      <c r="A1234" s="5" t="n">
        <v>2022</v>
      </c>
      <c r="B1234" s="5" t="s">
        <v>567</v>
      </c>
      <c r="C1234" s="5" t="s">
        <v>486</v>
      </c>
      <c r="D1234" s="5" t="n">
        <v>2</v>
      </c>
      <c r="E1234" s="13" t="n">
        <v>0.51</v>
      </c>
      <c r="F1234" s="14" t="n">
        <f aca="false">E1234*Assumptions!$D$5</f>
        <v>68.6982954922291</v>
      </c>
      <c r="G1234" s="14" t="n">
        <v>225</v>
      </c>
      <c r="H1234" s="14" t="n">
        <v>345</v>
      </c>
      <c r="I1234" s="14" t="n">
        <f aca="false">F1234-(G1234+H1234)/2</f>
        <v>-216.301704507771</v>
      </c>
      <c r="J1234" s="5" t="str">
        <f aca="false">IF(D1234&lt;8,"LOW SAMPLE",IF(F1234&gt;H1234*(1+Assumptions!$B$10),"UNDERPAID",IF(F1234&lt;G1234*(1-Assumptions!$B$10),"OVERPAID","FAIR")))</f>
        <v>LOW SAMPLE</v>
      </c>
      <c r="K1234" s="5" t="n">
        <v>34</v>
      </c>
    </row>
    <row r="1235" customFormat="false" ht="15" hidden="false" customHeight="false" outlineLevel="0" collapsed="false">
      <c r="A1235" s="5" t="n">
        <v>2022</v>
      </c>
      <c r="B1235" s="5" t="s">
        <v>567</v>
      </c>
      <c r="C1235" s="5" t="s">
        <v>605</v>
      </c>
      <c r="D1235" s="5" t="n">
        <v>3</v>
      </c>
      <c r="E1235" s="13" t="n">
        <v>0.38</v>
      </c>
      <c r="F1235" s="14" t="n">
        <f aca="false">E1235*Assumptions!$D$5</f>
        <v>51.1869652687197</v>
      </c>
      <c r="G1235" s="14" t="n">
        <v>225</v>
      </c>
      <c r="H1235" s="14" t="n">
        <v>345</v>
      </c>
      <c r="I1235" s="14" t="n">
        <f aca="false">F1235-(G1235+H1235)/2</f>
        <v>-233.81303473128</v>
      </c>
      <c r="J1235" s="5" t="str">
        <f aca="false">IF(D1235&lt;8,"LOW SAMPLE",IF(F1235&gt;H1235*(1+Assumptions!$B$10),"UNDERPAID",IF(F1235&lt;G1235*(1-Assumptions!$B$10),"OVERPAID","FAIR")))</f>
        <v>LOW SAMPLE</v>
      </c>
      <c r="K1235" s="5" t="n">
        <v>13</v>
      </c>
    </row>
    <row r="1236" customFormat="false" ht="15" hidden="false" customHeight="false" outlineLevel="0" collapsed="false">
      <c r="A1236" s="5" t="n">
        <v>2022</v>
      </c>
      <c r="B1236" s="5" t="s">
        <v>567</v>
      </c>
      <c r="C1236" s="5" t="s">
        <v>606</v>
      </c>
      <c r="D1236" s="5" t="n">
        <v>13</v>
      </c>
      <c r="E1236" s="13" t="n">
        <v>2.21</v>
      </c>
      <c r="F1236" s="14" t="n">
        <f aca="false">E1236*Assumptions!$D$5</f>
        <v>297.692613799659</v>
      </c>
      <c r="G1236" s="14" t="n">
        <v>450</v>
      </c>
      <c r="H1236" s="14" t="n">
        <v>615</v>
      </c>
      <c r="I1236" s="14" t="n">
        <f aca="false">F1236-(G1236+H1236)/2</f>
        <v>-234.807386200341</v>
      </c>
      <c r="J1236" s="5" t="str">
        <f aca="false">IF(D1236&lt;8,"LOW SAMPLE",IF(F1236&gt;H1236*(1+Assumptions!$B$10),"UNDERPAID",IF(F1236&lt;G1236*(1-Assumptions!$B$10),"OVERPAID","FAIR")))</f>
        <v>OVERPAID</v>
      </c>
      <c r="K1236" s="5" t="n">
        <v>115</v>
      </c>
    </row>
    <row r="1237" customFormat="false" ht="15" hidden="false" customHeight="false" outlineLevel="0" collapsed="false">
      <c r="A1237" s="5" t="n">
        <v>2022</v>
      </c>
      <c r="B1237" s="5" t="s">
        <v>607</v>
      </c>
      <c r="C1237" s="5" t="s">
        <v>808</v>
      </c>
      <c r="D1237" s="5" t="n">
        <v>2</v>
      </c>
      <c r="E1237" s="13" t="n">
        <v>0.08</v>
      </c>
      <c r="F1237" s="14" t="n">
        <f aca="false">E1237*Assumptions!$D$5</f>
        <v>10.7762032144673</v>
      </c>
      <c r="G1237" s="14" t="n">
        <v>225</v>
      </c>
      <c r="H1237" s="14" t="n">
        <v>345</v>
      </c>
      <c r="I1237" s="14" t="n">
        <f aca="false">F1237-(G1237+H1237)/2</f>
        <v>-274.223796785533</v>
      </c>
      <c r="J1237" s="5" t="str">
        <f aca="false">IF(D1237&lt;8,"LOW SAMPLE",IF(F1237&gt;H1237*(1+Assumptions!$B$10),"UNDERPAID",IF(F1237&lt;G1237*(1-Assumptions!$B$10),"OVERPAID","FAIR")))</f>
        <v>LOW SAMPLE</v>
      </c>
      <c r="K1237" s="5" t="n">
        <v>0</v>
      </c>
    </row>
    <row r="1238" customFormat="false" ht="15" hidden="false" customHeight="false" outlineLevel="0" collapsed="false">
      <c r="A1238" s="5" t="n">
        <v>2022</v>
      </c>
      <c r="B1238" s="5" t="s">
        <v>607</v>
      </c>
      <c r="C1238" s="5" t="s">
        <v>608</v>
      </c>
      <c r="D1238" s="5" t="n">
        <v>8</v>
      </c>
      <c r="E1238" s="13" t="n">
        <v>0.88</v>
      </c>
      <c r="F1238" s="14" t="n">
        <f aca="false">E1238*Assumptions!$D$5</f>
        <v>118.53823535914</v>
      </c>
      <c r="G1238" s="14" t="n">
        <v>225</v>
      </c>
      <c r="H1238" s="14" t="n">
        <v>345</v>
      </c>
      <c r="I1238" s="14" t="n">
        <f aca="false">F1238-(G1238+H1238)/2</f>
        <v>-166.46176464086</v>
      </c>
      <c r="J1238" s="5" t="str">
        <f aca="false">IF(D1238&lt;8,"LOW SAMPLE",IF(F1238&gt;H1238*(1+Assumptions!$B$10),"UNDERPAID",IF(F1238&lt;G1238*(1-Assumptions!$B$10),"OVERPAID","FAIR")))</f>
        <v>OVERPAID</v>
      </c>
      <c r="K1238" s="5" t="n">
        <v>36</v>
      </c>
    </row>
    <row r="1239" customFormat="false" ht="15" hidden="false" customHeight="false" outlineLevel="0" collapsed="false">
      <c r="A1239" s="5" t="n">
        <v>2022</v>
      </c>
      <c r="B1239" s="5" t="s">
        <v>607</v>
      </c>
      <c r="C1239" s="5" t="s">
        <v>609</v>
      </c>
      <c r="D1239" s="5" t="n">
        <v>17</v>
      </c>
      <c r="E1239" s="13" t="n">
        <v>1.47</v>
      </c>
      <c r="F1239" s="14" t="n">
        <f aca="false">E1239*Assumptions!$D$5</f>
        <v>198.012734065837</v>
      </c>
      <c r="G1239" s="14" t="n">
        <v>125</v>
      </c>
      <c r="H1239" s="14" t="n">
        <v>225</v>
      </c>
      <c r="I1239" s="14" t="n">
        <f aca="false">F1239-(G1239+H1239)/2</f>
        <v>23.0127340658368</v>
      </c>
      <c r="J1239" s="5" t="str">
        <f aca="false">IF(D1239&lt;8,"LOW SAMPLE",IF(F1239&gt;H1239*(1+Assumptions!$B$10),"UNDERPAID",IF(F1239&lt;G1239*(1-Assumptions!$B$10),"OVERPAID","FAIR")))</f>
        <v>FAIR</v>
      </c>
      <c r="K1239" s="5" t="n">
        <v>8</v>
      </c>
    </row>
    <row r="1240" customFormat="false" ht="15" hidden="false" customHeight="false" outlineLevel="0" collapsed="false">
      <c r="A1240" s="5" t="n">
        <v>2022</v>
      </c>
      <c r="B1240" s="5" t="s">
        <v>607</v>
      </c>
      <c r="C1240" s="5" t="s">
        <v>610</v>
      </c>
      <c r="D1240" s="5" t="n">
        <v>25</v>
      </c>
      <c r="E1240" s="13" t="n">
        <v>6.78</v>
      </c>
      <c r="F1240" s="14" t="n">
        <f aca="false">E1240*Assumptions!$D$5</f>
        <v>913.283222426105</v>
      </c>
      <c r="G1240" s="14" t="n">
        <v>450</v>
      </c>
      <c r="H1240" s="14" t="n">
        <v>615</v>
      </c>
      <c r="I1240" s="14" t="n">
        <f aca="false">F1240-(G1240+H1240)/2</f>
        <v>380.783222426105</v>
      </c>
      <c r="J1240" s="5" t="str">
        <f aca="false">IF(D1240&lt;8,"LOW SAMPLE",IF(F1240&gt;H1240*(1+Assumptions!$B$10),"UNDERPAID",IF(F1240&lt;G1240*(1-Assumptions!$B$10),"OVERPAID","FAIR")))</f>
        <v>UNDERPAID</v>
      </c>
      <c r="K1240" s="5" t="n">
        <v>110</v>
      </c>
    </row>
    <row r="1241" customFormat="false" ht="15" hidden="false" customHeight="false" outlineLevel="0" collapsed="false">
      <c r="A1241" s="5" t="n">
        <v>2022</v>
      </c>
      <c r="B1241" s="5" t="s">
        <v>607</v>
      </c>
      <c r="C1241" s="5" t="s">
        <v>612</v>
      </c>
      <c r="D1241" s="5" t="n">
        <v>24</v>
      </c>
      <c r="E1241" s="13" t="n">
        <v>6.71</v>
      </c>
      <c r="F1241" s="14" t="n">
        <f aca="false">E1241*Assumptions!$D$5</f>
        <v>903.854044613446</v>
      </c>
      <c r="G1241" s="14" t="n">
        <v>225</v>
      </c>
      <c r="H1241" s="14" t="n">
        <v>345</v>
      </c>
      <c r="I1241" s="14" t="n">
        <f aca="false">F1241-(G1241+H1241)/2</f>
        <v>618.854044613446</v>
      </c>
      <c r="J1241" s="5" t="str">
        <f aca="false">IF(D1241&lt;8,"LOW SAMPLE",IF(F1241&gt;H1241*(1+Assumptions!$B$10),"UNDERPAID",IF(F1241&lt;G1241*(1-Assumptions!$B$10),"OVERPAID","FAIR")))</f>
        <v>UNDERPAID</v>
      </c>
      <c r="K1241" s="5" t="n">
        <v>15</v>
      </c>
    </row>
    <row r="1242" customFormat="false" ht="15" hidden="false" customHeight="false" outlineLevel="0" collapsed="false">
      <c r="A1242" s="5" t="n">
        <v>2022</v>
      </c>
      <c r="B1242" s="5" t="s">
        <v>607</v>
      </c>
      <c r="C1242" s="5" t="s">
        <v>613</v>
      </c>
      <c r="D1242" s="5" t="n">
        <v>5</v>
      </c>
      <c r="E1242" s="13" t="n">
        <v>0.24</v>
      </c>
      <c r="F1242" s="14" t="n">
        <f aca="false">E1242*Assumptions!$D$5</f>
        <v>32.3286096434019</v>
      </c>
      <c r="G1242" s="14" t="n">
        <v>125</v>
      </c>
      <c r="H1242" s="14" t="n">
        <v>225</v>
      </c>
      <c r="I1242" s="14" t="n">
        <f aca="false">F1242-(G1242+H1242)/2</f>
        <v>-142.671390356598</v>
      </c>
      <c r="J1242" s="5" t="str">
        <f aca="false">IF(D1242&lt;8,"LOW SAMPLE",IF(F1242&gt;H1242*(1+Assumptions!$B$10),"UNDERPAID",IF(F1242&lt;G1242*(1-Assumptions!$B$10),"OVERPAID","FAIR")))</f>
        <v>LOW SAMPLE</v>
      </c>
      <c r="K1242" s="5" t="n">
        <v>29</v>
      </c>
    </row>
    <row r="1243" customFormat="false" ht="15" hidden="false" customHeight="false" outlineLevel="0" collapsed="false">
      <c r="A1243" s="5" t="n">
        <v>2022</v>
      </c>
      <c r="B1243" s="5" t="s">
        <v>607</v>
      </c>
      <c r="C1243" s="5" t="s">
        <v>614</v>
      </c>
      <c r="D1243" s="5" t="n">
        <v>25</v>
      </c>
      <c r="E1243" s="13" t="n">
        <v>4.14</v>
      </c>
      <c r="F1243" s="14" t="n">
        <f aca="false">E1243*Assumptions!$D$5</f>
        <v>557.668516348683</v>
      </c>
      <c r="G1243" s="14" t="n">
        <v>450</v>
      </c>
      <c r="H1243" s="14" t="n">
        <v>615</v>
      </c>
      <c r="I1243" s="14" t="n">
        <f aca="false">F1243-(G1243+H1243)/2</f>
        <v>25.1685163486833</v>
      </c>
      <c r="J1243" s="5" t="str">
        <f aca="false">IF(D1243&lt;8,"LOW SAMPLE",IF(F1243&gt;H1243*(1+Assumptions!$B$10),"UNDERPAID",IF(F1243&lt;G1243*(1-Assumptions!$B$10),"OVERPAID","FAIR")))</f>
        <v>FAIR</v>
      </c>
      <c r="K1243" s="5" t="n">
        <v>142</v>
      </c>
    </row>
    <row r="1244" customFormat="false" ht="15" hidden="false" customHeight="false" outlineLevel="0" collapsed="false">
      <c r="A1244" s="5" t="n">
        <v>2022</v>
      </c>
      <c r="B1244" s="5" t="s">
        <v>607</v>
      </c>
      <c r="C1244" s="5" t="s">
        <v>615</v>
      </c>
      <c r="D1244" s="5" t="n">
        <v>15</v>
      </c>
      <c r="E1244" s="13" t="n">
        <v>2.17</v>
      </c>
      <c r="F1244" s="14" t="n">
        <f aca="false">E1244*Assumptions!$D$5</f>
        <v>292.304512192426</v>
      </c>
      <c r="G1244" s="14" t="n">
        <v>125</v>
      </c>
      <c r="H1244" s="14" t="n">
        <v>225</v>
      </c>
      <c r="I1244" s="14" t="n">
        <f aca="false">F1244-(G1244+H1244)/2</f>
        <v>117.304512192426</v>
      </c>
      <c r="J1244" s="5" t="str">
        <f aca="false">IF(D1244&lt;8,"LOW SAMPLE",IF(F1244&gt;H1244*(1+Assumptions!$B$10),"UNDERPAID",IF(F1244&lt;G1244*(1-Assumptions!$B$10),"OVERPAID","FAIR")))</f>
        <v>UNDERPAID</v>
      </c>
      <c r="K1244" s="5" t="n">
        <v>15</v>
      </c>
    </row>
    <row r="1245" customFormat="false" ht="15" hidden="false" customHeight="false" outlineLevel="0" collapsed="false">
      <c r="A1245" s="5" t="n">
        <v>2022</v>
      </c>
      <c r="B1245" s="5" t="s">
        <v>607</v>
      </c>
      <c r="C1245" s="5" t="s">
        <v>616</v>
      </c>
      <c r="D1245" s="5" t="n">
        <v>25</v>
      </c>
      <c r="E1245" s="13" t="n">
        <v>5.16</v>
      </c>
      <c r="F1245" s="14" t="n">
        <f aca="false">E1245*Assumptions!$D$5</f>
        <v>695.065107333142</v>
      </c>
      <c r="G1245" s="14" t="n">
        <v>450</v>
      </c>
      <c r="H1245" s="14" t="n">
        <v>615</v>
      </c>
      <c r="I1245" s="14" t="n">
        <f aca="false">F1245-(G1245+H1245)/2</f>
        <v>162.565107333142</v>
      </c>
      <c r="J1245" s="5" t="str">
        <f aca="false">IF(D1245&lt;8,"LOW SAMPLE",IF(F1245&gt;H1245*(1+Assumptions!$B$10),"UNDERPAID",IF(F1245&lt;G1245*(1-Assumptions!$B$10),"OVERPAID","FAIR")))</f>
        <v>FAIR</v>
      </c>
      <c r="K1245" s="5" t="n">
        <v>18</v>
      </c>
    </row>
    <row r="1246" customFormat="false" ht="15" hidden="false" customHeight="false" outlineLevel="0" collapsed="false">
      <c r="A1246" s="5" t="n">
        <v>2022</v>
      </c>
      <c r="B1246" s="5" t="s">
        <v>607</v>
      </c>
      <c r="C1246" s="5" t="s">
        <v>618</v>
      </c>
      <c r="D1246" s="5" t="n">
        <v>10</v>
      </c>
      <c r="E1246" s="13" t="n">
        <v>0.97</v>
      </c>
      <c r="F1246" s="14" t="n">
        <f aca="false">E1246*Assumptions!$D$5</f>
        <v>130.661463975416</v>
      </c>
      <c r="G1246" s="14" t="n">
        <v>345</v>
      </c>
      <c r="H1246" s="14" t="n">
        <v>450</v>
      </c>
      <c r="I1246" s="14" t="n">
        <f aca="false">F1246-(G1246+H1246)/2</f>
        <v>-266.838536024584</v>
      </c>
      <c r="J1246" s="5" t="str">
        <f aca="false">IF(D1246&lt;8,"LOW SAMPLE",IF(F1246&gt;H1246*(1+Assumptions!$B$10),"UNDERPAID",IF(F1246&lt;G1246*(1-Assumptions!$B$10),"OVERPAID","FAIR")))</f>
        <v>OVERPAID</v>
      </c>
      <c r="K1246" s="5" t="n">
        <v>120</v>
      </c>
    </row>
    <row r="1247" customFormat="false" ht="15" hidden="false" customHeight="false" outlineLevel="0" collapsed="false">
      <c r="A1247" s="5" t="n">
        <v>2022</v>
      </c>
      <c r="B1247" s="5" t="s">
        <v>607</v>
      </c>
      <c r="C1247" s="5" t="s">
        <v>619</v>
      </c>
      <c r="D1247" s="5" t="n">
        <v>9</v>
      </c>
      <c r="E1247" s="13" t="n">
        <v>1.64</v>
      </c>
      <c r="F1247" s="14" t="n">
        <f aca="false">E1247*Assumptions!$D$5</f>
        <v>220.91216589658</v>
      </c>
      <c r="G1247" s="14" t="n">
        <v>225</v>
      </c>
      <c r="H1247" s="14" t="n">
        <v>345</v>
      </c>
      <c r="I1247" s="14" t="n">
        <f aca="false">F1247-(G1247+H1247)/2</f>
        <v>-64.0878341034201</v>
      </c>
      <c r="J1247" s="5" t="str">
        <f aca="false">IF(D1247&lt;8,"LOW SAMPLE",IF(F1247&gt;H1247*(1+Assumptions!$B$10),"UNDERPAID",IF(F1247&lt;G1247*(1-Assumptions!$B$10),"OVERPAID","FAIR")))</f>
        <v>FAIR</v>
      </c>
      <c r="K1247" s="5" t="n">
        <v>22</v>
      </c>
    </row>
    <row r="1248" customFormat="false" ht="15" hidden="false" customHeight="false" outlineLevel="0" collapsed="false">
      <c r="A1248" s="5" t="n">
        <v>2022</v>
      </c>
      <c r="B1248" s="5" t="s">
        <v>607</v>
      </c>
      <c r="C1248" s="5" t="s">
        <v>620</v>
      </c>
      <c r="D1248" s="5" t="n">
        <v>25</v>
      </c>
      <c r="E1248" s="13" t="n">
        <v>6.54</v>
      </c>
      <c r="F1248" s="14" t="n">
        <f aca="false">E1248*Assumptions!$D$5</f>
        <v>880.954612782703</v>
      </c>
      <c r="G1248" s="14" t="n">
        <v>450</v>
      </c>
      <c r="H1248" s="14" t="n">
        <v>615</v>
      </c>
      <c r="I1248" s="14" t="n">
        <f aca="false">F1248-(G1248+H1248)/2</f>
        <v>348.454612782703</v>
      </c>
      <c r="J1248" s="5" t="str">
        <f aca="false">IF(D1248&lt;8,"LOW SAMPLE",IF(F1248&gt;H1248*(1+Assumptions!$B$10),"UNDERPAID",IF(F1248&lt;G1248*(1-Assumptions!$B$10),"OVERPAID","FAIR")))</f>
        <v>UNDERPAID</v>
      </c>
      <c r="K1248" s="5" t="n">
        <v>129</v>
      </c>
    </row>
    <row r="1249" customFormat="false" ht="15" hidden="false" customHeight="false" outlineLevel="0" collapsed="false">
      <c r="A1249" s="5" t="n">
        <v>2022</v>
      </c>
      <c r="B1249" s="5" t="s">
        <v>607</v>
      </c>
      <c r="C1249" s="5" t="s">
        <v>621</v>
      </c>
      <c r="D1249" s="5" t="n">
        <v>24</v>
      </c>
      <c r="E1249" s="13" t="n">
        <v>4.55</v>
      </c>
      <c r="F1249" s="14" t="n">
        <f aca="false">E1249*Assumptions!$D$5</f>
        <v>612.896557822828</v>
      </c>
      <c r="G1249" s="14" t="n">
        <v>615</v>
      </c>
      <c r="H1249" s="14" t="n">
        <v>855</v>
      </c>
      <c r="I1249" s="14" t="n">
        <f aca="false">F1249-(G1249+H1249)/2</f>
        <v>-122.103442177172</v>
      </c>
      <c r="J1249" s="5" t="str">
        <f aca="false">IF(D1249&lt;8,"LOW SAMPLE",IF(F1249&gt;H1249*(1+Assumptions!$B$10),"UNDERPAID",IF(F1249&lt;G1249*(1-Assumptions!$B$10),"OVERPAID","FAIR")))</f>
        <v>FAIR</v>
      </c>
      <c r="K1249" s="5" t="n">
        <v>155</v>
      </c>
    </row>
    <row r="1250" customFormat="false" ht="15" hidden="false" customHeight="false" outlineLevel="0" collapsed="false">
      <c r="A1250" s="5" t="n">
        <v>2022</v>
      </c>
      <c r="B1250" s="5" t="s">
        <v>607</v>
      </c>
      <c r="C1250" s="5" t="s">
        <v>622</v>
      </c>
      <c r="D1250" s="5" t="n">
        <v>6</v>
      </c>
      <c r="E1250" s="13" t="n">
        <v>0.54</v>
      </c>
      <c r="F1250" s="14" t="n">
        <f aca="false">E1250*Assumptions!$D$5</f>
        <v>72.7393716976544</v>
      </c>
      <c r="G1250" s="14" t="n">
        <v>125</v>
      </c>
      <c r="H1250" s="14" t="n">
        <v>225</v>
      </c>
      <c r="I1250" s="14" t="n">
        <f aca="false">F1250-(G1250+H1250)/2</f>
        <v>-102.260628302346</v>
      </c>
      <c r="J1250" s="5" t="str">
        <f aca="false">IF(D1250&lt;8,"LOW SAMPLE",IF(F1250&gt;H1250*(1+Assumptions!$B$10),"UNDERPAID",IF(F1250&lt;G1250*(1-Assumptions!$B$10),"OVERPAID","FAIR")))</f>
        <v>LOW SAMPLE</v>
      </c>
      <c r="K1250" s="5" t="n">
        <v>22</v>
      </c>
    </row>
    <row r="1251" customFormat="false" ht="15" hidden="false" customHeight="false" outlineLevel="0" collapsed="false">
      <c r="A1251" s="5" t="n">
        <v>2022</v>
      </c>
      <c r="B1251" s="5" t="s">
        <v>607</v>
      </c>
      <c r="C1251" s="5" t="s">
        <v>623</v>
      </c>
      <c r="D1251" s="5" t="n">
        <v>24</v>
      </c>
      <c r="E1251" s="13" t="n">
        <v>5.89</v>
      </c>
      <c r="F1251" s="14" t="n">
        <f aca="false">E1251*Assumptions!$D$5</f>
        <v>793.397961665156</v>
      </c>
      <c r="G1251" s="14" t="n">
        <v>345</v>
      </c>
      <c r="H1251" s="14" t="n">
        <v>450</v>
      </c>
      <c r="I1251" s="14" t="n">
        <f aca="false">F1251-(G1251+H1251)/2</f>
        <v>395.897961665156</v>
      </c>
      <c r="J1251" s="5" t="str">
        <f aca="false">IF(D1251&lt;8,"LOW SAMPLE",IF(F1251&gt;H1251*(1+Assumptions!$B$10),"UNDERPAID",IF(F1251&lt;G1251*(1-Assumptions!$B$10),"OVERPAID","FAIR")))</f>
        <v>UNDERPAID</v>
      </c>
      <c r="K1251" s="5" t="n">
        <v>45</v>
      </c>
    </row>
    <row r="1252" customFormat="false" ht="15" hidden="false" customHeight="false" outlineLevel="0" collapsed="false">
      <c r="A1252" s="5" t="n">
        <v>2022</v>
      </c>
      <c r="B1252" s="5" t="s">
        <v>607</v>
      </c>
      <c r="C1252" s="5" t="s">
        <v>624</v>
      </c>
      <c r="D1252" s="5" t="n">
        <v>6</v>
      </c>
      <c r="E1252" s="13" t="n">
        <v>0.9</v>
      </c>
      <c r="F1252" s="14" t="n">
        <f aca="false">E1252*Assumptions!$D$5</f>
        <v>121.232286162757</v>
      </c>
      <c r="G1252" s="14" t="n">
        <v>125</v>
      </c>
      <c r="H1252" s="14" t="n">
        <v>225</v>
      </c>
      <c r="I1252" s="14" t="n">
        <f aca="false">F1252-(G1252+H1252)/2</f>
        <v>-53.7677138372427</v>
      </c>
      <c r="J1252" s="5" t="str">
        <f aca="false">IF(D1252&lt;8,"LOW SAMPLE",IF(F1252&gt;H1252*(1+Assumptions!$B$10),"UNDERPAID",IF(F1252&lt;G1252*(1-Assumptions!$B$10),"OVERPAID","FAIR")))</f>
        <v>LOW SAMPLE</v>
      </c>
      <c r="K1252" s="5" t="n">
        <v>7</v>
      </c>
    </row>
    <row r="1253" customFormat="false" ht="15" hidden="false" customHeight="false" outlineLevel="0" collapsed="false">
      <c r="A1253" s="5" t="n">
        <v>2022</v>
      </c>
      <c r="B1253" s="5" t="s">
        <v>607</v>
      </c>
      <c r="C1253" s="5" t="s">
        <v>626</v>
      </c>
      <c r="D1253" s="5" t="n">
        <v>11</v>
      </c>
      <c r="E1253" s="13" t="n">
        <v>1.24</v>
      </c>
      <c r="F1253" s="14" t="n">
        <f aca="false">E1253*Assumptions!$D$5</f>
        <v>167.031149824243</v>
      </c>
      <c r="G1253" s="14" t="n">
        <v>1170</v>
      </c>
      <c r="H1253" s="14" t="n">
        <v>1530</v>
      </c>
      <c r="I1253" s="14" t="n">
        <f aca="false">F1253-(G1253+H1253)/2</f>
        <v>-1182.96885017576</v>
      </c>
      <c r="J1253" s="5" t="str">
        <f aca="false">IF(D1253&lt;8,"LOW SAMPLE",IF(F1253&gt;H1253*(1+Assumptions!$B$10),"UNDERPAID",IF(F1253&lt;G1253*(1-Assumptions!$B$10),"OVERPAID","FAIR")))</f>
        <v>OVERPAID</v>
      </c>
      <c r="K1253" s="5" t="n">
        <v>283</v>
      </c>
    </row>
    <row r="1254" customFormat="false" ht="15" hidden="false" customHeight="false" outlineLevel="0" collapsed="false">
      <c r="A1254" s="5" t="n">
        <v>2022</v>
      </c>
      <c r="B1254" s="5" t="s">
        <v>607</v>
      </c>
      <c r="C1254" s="5" t="s">
        <v>627</v>
      </c>
      <c r="D1254" s="5" t="n">
        <v>22</v>
      </c>
      <c r="E1254" s="13" t="n">
        <v>3.15</v>
      </c>
      <c r="F1254" s="14" t="n">
        <f aca="false">E1254*Assumptions!$D$5</f>
        <v>424.31300156965</v>
      </c>
      <c r="G1254" s="14" t="n">
        <v>345</v>
      </c>
      <c r="H1254" s="14" t="n">
        <v>450</v>
      </c>
      <c r="I1254" s="14" t="n">
        <f aca="false">F1254-(G1254+H1254)/2</f>
        <v>26.8130015696504</v>
      </c>
      <c r="J1254" s="5" t="str">
        <f aca="false">IF(D1254&lt;8,"LOW SAMPLE",IF(F1254&gt;H1254*(1+Assumptions!$B$10),"UNDERPAID",IF(F1254&lt;G1254*(1-Assumptions!$B$10),"OVERPAID","FAIR")))</f>
        <v>FAIR</v>
      </c>
      <c r="K1254" s="5" t="n">
        <v>31</v>
      </c>
    </row>
    <row r="1255" customFormat="false" ht="15" hidden="false" customHeight="false" outlineLevel="0" collapsed="false">
      <c r="A1255" s="5" t="n">
        <v>2022</v>
      </c>
      <c r="B1255" s="5" t="s">
        <v>607</v>
      </c>
      <c r="C1255" s="5" t="s">
        <v>629</v>
      </c>
      <c r="D1255" s="5" t="n">
        <v>23</v>
      </c>
      <c r="E1255" s="13" t="n">
        <v>5.46</v>
      </c>
      <c r="F1255" s="14" t="n">
        <f aca="false">E1255*Assumptions!$D$5</f>
        <v>735.475869387394</v>
      </c>
      <c r="G1255" s="14" t="n">
        <v>450</v>
      </c>
      <c r="H1255" s="14" t="n">
        <v>615</v>
      </c>
      <c r="I1255" s="14" t="n">
        <f aca="false">F1255-(G1255+H1255)/2</f>
        <v>202.975869387394</v>
      </c>
      <c r="J1255" s="5" t="str">
        <f aca="false">IF(D1255&lt;8,"LOW SAMPLE",IF(F1255&gt;H1255*(1+Assumptions!$B$10),"UNDERPAID",IF(F1255&lt;G1255*(1-Assumptions!$B$10),"OVERPAID","FAIR")))</f>
        <v>UNDERPAID</v>
      </c>
      <c r="K1255" s="5" t="n">
        <v>114</v>
      </c>
    </row>
    <row r="1256" customFormat="false" ht="15" hidden="false" customHeight="false" outlineLevel="0" collapsed="false">
      <c r="A1256" s="5" t="n">
        <v>2022</v>
      </c>
      <c r="B1256" s="5" t="s">
        <v>607</v>
      </c>
      <c r="C1256" s="5" t="s">
        <v>631</v>
      </c>
      <c r="D1256" s="5" t="n">
        <v>1</v>
      </c>
      <c r="E1256" s="13" t="n">
        <v>0</v>
      </c>
      <c r="F1256" s="14" t="n">
        <f aca="false">E1256*Assumptions!$D$5</f>
        <v>0</v>
      </c>
      <c r="G1256" s="14" t="n">
        <v>345</v>
      </c>
      <c r="H1256" s="14" t="n">
        <v>450</v>
      </c>
      <c r="I1256" s="14" t="n">
        <f aca="false">F1256-(G1256+H1256)/2</f>
        <v>-397.5</v>
      </c>
      <c r="J1256" s="5" t="str">
        <f aca="false">IF(D1256&lt;8,"LOW SAMPLE",IF(F1256&gt;H1256*(1+Assumptions!$B$10),"UNDERPAID",IF(F1256&lt;G1256*(1-Assumptions!$B$10),"OVERPAID","FAIR")))</f>
        <v>LOW SAMPLE</v>
      </c>
      <c r="K1256" s="5" t="n">
        <v>101</v>
      </c>
    </row>
    <row r="1257" customFormat="false" ht="15" hidden="false" customHeight="false" outlineLevel="0" collapsed="false">
      <c r="A1257" s="5" t="n">
        <v>2022</v>
      </c>
      <c r="B1257" s="5" t="s">
        <v>607</v>
      </c>
      <c r="C1257" s="5" t="s">
        <v>632</v>
      </c>
      <c r="D1257" s="5" t="n">
        <v>17</v>
      </c>
      <c r="E1257" s="13" t="n">
        <v>2.25</v>
      </c>
      <c r="F1257" s="14" t="n">
        <f aca="false">E1257*Assumptions!$D$5</f>
        <v>303.080715406893</v>
      </c>
      <c r="G1257" s="14" t="n">
        <v>125</v>
      </c>
      <c r="H1257" s="14" t="n">
        <v>225</v>
      </c>
      <c r="I1257" s="14" t="n">
        <f aca="false">F1257-(G1257+H1257)/2</f>
        <v>128.080715406893</v>
      </c>
      <c r="J1257" s="5" t="str">
        <f aca="false">IF(D1257&lt;8,"LOW SAMPLE",IF(F1257&gt;H1257*(1+Assumptions!$B$10),"UNDERPAID",IF(F1257&lt;G1257*(1-Assumptions!$B$10),"OVERPAID","FAIR")))</f>
        <v>UNDERPAID</v>
      </c>
      <c r="K1257" s="5" t="n">
        <v>7</v>
      </c>
    </row>
    <row r="1258" customFormat="false" ht="15" hidden="false" customHeight="false" outlineLevel="0" collapsed="false">
      <c r="A1258" s="5" t="n">
        <v>2022</v>
      </c>
      <c r="B1258" s="5" t="s">
        <v>607</v>
      </c>
      <c r="C1258" s="5" t="s">
        <v>633</v>
      </c>
      <c r="D1258" s="5" t="n">
        <v>25</v>
      </c>
      <c r="E1258" s="13" t="n">
        <v>6.84</v>
      </c>
      <c r="F1258" s="14" t="n">
        <f aca="false">E1258*Assumptions!$D$5</f>
        <v>921.365374836955</v>
      </c>
      <c r="G1258" s="14" t="n">
        <v>855</v>
      </c>
      <c r="H1258" s="14" t="n">
        <v>1170</v>
      </c>
      <c r="I1258" s="14" t="n">
        <f aca="false">F1258-(G1258+H1258)/2</f>
        <v>-91.1346251630449</v>
      </c>
      <c r="J1258" s="5" t="str">
        <f aca="false">IF(D1258&lt;8,"LOW SAMPLE",IF(F1258&gt;H1258*(1+Assumptions!$B$10),"UNDERPAID",IF(F1258&lt;G1258*(1-Assumptions!$B$10),"OVERPAID","FAIR")))</f>
        <v>FAIR</v>
      </c>
      <c r="K1258" s="5" t="n">
        <v>153</v>
      </c>
    </row>
    <row r="1259" customFormat="false" ht="15" hidden="false" customHeight="false" outlineLevel="0" collapsed="false">
      <c r="A1259" s="5" t="n">
        <v>2022</v>
      </c>
      <c r="B1259" s="5" t="s">
        <v>607</v>
      </c>
      <c r="C1259" s="5" t="s">
        <v>809</v>
      </c>
      <c r="D1259" s="5" t="n">
        <v>1</v>
      </c>
      <c r="E1259" s="13" t="n">
        <v>0.04</v>
      </c>
      <c r="F1259" s="14" t="n">
        <f aca="false">E1259*Assumptions!$D$5</f>
        <v>5.38810160723366</v>
      </c>
      <c r="G1259" s="14" t="n">
        <v>225</v>
      </c>
      <c r="H1259" s="14" t="n">
        <v>345</v>
      </c>
      <c r="I1259" s="14" t="n">
        <f aca="false">F1259-(G1259+H1259)/2</f>
        <v>-279.611898392766</v>
      </c>
      <c r="J1259" s="5" t="str">
        <f aca="false">IF(D1259&lt;8,"LOW SAMPLE",IF(F1259&gt;H1259*(1+Assumptions!$B$10),"UNDERPAID",IF(F1259&lt;G1259*(1-Assumptions!$B$10),"OVERPAID","FAIR")))</f>
        <v>LOW SAMPLE</v>
      </c>
      <c r="K1259" s="5" t="n">
        <v>0</v>
      </c>
    </row>
    <row r="1260" customFormat="false" ht="15" hidden="false" customHeight="false" outlineLevel="0" collapsed="false">
      <c r="A1260" s="5" t="n">
        <v>2022</v>
      </c>
      <c r="B1260" s="5" t="s">
        <v>607</v>
      </c>
      <c r="C1260" s="5" t="s">
        <v>635</v>
      </c>
      <c r="D1260" s="5" t="n">
        <v>24</v>
      </c>
      <c r="E1260" s="13" t="n">
        <v>4.97</v>
      </c>
      <c r="F1260" s="14" t="n">
        <f aca="false">E1260*Assumptions!$D$5</f>
        <v>669.471624698782</v>
      </c>
      <c r="G1260" s="14" t="n">
        <v>345</v>
      </c>
      <c r="H1260" s="14" t="n">
        <v>450</v>
      </c>
      <c r="I1260" s="14" t="n">
        <f aca="false">F1260-(G1260+H1260)/2</f>
        <v>271.971624698782</v>
      </c>
      <c r="J1260" s="5" t="str">
        <f aca="false">IF(D1260&lt;8,"LOW SAMPLE",IF(F1260&gt;H1260*(1+Assumptions!$B$10),"UNDERPAID",IF(F1260&lt;G1260*(1-Assumptions!$B$10),"OVERPAID","FAIR")))</f>
        <v>UNDERPAID</v>
      </c>
      <c r="K1260" s="5" t="n">
        <v>54</v>
      </c>
    </row>
    <row r="1261" customFormat="false" ht="15" hidden="false" customHeight="false" outlineLevel="0" collapsed="false">
      <c r="A1261" s="5" t="n">
        <v>2022</v>
      </c>
      <c r="B1261" s="5" t="s">
        <v>607</v>
      </c>
      <c r="C1261" s="5" t="s">
        <v>636</v>
      </c>
      <c r="D1261" s="5" t="n">
        <v>25</v>
      </c>
      <c r="E1261" s="13" t="n">
        <v>3.95</v>
      </c>
      <c r="F1261" s="14" t="n">
        <f aca="false">E1261*Assumptions!$D$5</f>
        <v>532.075033714324</v>
      </c>
      <c r="G1261" s="14" t="n">
        <v>450</v>
      </c>
      <c r="H1261" s="14" t="n">
        <v>615</v>
      </c>
      <c r="I1261" s="14" t="n">
        <f aca="false">F1261-(G1261+H1261)/2</f>
        <v>-0.424966285676419</v>
      </c>
      <c r="J1261" s="5" t="str">
        <f aca="false">IF(D1261&lt;8,"LOW SAMPLE",IF(F1261&gt;H1261*(1+Assumptions!$B$10),"UNDERPAID",IF(F1261&lt;G1261*(1-Assumptions!$B$10),"OVERPAID","FAIR")))</f>
        <v>FAIR</v>
      </c>
      <c r="K1261" s="5" t="n">
        <v>93</v>
      </c>
    </row>
    <row r="1262" customFormat="false" ht="15" hidden="false" customHeight="false" outlineLevel="0" collapsed="false">
      <c r="A1262" s="5" t="n">
        <v>2022</v>
      </c>
      <c r="B1262" s="5" t="s">
        <v>607</v>
      </c>
      <c r="C1262" s="5" t="s">
        <v>810</v>
      </c>
      <c r="D1262" s="5" t="n">
        <v>24</v>
      </c>
      <c r="E1262" s="13" t="n">
        <v>3.96</v>
      </c>
      <c r="F1262" s="14" t="n">
        <f aca="false">E1262*Assumptions!$D$5</f>
        <v>533.422059116132</v>
      </c>
      <c r="G1262" s="14" t="n">
        <v>225</v>
      </c>
      <c r="H1262" s="14" t="n">
        <v>345</v>
      </c>
      <c r="I1262" s="14" t="n">
        <f aca="false">F1262-(G1262+H1262)/2</f>
        <v>248.422059116132</v>
      </c>
      <c r="J1262" s="5" t="str">
        <f aca="false">IF(D1262&lt;8,"LOW SAMPLE",IF(F1262&gt;H1262*(1+Assumptions!$B$10),"UNDERPAID",IF(F1262&lt;G1262*(1-Assumptions!$B$10),"OVERPAID","FAIR")))</f>
        <v>UNDERPAID</v>
      </c>
      <c r="K1262" s="5" t="n">
        <v>35</v>
      </c>
    </row>
    <row r="1263" customFormat="false" ht="15" hidden="false" customHeight="false" outlineLevel="0" collapsed="false">
      <c r="A1263" s="5" t="n">
        <v>2022</v>
      </c>
      <c r="B1263" s="5" t="s">
        <v>607</v>
      </c>
      <c r="C1263" s="5" t="s">
        <v>510</v>
      </c>
      <c r="D1263" s="5" t="n">
        <v>11</v>
      </c>
      <c r="E1263" s="13" t="n">
        <v>2.15</v>
      </c>
      <c r="F1263" s="14" t="n">
        <f aca="false">E1263*Assumptions!$D$5</f>
        <v>289.610461388809</v>
      </c>
      <c r="G1263" s="14" t="n">
        <v>345</v>
      </c>
      <c r="H1263" s="14" t="n">
        <v>450</v>
      </c>
      <c r="I1263" s="14" t="n">
        <f aca="false">F1263-(G1263+H1263)/2</f>
        <v>-107.889538611191</v>
      </c>
      <c r="J1263" s="5" t="str">
        <f aca="false">IF(D1263&lt;8,"LOW SAMPLE",IF(F1263&gt;H1263*(1+Assumptions!$B$10),"UNDERPAID",IF(F1263&lt;G1263*(1-Assumptions!$B$10),"OVERPAID","FAIR")))</f>
        <v>OVERPAID</v>
      </c>
      <c r="K1263" s="5" t="n">
        <v>32</v>
      </c>
    </row>
    <row r="1264" customFormat="false" ht="15" hidden="false" customHeight="false" outlineLevel="0" collapsed="false">
      <c r="A1264" s="5" t="n">
        <v>2022</v>
      </c>
      <c r="B1264" s="5" t="s">
        <v>607</v>
      </c>
      <c r="C1264" s="5" t="s">
        <v>637</v>
      </c>
      <c r="D1264" s="5" t="n">
        <v>14</v>
      </c>
      <c r="E1264" s="13" t="n">
        <v>1.95</v>
      </c>
      <c r="F1264" s="14" t="n">
        <f aca="false">E1264*Assumptions!$D$5</f>
        <v>262.669953352641</v>
      </c>
      <c r="G1264" s="14" t="n">
        <v>345</v>
      </c>
      <c r="H1264" s="14" t="n">
        <v>450</v>
      </c>
      <c r="I1264" s="14" t="n">
        <f aca="false">F1264-(G1264+H1264)/2</f>
        <v>-134.830046647359</v>
      </c>
      <c r="J1264" s="5" t="str">
        <f aca="false">IF(D1264&lt;8,"LOW SAMPLE",IF(F1264&gt;H1264*(1+Assumptions!$B$10),"UNDERPAID",IF(F1264&lt;G1264*(1-Assumptions!$B$10),"OVERPAID","FAIR")))</f>
        <v>OVERPAID</v>
      </c>
      <c r="K1264" s="5" t="n">
        <v>53</v>
      </c>
    </row>
    <row r="1265" customFormat="false" ht="15" hidden="false" customHeight="false" outlineLevel="0" collapsed="false">
      <c r="A1265" s="5" t="n">
        <v>2022</v>
      </c>
      <c r="B1265" s="5" t="s">
        <v>607</v>
      </c>
      <c r="C1265" s="5" t="s">
        <v>638</v>
      </c>
      <c r="D1265" s="5" t="n">
        <v>14</v>
      </c>
      <c r="E1265" s="13" t="n">
        <v>1.41</v>
      </c>
      <c r="F1265" s="14" t="n">
        <f aca="false">E1265*Assumptions!$D$5</f>
        <v>189.930581654986</v>
      </c>
      <c r="G1265" s="14" t="n">
        <v>225</v>
      </c>
      <c r="H1265" s="14" t="n">
        <v>345</v>
      </c>
      <c r="I1265" s="14" t="n">
        <f aca="false">F1265-(G1265+H1265)/2</f>
        <v>-95.0694183450136</v>
      </c>
      <c r="J1265" s="5" t="str">
        <f aca="false">IF(D1265&lt;8,"LOW SAMPLE",IF(F1265&gt;H1265*(1+Assumptions!$B$10),"UNDERPAID",IF(F1265&lt;G1265*(1-Assumptions!$B$10),"OVERPAID","FAIR")))</f>
        <v>OVERPAID</v>
      </c>
      <c r="K1265" s="5" t="n">
        <v>67</v>
      </c>
    </row>
    <row r="1266" customFormat="false" ht="15" hidden="false" customHeight="false" outlineLevel="0" collapsed="false">
      <c r="A1266" s="5" t="n">
        <v>2022</v>
      </c>
      <c r="B1266" s="5" t="s">
        <v>607</v>
      </c>
      <c r="C1266" s="5" t="s">
        <v>293</v>
      </c>
      <c r="D1266" s="5" t="n">
        <v>18</v>
      </c>
      <c r="E1266" s="13" t="n">
        <v>3.93</v>
      </c>
      <c r="F1266" s="14" t="n">
        <f aca="false">E1266*Assumptions!$D$5</f>
        <v>529.380982910707</v>
      </c>
      <c r="G1266" s="14" t="n">
        <v>450</v>
      </c>
      <c r="H1266" s="14" t="n">
        <v>615</v>
      </c>
      <c r="I1266" s="14" t="n">
        <f aca="false">F1266-(G1266+H1266)/2</f>
        <v>-3.11901708929327</v>
      </c>
      <c r="J1266" s="5" t="str">
        <f aca="false">IF(D1266&lt;8,"LOW SAMPLE",IF(F1266&gt;H1266*(1+Assumptions!$B$10),"UNDERPAID",IF(F1266&lt;G1266*(1-Assumptions!$B$10),"OVERPAID","FAIR")))</f>
        <v>FAIR</v>
      </c>
      <c r="K1266" s="5" t="n">
        <v>171</v>
      </c>
    </row>
    <row r="1267" customFormat="false" ht="15" hidden="false" customHeight="false" outlineLevel="0" collapsed="false">
      <c r="A1267" s="5" t="n">
        <v>2022</v>
      </c>
      <c r="B1267" s="5" t="s">
        <v>607</v>
      </c>
      <c r="C1267" s="5" t="s">
        <v>639</v>
      </c>
      <c r="D1267" s="5" t="n">
        <v>10</v>
      </c>
      <c r="E1267" s="13" t="n">
        <v>1.07</v>
      </c>
      <c r="F1267" s="14" t="n">
        <f aca="false">E1267*Assumptions!$D$5</f>
        <v>144.1317179935</v>
      </c>
      <c r="G1267" s="14" t="n">
        <v>345</v>
      </c>
      <c r="H1267" s="14" t="n">
        <v>450</v>
      </c>
      <c r="I1267" s="14" t="n">
        <f aca="false">F1267-(G1267+H1267)/2</f>
        <v>-253.3682820065</v>
      </c>
      <c r="J1267" s="5" t="str">
        <f aca="false">IF(D1267&lt;8,"LOW SAMPLE",IF(F1267&gt;H1267*(1+Assumptions!$B$10),"UNDERPAID",IF(F1267&lt;G1267*(1-Assumptions!$B$10),"OVERPAID","FAIR")))</f>
        <v>OVERPAID</v>
      </c>
      <c r="K1267" s="5" t="n">
        <v>29</v>
      </c>
    </row>
    <row r="1268" customFormat="false" ht="15" hidden="false" customHeight="false" outlineLevel="0" collapsed="false">
      <c r="A1268" s="5" t="n">
        <v>2022</v>
      </c>
      <c r="B1268" s="5" t="s">
        <v>607</v>
      </c>
      <c r="C1268" s="5" t="s">
        <v>640</v>
      </c>
      <c r="D1268" s="5" t="n">
        <v>16</v>
      </c>
      <c r="E1268" s="13" t="n">
        <v>3.5</v>
      </c>
      <c r="F1268" s="14" t="n">
        <f aca="false">E1268*Assumptions!$D$5</f>
        <v>471.458890632945</v>
      </c>
      <c r="G1268" s="14" t="n">
        <v>450</v>
      </c>
      <c r="H1268" s="14" t="n">
        <v>615</v>
      </c>
      <c r="I1268" s="14" t="n">
        <f aca="false">F1268-(G1268+H1268)/2</f>
        <v>-61.0411093670551</v>
      </c>
      <c r="J1268" s="5" t="str">
        <f aca="false">IF(D1268&lt;8,"LOW SAMPLE",IF(F1268&gt;H1268*(1+Assumptions!$B$10),"UNDERPAID",IF(F1268&lt;G1268*(1-Assumptions!$B$10),"OVERPAID","FAIR")))</f>
        <v>FAIR</v>
      </c>
      <c r="K1268" s="5" t="n">
        <v>93</v>
      </c>
    </row>
    <row r="1269" customFormat="false" ht="15" hidden="false" customHeight="false" outlineLevel="0" collapsed="false">
      <c r="A1269" s="5" t="n">
        <v>2022</v>
      </c>
      <c r="B1269" s="5" t="s">
        <v>607</v>
      </c>
      <c r="C1269" s="5" t="s">
        <v>641</v>
      </c>
      <c r="D1269" s="5" t="n">
        <v>25</v>
      </c>
      <c r="E1269" s="13" t="n">
        <v>4.6</v>
      </c>
      <c r="F1269" s="14" t="n">
        <f aca="false">E1269*Assumptions!$D$5</f>
        <v>619.63168483187</v>
      </c>
      <c r="G1269" s="14" t="n">
        <v>450</v>
      </c>
      <c r="H1269" s="14" t="n">
        <v>615</v>
      </c>
      <c r="I1269" s="14" t="n">
        <f aca="false">F1269-(G1269+H1269)/2</f>
        <v>87.1316848318704</v>
      </c>
      <c r="J1269" s="5" t="str">
        <f aca="false">IF(D1269&lt;8,"LOW SAMPLE",IF(F1269&gt;H1269*(1+Assumptions!$B$10),"UNDERPAID",IF(F1269&lt;G1269*(1-Assumptions!$B$10),"OVERPAID","FAIR")))</f>
        <v>FAIR</v>
      </c>
      <c r="K1269" s="5" t="n">
        <v>70</v>
      </c>
    </row>
    <row r="1270" customFormat="false" ht="15" hidden="false" customHeight="false" outlineLevel="0" collapsed="false">
      <c r="A1270" s="5" t="n">
        <v>2022</v>
      </c>
      <c r="B1270" s="5" t="s">
        <v>607</v>
      </c>
      <c r="C1270" s="5" t="s">
        <v>642</v>
      </c>
      <c r="D1270" s="5" t="n">
        <v>19</v>
      </c>
      <c r="E1270" s="13" t="n">
        <v>4.66</v>
      </c>
      <c r="F1270" s="14" t="n">
        <f aca="false">E1270*Assumptions!$D$5</f>
        <v>627.713837242721</v>
      </c>
      <c r="G1270" s="14" t="n">
        <v>615</v>
      </c>
      <c r="H1270" s="14" t="n">
        <v>855</v>
      </c>
      <c r="I1270" s="14" t="n">
        <f aca="false">F1270-(G1270+H1270)/2</f>
        <v>-107.286162757279</v>
      </c>
      <c r="J1270" s="5" t="str">
        <f aca="false">IF(D1270&lt;8,"LOW SAMPLE",IF(F1270&gt;H1270*(1+Assumptions!$B$10),"UNDERPAID",IF(F1270&lt;G1270*(1-Assumptions!$B$10),"OVERPAID","FAIR")))</f>
        <v>FAIR</v>
      </c>
      <c r="K1270" s="5" t="n">
        <v>122</v>
      </c>
    </row>
    <row r="1271" customFormat="false" ht="15" hidden="false" customHeight="false" outlineLevel="0" collapsed="false">
      <c r="A1271" s="5" t="n">
        <v>2022</v>
      </c>
      <c r="B1271" s="5" t="s">
        <v>607</v>
      </c>
      <c r="C1271" s="5" t="s">
        <v>643</v>
      </c>
      <c r="D1271" s="5" t="n">
        <v>25</v>
      </c>
      <c r="E1271" s="13" t="n">
        <v>4.24</v>
      </c>
      <c r="F1271" s="14" t="n">
        <f aca="false">E1271*Assumptions!$D$5</f>
        <v>571.138770366768</v>
      </c>
      <c r="G1271" s="14" t="n">
        <v>345</v>
      </c>
      <c r="H1271" s="14" t="n">
        <v>450</v>
      </c>
      <c r="I1271" s="14" t="n">
        <f aca="false">F1271-(G1271+H1271)/2</f>
        <v>173.638770366768</v>
      </c>
      <c r="J1271" s="5" t="str">
        <f aca="false">IF(D1271&lt;8,"LOW SAMPLE",IF(F1271&gt;H1271*(1+Assumptions!$B$10),"UNDERPAID",IF(F1271&lt;G1271*(1-Assumptions!$B$10),"OVERPAID","FAIR")))</f>
        <v>UNDERPAID</v>
      </c>
      <c r="K1271" s="5" t="n">
        <v>89</v>
      </c>
    </row>
    <row r="1272" customFormat="false" ht="15" hidden="false" customHeight="false" outlineLevel="0" collapsed="false">
      <c r="A1272" s="5" t="n">
        <v>2022</v>
      </c>
      <c r="B1272" s="5" t="s">
        <v>644</v>
      </c>
      <c r="C1272" s="5" t="s">
        <v>811</v>
      </c>
      <c r="D1272" s="5" t="n">
        <v>1</v>
      </c>
      <c r="E1272" s="13" t="n">
        <v>0.14</v>
      </c>
      <c r="F1272" s="14" t="n">
        <f aca="false">E1272*Assumptions!$D$5</f>
        <v>18.8583556253178</v>
      </c>
      <c r="G1272" s="14" t="n">
        <v>225</v>
      </c>
      <c r="H1272" s="14" t="n">
        <v>345</v>
      </c>
      <c r="I1272" s="14" t="n">
        <f aca="false">F1272-(G1272+H1272)/2</f>
        <v>-266.141644374682</v>
      </c>
      <c r="J1272" s="5" t="str">
        <f aca="false">IF(D1272&lt;8,"LOW SAMPLE",IF(F1272&gt;H1272*(1+Assumptions!$B$10),"UNDERPAID",IF(F1272&lt;G1272*(1-Assumptions!$B$10),"OVERPAID","FAIR")))</f>
        <v>LOW SAMPLE</v>
      </c>
      <c r="K1272" s="5" t="n">
        <v>10</v>
      </c>
    </row>
    <row r="1273" customFormat="false" ht="15" hidden="false" customHeight="false" outlineLevel="0" collapsed="false">
      <c r="A1273" s="5" t="n">
        <v>2022</v>
      </c>
      <c r="B1273" s="5" t="s">
        <v>644</v>
      </c>
      <c r="C1273" s="5" t="s">
        <v>645</v>
      </c>
      <c r="D1273" s="5" t="n">
        <v>13</v>
      </c>
      <c r="E1273" s="13" t="n">
        <v>2.2</v>
      </c>
      <c r="F1273" s="14" t="n">
        <f aca="false">E1273*Assumptions!$D$5</f>
        <v>296.345588397851</v>
      </c>
      <c r="G1273" s="14" t="n">
        <v>225</v>
      </c>
      <c r="H1273" s="14" t="n">
        <v>345</v>
      </c>
      <c r="I1273" s="14" t="n">
        <f aca="false">F1273-(G1273+H1273)/2</f>
        <v>11.3455883978511</v>
      </c>
      <c r="J1273" s="5" t="str">
        <f aca="false">IF(D1273&lt;8,"LOW SAMPLE",IF(F1273&gt;H1273*(1+Assumptions!$B$10),"UNDERPAID",IF(F1273&lt;G1273*(1-Assumptions!$B$10),"OVERPAID","FAIR")))</f>
        <v>FAIR</v>
      </c>
      <c r="K1273" s="5" t="n">
        <v>68</v>
      </c>
    </row>
    <row r="1274" customFormat="false" ht="15" hidden="false" customHeight="false" outlineLevel="0" collapsed="false">
      <c r="A1274" s="5" t="n">
        <v>2022</v>
      </c>
      <c r="B1274" s="5" t="s">
        <v>644</v>
      </c>
      <c r="C1274" s="5" t="s">
        <v>646</v>
      </c>
      <c r="D1274" s="5" t="n">
        <v>16</v>
      </c>
      <c r="E1274" s="13" t="n">
        <v>2.42</v>
      </c>
      <c r="F1274" s="14" t="n">
        <f aca="false">E1274*Assumptions!$D$5</f>
        <v>325.980147237636</v>
      </c>
      <c r="G1274" s="14" t="n">
        <v>450</v>
      </c>
      <c r="H1274" s="14" t="n">
        <v>615</v>
      </c>
      <c r="I1274" s="14" t="n">
        <f aca="false">F1274-(G1274+H1274)/2</f>
        <v>-206.519852762364</v>
      </c>
      <c r="J1274" s="5" t="str">
        <f aca="false">IF(D1274&lt;8,"LOW SAMPLE",IF(F1274&gt;H1274*(1+Assumptions!$B$10),"UNDERPAID",IF(F1274&lt;G1274*(1-Assumptions!$B$10),"OVERPAID","FAIR")))</f>
        <v>OVERPAID</v>
      </c>
      <c r="K1274" s="5" t="n">
        <v>151</v>
      </c>
    </row>
    <row r="1275" customFormat="false" ht="15" hidden="false" customHeight="false" outlineLevel="0" collapsed="false">
      <c r="A1275" s="5" t="n">
        <v>2022</v>
      </c>
      <c r="B1275" s="5" t="s">
        <v>644</v>
      </c>
      <c r="C1275" s="5" t="s">
        <v>812</v>
      </c>
      <c r="D1275" s="5" t="n">
        <v>1</v>
      </c>
      <c r="E1275" s="13" t="n">
        <v>0.12</v>
      </c>
      <c r="F1275" s="14" t="n">
        <f aca="false">E1275*Assumptions!$D$5</f>
        <v>16.164304821701</v>
      </c>
      <c r="G1275" s="14" t="n">
        <v>225</v>
      </c>
      <c r="H1275" s="14" t="n">
        <v>345</v>
      </c>
      <c r="I1275" s="14" t="n">
        <f aca="false">F1275-(G1275+H1275)/2</f>
        <v>-268.835695178299</v>
      </c>
      <c r="J1275" s="5" t="str">
        <f aca="false">IF(D1275&lt;8,"LOW SAMPLE",IF(F1275&gt;H1275*(1+Assumptions!$B$10),"UNDERPAID",IF(F1275&lt;G1275*(1-Assumptions!$B$10),"OVERPAID","FAIR")))</f>
        <v>LOW SAMPLE</v>
      </c>
      <c r="K1275" s="5" t="n">
        <v>12</v>
      </c>
    </row>
    <row r="1276" customFormat="false" ht="15" hidden="false" customHeight="false" outlineLevel="0" collapsed="false">
      <c r="A1276" s="5" t="n">
        <v>2022</v>
      </c>
      <c r="B1276" s="5" t="s">
        <v>644</v>
      </c>
      <c r="C1276" s="5" t="s">
        <v>647</v>
      </c>
      <c r="D1276" s="5" t="n">
        <v>17</v>
      </c>
      <c r="E1276" s="13" t="n">
        <v>2.67</v>
      </c>
      <c r="F1276" s="14" t="n">
        <f aca="false">E1276*Assumptions!$D$5</f>
        <v>359.655782282847</v>
      </c>
      <c r="G1276" s="14" t="n">
        <v>450</v>
      </c>
      <c r="H1276" s="14" t="n">
        <v>615</v>
      </c>
      <c r="I1276" s="14" t="n">
        <f aca="false">F1276-(G1276+H1276)/2</f>
        <v>-172.844217717153</v>
      </c>
      <c r="J1276" s="5" t="str">
        <f aca="false">IF(D1276&lt;8,"LOW SAMPLE",IF(F1276&gt;H1276*(1+Assumptions!$B$10),"UNDERPAID",IF(F1276&lt;G1276*(1-Assumptions!$B$10),"OVERPAID","FAIR")))</f>
        <v>OVERPAID</v>
      </c>
      <c r="K1276" s="5" t="n">
        <v>91</v>
      </c>
    </row>
    <row r="1277" customFormat="false" ht="15" hidden="false" customHeight="false" outlineLevel="0" collapsed="false">
      <c r="A1277" s="5" t="n">
        <v>2022</v>
      </c>
      <c r="B1277" s="5" t="s">
        <v>644</v>
      </c>
      <c r="C1277" s="5" t="s">
        <v>813</v>
      </c>
      <c r="D1277" s="5" t="n">
        <v>15</v>
      </c>
      <c r="E1277" s="13" t="n">
        <v>1.33</v>
      </c>
      <c r="F1277" s="14" t="n">
        <f aca="false">E1277*Assumptions!$D$5</f>
        <v>179.154378440519</v>
      </c>
      <c r="G1277" s="14" t="n">
        <v>225</v>
      </c>
      <c r="H1277" s="14" t="n">
        <v>345</v>
      </c>
      <c r="I1277" s="14" t="n">
        <f aca="false">F1277-(G1277+H1277)/2</f>
        <v>-105.845621559481</v>
      </c>
      <c r="J1277" s="5" t="str">
        <f aca="false">IF(D1277&lt;8,"LOW SAMPLE",IF(F1277&gt;H1277*(1+Assumptions!$B$10),"UNDERPAID",IF(F1277&lt;G1277*(1-Assumptions!$B$10),"OVERPAID","FAIR")))</f>
        <v>OVERPAID</v>
      </c>
      <c r="K1277" s="5" t="n">
        <v>0</v>
      </c>
    </row>
    <row r="1278" customFormat="false" ht="15" hidden="false" customHeight="false" outlineLevel="0" collapsed="false">
      <c r="A1278" s="5" t="n">
        <v>2022</v>
      </c>
      <c r="B1278" s="5" t="s">
        <v>644</v>
      </c>
      <c r="C1278" s="5" t="s">
        <v>649</v>
      </c>
      <c r="D1278" s="5" t="n">
        <v>1</v>
      </c>
      <c r="E1278" s="13" t="n">
        <v>0.03</v>
      </c>
      <c r="F1278" s="14" t="n">
        <f aca="false">E1278*Assumptions!$D$5</f>
        <v>4.04107620542524</v>
      </c>
      <c r="G1278" s="14" t="n">
        <v>125</v>
      </c>
      <c r="H1278" s="14" t="n">
        <v>225</v>
      </c>
      <c r="I1278" s="14" t="n">
        <f aca="false">F1278-(G1278+H1278)/2</f>
        <v>-170.958923794575</v>
      </c>
      <c r="J1278" s="5" t="str">
        <f aca="false">IF(D1278&lt;8,"LOW SAMPLE",IF(F1278&gt;H1278*(1+Assumptions!$B$10),"UNDERPAID",IF(F1278&lt;G1278*(1-Assumptions!$B$10),"OVERPAID","FAIR")))</f>
        <v>LOW SAMPLE</v>
      </c>
      <c r="K1278" s="5" t="n">
        <v>14</v>
      </c>
    </row>
    <row r="1279" customFormat="false" ht="15" hidden="false" customHeight="false" outlineLevel="0" collapsed="false">
      <c r="A1279" s="5" t="n">
        <v>2022</v>
      </c>
      <c r="B1279" s="5" t="s">
        <v>644</v>
      </c>
      <c r="C1279" s="5" t="s">
        <v>814</v>
      </c>
      <c r="D1279" s="5" t="n">
        <v>9</v>
      </c>
      <c r="E1279" s="13" t="n">
        <v>0.95</v>
      </c>
      <c r="F1279" s="14" t="n">
        <f aca="false">E1279*Assumptions!$D$5</f>
        <v>127.967413171799</v>
      </c>
      <c r="G1279" s="14" t="n">
        <v>225</v>
      </c>
      <c r="H1279" s="14" t="n">
        <v>345</v>
      </c>
      <c r="I1279" s="14" t="n">
        <f aca="false">F1279-(G1279+H1279)/2</f>
        <v>-157.032586828201</v>
      </c>
      <c r="J1279" s="5" t="str">
        <f aca="false">IF(D1279&lt;8,"LOW SAMPLE",IF(F1279&gt;H1279*(1+Assumptions!$B$10),"UNDERPAID",IF(F1279&lt;G1279*(1-Assumptions!$B$10),"OVERPAID","FAIR")))</f>
        <v>OVERPAID</v>
      </c>
      <c r="K1279" s="5" t="n">
        <v>0</v>
      </c>
    </row>
    <row r="1280" customFormat="false" ht="15" hidden="false" customHeight="false" outlineLevel="0" collapsed="false">
      <c r="A1280" s="5" t="n">
        <v>2022</v>
      </c>
      <c r="B1280" s="5" t="s">
        <v>644</v>
      </c>
      <c r="C1280" s="5" t="s">
        <v>651</v>
      </c>
      <c r="D1280" s="5" t="n">
        <v>14</v>
      </c>
      <c r="E1280" s="13" t="n">
        <v>1.78</v>
      </c>
      <c r="F1280" s="14" t="n">
        <f aca="false">E1280*Assumptions!$D$5</f>
        <v>239.770521521898</v>
      </c>
      <c r="G1280" s="14" t="n">
        <v>125</v>
      </c>
      <c r="H1280" s="14" t="n">
        <v>225</v>
      </c>
      <c r="I1280" s="14" t="n">
        <f aca="false">F1280-(G1280+H1280)/2</f>
        <v>64.7705215218977</v>
      </c>
      <c r="J1280" s="5" t="str">
        <f aca="false">IF(D1280&lt;8,"LOW SAMPLE",IF(F1280&gt;H1280*(1+Assumptions!$B$10),"UNDERPAID",IF(F1280&lt;G1280*(1-Assumptions!$B$10),"OVERPAID","FAIR")))</f>
        <v>FAIR</v>
      </c>
      <c r="K1280" s="5" t="n">
        <v>5</v>
      </c>
    </row>
    <row r="1281" customFormat="false" ht="15" hidden="false" customHeight="false" outlineLevel="0" collapsed="false">
      <c r="A1281" s="5" t="n">
        <v>2022</v>
      </c>
      <c r="B1281" s="5" t="s">
        <v>644</v>
      </c>
      <c r="C1281" s="5" t="s">
        <v>815</v>
      </c>
      <c r="D1281" s="5" t="n">
        <v>2</v>
      </c>
      <c r="E1281" s="13" t="n">
        <v>0.24</v>
      </c>
      <c r="F1281" s="14" t="n">
        <f aca="false">E1281*Assumptions!$D$5</f>
        <v>32.3286096434019</v>
      </c>
      <c r="G1281" s="14" t="n">
        <v>225</v>
      </c>
      <c r="H1281" s="14" t="n">
        <v>345</v>
      </c>
      <c r="I1281" s="14" t="n">
        <f aca="false">F1281-(G1281+H1281)/2</f>
        <v>-252.671390356598</v>
      </c>
      <c r="J1281" s="5" t="str">
        <f aca="false">IF(D1281&lt;8,"LOW SAMPLE",IF(F1281&gt;H1281*(1+Assumptions!$B$10),"UNDERPAID",IF(F1281&lt;G1281*(1-Assumptions!$B$10),"OVERPAID","FAIR")))</f>
        <v>LOW SAMPLE</v>
      </c>
      <c r="K1281" s="5" t="n">
        <v>12</v>
      </c>
    </row>
    <row r="1282" customFormat="false" ht="15" hidden="false" customHeight="false" outlineLevel="0" collapsed="false">
      <c r="A1282" s="5" t="n">
        <v>2022</v>
      </c>
      <c r="B1282" s="5" t="s">
        <v>644</v>
      </c>
      <c r="C1282" s="5" t="s">
        <v>652</v>
      </c>
      <c r="D1282" s="5" t="n">
        <v>1</v>
      </c>
      <c r="E1282" s="13" t="n">
        <v>0.17</v>
      </c>
      <c r="F1282" s="14" t="n">
        <f aca="false">E1282*Assumptions!$D$5</f>
        <v>22.899431830743</v>
      </c>
      <c r="G1282" s="14" t="n">
        <v>615</v>
      </c>
      <c r="H1282" s="14" t="n">
        <v>855</v>
      </c>
      <c r="I1282" s="14" t="n">
        <f aca="false">F1282-(G1282+H1282)/2</f>
        <v>-712.100568169257</v>
      </c>
      <c r="J1282" s="5" t="str">
        <f aca="false">IF(D1282&lt;8,"LOW SAMPLE",IF(F1282&gt;H1282*(1+Assumptions!$B$10),"UNDERPAID",IF(F1282&lt;G1282*(1-Assumptions!$B$10),"OVERPAID","FAIR")))</f>
        <v>LOW SAMPLE</v>
      </c>
      <c r="K1282" s="5" t="n">
        <v>131</v>
      </c>
    </row>
    <row r="1283" customFormat="false" ht="15" hidden="false" customHeight="false" outlineLevel="0" collapsed="false">
      <c r="A1283" s="5" t="n">
        <v>2022</v>
      </c>
      <c r="B1283" s="5" t="s">
        <v>644</v>
      </c>
      <c r="C1283" s="5" t="s">
        <v>653</v>
      </c>
      <c r="D1283" s="5" t="n">
        <v>5</v>
      </c>
      <c r="E1283" s="13" t="n">
        <v>0.67</v>
      </c>
      <c r="F1283" s="14" t="n">
        <f aca="false">E1283*Assumptions!$D$5</f>
        <v>90.2507019211637</v>
      </c>
      <c r="G1283" s="14" t="n">
        <v>450</v>
      </c>
      <c r="H1283" s="14" t="n">
        <v>615</v>
      </c>
      <c r="I1283" s="14" t="n">
        <f aca="false">F1283-(G1283+H1283)/2</f>
        <v>-442.249298078836</v>
      </c>
      <c r="J1283" s="5" t="str">
        <f aca="false">IF(D1283&lt;8,"LOW SAMPLE",IF(F1283&gt;H1283*(1+Assumptions!$B$10),"UNDERPAID",IF(F1283&lt;G1283*(1-Assumptions!$B$10),"OVERPAID","FAIR")))</f>
        <v>LOW SAMPLE</v>
      </c>
      <c r="K1283" s="5" t="n">
        <v>137</v>
      </c>
    </row>
    <row r="1284" customFormat="false" ht="15" hidden="false" customHeight="false" outlineLevel="0" collapsed="false">
      <c r="A1284" s="5" t="n">
        <v>2022</v>
      </c>
      <c r="B1284" s="5" t="s">
        <v>644</v>
      </c>
      <c r="C1284" s="5" t="s">
        <v>816</v>
      </c>
      <c r="D1284" s="5" t="n">
        <v>9</v>
      </c>
      <c r="E1284" s="13" t="n">
        <v>0.96</v>
      </c>
      <c r="F1284" s="14" t="n">
        <f aca="false">E1284*Assumptions!$D$5</f>
        <v>129.314438573608</v>
      </c>
      <c r="G1284" s="14" t="n">
        <v>225</v>
      </c>
      <c r="H1284" s="14" t="n">
        <v>345</v>
      </c>
      <c r="I1284" s="14" t="n">
        <f aca="false">F1284-(G1284+H1284)/2</f>
        <v>-155.685561426392</v>
      </c>
      <c r="J1284" s="5" t="str">
        <f aca="false">IF(D1284&lt;8,"LOW SAMPLE",IF(F1284&gt;H1284*(1+Assumptions!$B$10),"UNDERPAID",IF(F1284&lt;G1284*(1-Assumptions!$B$10),"OVERPAID","FAIR")))</f>
        <v>OVERPAID</v>
      </c>
      <c r="K1284" s="5" t="n">
        <v>0</v>
      </c>
    </row>
    <row r="1285" customFormat="false" ht="15" hidden="false" customHeight="false" outlineLevel="0" collapsed="false">
      <c r="A1285" s="5" t="n">
        <v>2022</v>
      </c>
      <c r="B1285" s="5" t="s">
        <v>644</v>
      </c>
      <c r="C1285" s="5" t="s">
        <v>654</v>
      </c>
      <c r="D1285" s="5" t="n">
        <v>17</v>
      </c>
      <c r="E1285" s="13" t="n">
        <v>1.83</v>
      </c>
      <c r="F1285" s="14" t="n">
        <f aca="false">E1285*Assumptions!$D$5</f>
        <v>246.50564853094</v>
      </c>
      <c r="G1285" s="14" t="n">
        <v>125</v>
      </c>
      <c r="H1285" s="14" t="n">
        <v>225</v>
      </c>
      <c r="I1285" s="14" t="n">
        <f aca="false">F1285-(G1285+H1285)/2</f>
        <v>71.5056485309398</v>
      </c>
      <c r="J1285" s="5" t="str">
        <f aca="false">IF(D1285&lt;8,"LOW SAMPLE",IF(F1285&gt;H1285*(1+Assumptions!$B$10),"UNDERPAID",IF(F1285&lt;G1285*(1-Assumptions!$B$10),"OVERPAID","FAIR")))</f>
        <v>FAIR</v>
      </c>
      <c r="K1285" s="5" t="n">
        <v>11</v>
      </c>
    </row>
    <row r="1286" customFormat="false" ht="15" hidden="false" customHeight="false" outlineLevel="0" collapsed="false">
      <c r="A1286" s="5" t="n">
        <v>2022</v>
      </c>
      <c r="B1286" s="5" t="s">
        <v>644</v>
      </c>
      <c r="C1286" s="5" t="s">
        <v>817</v>
      </c>
      <c r="D1286" s="5" t="n">
        <v>10</v>
      </c>
      <c r="E1286" s="13" t="n">
        <v>1.23</v>
      </c>
      <c r="F1286" s="14" t="n">
        <f aca="false">E1286*Assumptions!$D$5</f>
        <v>165.684124422435</v>
      </c>
      <c r="G1286" s="14" t="n">
        <v>125</v>
      </c>
      <c r="H1286" s="14" t="n">
        <v>225</v>
      </c>
      <c r="I1286" s="14" t="n">
        <f aca="false">F1286-(G1286+H1286)/2</f>
        <v>-9.3158755775651</v>
      </c>
      <c r="J1286" s="5" t="str">
        <f aca="false">IF(D1286&lt;8,"LOW SAMPLE",IF(F1286&gt;H1286*(1+Assumptions!$B$10),"UNDERPAID",IF(F1286&lt;G1286*(1-Assumptions!$B$10),"OVERPAID","FAIR")))</f>
        <v>FAIR</v>
      </c>
      <c r="K1286" s="5" t="n">
        <v>1</v>
      </c>
    </row>
    <row r="1287" customFormat="false" ht="15" hidden="false" customHeight="false" outlineLevel="0" collapsed="false">
      <c r="A1287" s="5" t="n">
        <v>2022</v>
      </c>
      <c r="B1287" s="5" t="s">
        <v>644</v>
      </c>
      <c r="C1287" s="5" t="s">
        <v>655</v>
      </c>
      <c r="D1287" s="5" t="n">
        <v>6</v>
      </c>
      <c r="E1287" s="13" t="n">
        <v>0.5</v>
      </c>
      <c r="F1287" s="14" t="n">
        <f aca="false">E1287*Assumptions!$D$5</f>
        <v>67.3512700904207</v>
      </c>
      <c r="G1287" s="14" t="n">
        <v>125</v>
      </c>
      <c r="H1287" s="14" t="n">
        <v>225</v>
      </c>
      <c r="I1287" s="14" t="n">
        <f aca="false">F1287-(G1287+H1287)/2</f>
        <v>-107.648729909579</v>
      </c>
      <c r="J1287" s="5" t="str">
        <f aca="false">IF(D1287&lt;8,"LOW SAMPLE",IF(F1287&gt;H1287*(1+Assumptions!$B$10),"UNDERPAID",IF(F1287&lt;G1287*(1-Assumptions!$B$10),"OVERPAID","FAIR")))</f>
        <v>LOW SAMPLE</v>
      </c>
      <c r="K1287" s="5" t="n">
        <v>1</v>
      </c>
    </row>
    <row r="1288" customFormat="false" ht="15" hidden="false" customHeight="false" outlineLevel="0" collapsed="false">
      <c r="A1288" s="5" t="n">
        <v>2022</v>
      </c>
      <c r="B1288" s="5" t="s">
        <v>644</v>
      </c>
      <c r="C1288" s="5" t="s">
        <v>656</v>
      </c>
      <c r="D1288" s="5" t="n">
        <v>21</v>
      </c>
      <c r="E1288" s="13" t="n">
        <v>4.55</v>
      </c>
      <c r="F1288" s="14" t="n">
        <f aca="false">E1288*Assumptions!$D$5</f>
        <v>612.896557822828</v>
      </c>
      <c r="G1288" s="14" t="n">
        <v>855</v>
      </c>
      <c r="H1288" s="14" t="n">
        <v>1170</v>
      </c>
      <c r="I1288" s="14" t="n">
        <f aca="false">F1288-(G1288+H1288)/2</f>
        <v>-399.603442177172</v>
      </c>
      <c r="J1288" s="5" t="str">
        <f aca="false">IF(D1288&lt;8,"LOW SAMPLE",IF(F1288&gt;H1288*(1+Assumptions!$B$10),"UNDERPAID",IF(F1288&lt;G1288*(1-Assumptions!$B$10),"OVERPAID","FAIR")))</f>
        <v>OVERPAID</v>
      </c>
      <c r="K1288" s="5" t="n">
        <v>146</v>
      </c>
    </row>
    <row r="1289" customFormat="false" ht="15" hidden="false" customHeight="false" outlineLevel="0" collapsed="false">
      <c r="A1289" s="5" t="n">
        <v>2022</v>
      </c>
      <c r="B1289" s="5" t="s">
        <v>644</v>
      </c>
      <c r="C1289" s="5" t="s">
        <v>657</v>
      </c>
      <c r="D1289" s="5" t="n">
        <v>8</v>
      </c>
      <c r="E1289" s="13" t="n">
        <v>1.22</v>
      </c>
      <c r="F1289" s="14" t="n">
        <f aca="false">E1289*Assumptions!$D$5</f>
        <v>164.337099020627</v>
      </c>
      <c r="G1289" s="14" t="n">
        <v>225</v>
      </c>
      <c r="H1289" s="14" t="n">
        <v>345</v>
      </c>
      <c r="I1289" s="14" t="n">
        <f aca="false">F1289-(G1289+H1289)/2</f>
        <v>-120.662900979373</v>
      </c>
      <c r="J1289" s="5" t="str">
        <f aca="false">IF(D1289&lt;8,"LOW SAMPLE",IF(F1289&gt;H1289*(1+Assumptions!$B$10),"UNDERPAID",IF(F1289&lt;G1289*(1-Assumptions!$B$10),"OVERPAID","FAIR")))</f>
        <v>OVERPAID</v>
      </c>
      <c r="K1289" s="5" t="n">
        <v>46</v>
      </c>
    </row>
    <row r="1290" customFormat="false" ht="15" hidden="false" customHeight="false" outlineLevel="0" collapsed="false">
      <c r="A1290" s="5" t="n">
        <v>2022</v>
      </c>
      <c r="B1290" s="5" t="s">
        <v>644</v>
      </c>
      <c r="C1290" s="5" t="s">
        <v>658</v>
      </c>
      <c r="D1290" s="5" t="n">
        <v>21</v>
      </c>
      <c r="E1290" s="13" t="n">
        <v>3.82</v>
      </c>
      <c r="F1290" s="14" t="n">
        <f aca="false">E1290*Assumptions!$D$5</f>
        <v>514.563703490814</v>
      </c>
      <c r="G1290" s="14" t="n">
        <v>450</v>
      </c>
      <c r="H1290" s="14" t="n">
        <v>615</v>
      </c>
      <c r="I1290" s="14" t="n">
        <f aca="false">F1290-(G1290+H1290)/2</f>
        <v>-17.9362965091859</v>
      </c>
      <c r="J1290" s="5" t="str">
        <f aca="false">IF(D1290&lt;8,"LOW SAMPLE",IF(F1290&gt;H1290*(1+Assumptions!$B$10),"UNDERPAID",IF(F1290&lt;G1290*(1-Assumptions!$B$10),"OVERPAID","FAIR")))</f>
        <v>FAIR</v>
      </c>
      <c r="K1290" s="5" t="n">
        <v>130</v>
      </c>
    </row>
    <row r="1291" customFormat="false" ht="15" hidden="false" customHeight="false" outlineLevel="0" collapsed="false">
      <c r="A1291" s="5" t="n">
        <v>2022</v>
      </c>
      <c r="B1291" s="5" t="s">
        <v>644</v>
      </c>
      <c r="C1291" s="5" t="s">
        <v>818</v>
      </c>
      <c r="D1291" s="5" t="n">
        <v>1</v>
      </c>
      <c r="E1291" s="13" t="n">
        <v>0.03</v>
      </c>
      <c r="F1291" s="14" t="n">
        <f aca="false">E1291*Assumptions!$D$5</f>
        <v>4.04107620542524</v>
      </c>
      <c r="G1291" s="14" t="n">
        <v>225</v>
      </c>
      <c r="H1291" s="14" t="n">
        <v>345</v>
      </c>
      <c r="I1291" s="14" t="n">
        <f aca="false">F1291-(G1291+H1291)/2</f>
        <v>-280.958923794575</v>
      </c>
      <c r="J1291" s="5" t="str">
        <f aca="false">IF(D1291&lt;8,"LOW SAMPLE",IF(F1291&gt;H1291*(1+Assumptions!$B$10),"UNDERPAID",IF(F1291&lt;G1291*(1-Assumptions!$B$10),"OVERPAID","FAIR")))</f>
        <v>LOW SAMPLE</v>
      </c>
      <c r="K1291" s="5" t="n">
        <v>0</v>
      </c>
    </row>
    <row r="1292" customFormat="false" ht="15" hidden="false" customHeight="false" outlineLevel="0" collapsed="false">
      <c r="A1292" s="5" t="n">
        <v>2022</v>
      </c>
      <c r="B1292" s="5" t="s">
        <v>644</v>
      </c>
      <c r="C1292" s="5" t="s">
        <v>659</v>
      </c>
      <c r="D1292" s="5" t="n">
        <v>13</v>
      </c>
      <c r="E1292" s="13" t="n">
        <v>1.33</v>
      </c>
      <c r="F1292" s="14" t="n">
        <f aca="false">E1292*Assumptions!$D$5</f>
        <v>179.154378440519</v>
      </c>
      <c r="G1292" s="14" t="n">
        <v>345</v>
      </c>
      <c r="H1292" s="14" t="n">
        <v>450</v>
      </c>
      <c r="I1292" s="14" t="n">
        <f aca="false">F1292-(G1292+H1292)/2</f>
        <v>-218.345621559481</v>
      </c>
      <c r="J1292" s="5" t="str">
        <f aca="false">IF(D1292&lt;8,"LOW SAMPLE",IF(F1292&gt;H1292*(1+Assumptions!$B$10),"UNDERPAID",IF(F1292&lt;G1292*(1-Assumptions!$B$10),"OVERPAID","FAIR")))</f>
        <v>OVERPAID</v>
      </c>
      <c r="K1292" s="5" t="n">
        <v>89</v>
      </c>
    </row>
    <row r="1293" customFormat="false" ht="15" hidden="false" customHeight="false" outlineLevel="0" collapsed="false">
      <c r="A1293" s="5" t="n">
        <v>2022</v>
      </c>
      <c r="B1293" s="5" t="s">
        <v>644</v>
      </c>
      <c r="C1293" s="5" t="s">
        <v>819</v>
      </c>
      <c r="D1293" s="5" t="n">
        <v>4</v>
      </c>
      <c r="E1293" s="13" t="n">
        <v>0.68</v>
      </c>
      <c r="F1293" s="14" t="n">
        <f aca="false">E1293*Assumptions!$D$5</f>
        <v>91.5977273229722</v>
      </c>
      <c r="G1293" s="14" t="n">
        <v>225</v>
      </c>
      <c r="H1293" s="14" t="n">
        <v>345</v>
      </c>
      <c r="I1293" s="14" t="n">
        <f aca="false">F1293-(G1293+H1293)/2</f>
        <v>-193.402272677028</v>
      </c>
      <c r="J1293" s="5" t="str">
        <f aca="false">IF(D1293&lt;8,"LOW SAMPLE",IF(F1293&gt;H1293*(1+Assumptions!$B$10),"UNDERPAID",IF(F1293&lt;G1293*(1-Assumptions!$B$10),"OVERPAID","FAIR")))</f>
        <v>LOW SAMPLE</v>
      </c>
      <c r="K1293" s="5" t="n">
        <v>0</v>
      </c>
    </row>
    <row r="1294" customFormat="false" ht="15" hidden="false" customHeight="false" outlineLevel="0" collapsed="false">
      <c r="A1294" s="5" t="n">
        <v>2022</v>
      </c>
      <c r="B1294" s="5" t="s">
        <v>644</v>
      </c>
      <c r="C1294" s="5" t="s">
        <v>820</v>
      </c>
      <c r="D1294" s="5" t="n">
        <v>1</v>
      </c>
      <c r="E1294" s="13" t="n">
        <v>0.19</v>
      </c>
      <c r="F1294" s="14" t="n">
        <f aca="false">E1294*Assumptions!$D$5</f>
        <v>25.5934826343599</v>
      </c>
      <c r="G1294" s="14" t="n">
        <v>225</v>
      </c>
      <c r="H1294" s="14" t="n">
        <v>345</v>
      </c>
      <c r="I1294" s="14" t="n">
        <f aca="false">F1294-(G1294+H1294)/2</f>
        <v>-259.40651736564</v>
      </c>
      <c r="J1294" s="5" t="str">
        <f aca="false">IF(D1294&lt;8,"LOW SAMPLE",IF(F1294&gt;H1294*(1+Assumptions!$B$10),"UNDERPAID",IF(F1294&lt;G1294*(1-Assumptions!$B$10),"OVERPAID","FAIR")))</f>
        <v>LOW SAMPLE</v>
      </c>
      <c r="K1294" s="5" t="n">
        <v>0</v>
      </c>
    </row>
    <row r="1295" customFormat="false" ht="15" hidden="false" customHeight="false" outlineLevel="0" collapsed="false">
      <c r="A1295" s="5" t="n">
        <v>2022</v>
      </c>
      <c r="B1295" s="5" t="s">
        <v>644</v>
      </c>
      <c r="C1295" s="5" t="s">
        <v>660</v>
      </c>
      <c r="D1295" s="5" t="n">
        <v>20</v>
      </c>
      <c r="E1295" s="13" t="n">
        <v>2.65</v>
      </c>
      <c r="F1295" s="14" t="n">
        <f aca="false">E1295*Assumptions!$D$5</f>
        <v>356.96173147923</v>
      </c>
      <c r="G1295" s="14" t="n">
        <v>225</v>
      </c>
      <c r="H1295" s="14" t="n">
        <v>345</v>
      </c>
      <c r="I1295" s="14" t="n">
        <f aca="false">F1295-(G1295+H1295)/2</f>
        <v>71.9617314792297</v>
      </c>
      <c r="J1295" s="5" t="str">
        <f aca="false">IF(D1295&lt;8,"LOW SAMPLE",IF(F1295&gt;H1295*(1+Assumptions!$B$10),"UNDERPAID",IF(F1295&lt;G1295*(1-Assumptions!$B$10),"OVERPAID","FAIR")))</f>
        <v>FAIR</v>
      </c>
      <c r="K1295" s="5" t="n">
        <v>53</v>
      </c>
    </row>
    <row r="1296" customFormat="false" ht="15" hidden="false" customHeight="false" outlineLevel="0" collapsed="false">
      <c r="A1296" s="5" t="n">
        <v>2022</v>
      </c>
      <c r="B1296" s="5" t="s">
        <v>644</v>
      </c>
      <c r="C1296" s="5" t="s">
        <v>661</v>
      </c>
      <c r="D1296" s="5" t="n">
        <v>18</v>
      </c>
      <c r="E1296" s="13" t="n">
        <v>2.42</v>
      </c>
      <c r="F1296" s="14" t="n">
        <f aca="false">E1296*Assumptions!$D$5</f>
        <v>325.980147237636</v>
      </c>
      <c r="G1296" s="14" t="n">
        <v>125</v>
      </c>
      <c r="H1296" s="14" t="n">
        <v>225</v>
      </c>
      <c r="I1296" s="14" t="n">
        <f aca="false">F1296-(G1296+H1296)/2</f>
        <v>150.980147237636</v>
      </c>
      <c r="J1296" s="5" t="str">
        <f aca="false">IF(D1296&lt;8,"LOW SAMPLE",IF(F1296&gt;H1296*(1+Assumptions!$B$10),"UNDERPAID",IF(F1296&lt;G1296*(1-Assumptions!$B$10),"OVERPAID","FAIR")))</f>
        <v>UNDERPAID</v>
      </c>
      <c r="K1296" s="5" t="n">
        <v>24</v>
      </c>
    </row>
    <row r="1297" customFormat="false" ht="15" hidden="false" customHeight="false" outlineLevel="0" collapsed="false">
      <c r="A1297" s="5" t="n">
        <v>2022</v>
      </c>
      <c r="B1297" s="5" t="s">
        <v>644</v>
      </c>
      <c r="C1297" s="5" t="s">
        <v>662</v>
      </c>
      <c r="D1297" s="5" t="n">
        <v>17</v>
      </c>
      <c r="E1297" s="13" t="n">
        <v>3.64</v>
      </c>
      <c r="F1297" s="14" t="n">
        <f aca="false">E1297*Assumptions!$D$5</f>
        <v>490.317246258263</v>
      </c>
      <c r="G1297" s="14" t="n">
        <v>450</v>
      </c>
      <c r="H1297" s="14" t="n">
        <v>615</v>
      </c>
      <c r="I1297" s="14" t="n">
        <f aca="false">F1297-(G1297+H1297)/2</f>
        <v>-42.1827537417373</v>
      </c>
      <c r="J1297" s="5" t="str">
        <f aca="false">IF(D1297&lt;8,"LOW SAMPLE",IF(F1297&gt;H1297*(1+Assumptions!$B$10),"UNDERPAID",IF(F1297&lt;G1297*(1-Assumptions!$B$10),"OVERPAID","FAIR")))</f>
        <v>FAIR</v>
      </c>
      <c r="K1297" s="5" t="n">
        <v>149</v>
      </c>
    </row>
    <row r="1298" customFormat="false" ht="15" hidden="false" customHeight="false" outlineLevel="0" collapsed="false">
      <c r="A1298" s="5" t="n">
        <v>2022</v>
      </c>
      <c r="B1298" s="5" t="s">
        <v>644</v>
      </c>
      <c r="C1298" s="5" t="s">
        <v>664</v>
      </c>
      <c r="D1298" s="5" t="n">
        <v>10</v>
      </c>
      <c r="E1298" s="13" t="n">
        <v>1.84</v>
      </c>
      <c r="F1298" s="14" t="n">
        <f aca="false">E1298*Assumptions!$D$5</f>
        <v>247.852673932748</v>
      </c>
      <c r="G1298" s="14" t="n">
        <v>450</v>
      </c>
      <c r="H1298" s="14" t="n">
        <v>615</v>
      </c>
      <c r="I1298" s="14" t="n">
        <f aca="false">F1298-(G1298+H1298)/2</f>
        <v>-284.647326067252</v>
      </c>
      <c r="J1298" s="5" t="str">
        <f aca="false">IF(D1298&lt;8,"LOW SAMPLE",IF(F1298&gt;H1298*(1+Assumptions!$B$10),"UNDERPAID",IF(F1298&lt;G1298*(1-Assumptions!$B$10),"OVERPAID","FAIR")))</f>
        <v>OVERPAID</v>
      </c>
      <c r="K1298" s="5" t="n">
        <v>140</v>
      </c>
    </row>
    <row r="1299" customFormat="false" ht="15" hidden="false" customHeight="false" outlineLevel="0" collapsed="false">
      <c r="A1299" s="5" t="n">
        <v>2022</v>
      </c>
      <c r="B1299" s="5" t="s">
        <v>644</v>
      </c>
      <c r="C1299" s="5" t="s">
        <v>626</v>
      </c>
      <c r="D1299" s="5" t="n">
        <v>15</v>
      </c>
      <c r="E1299" s="13" t="n">
        <v>3.07</v>
      </c>
      <c r="F1299" s="14" t="n">
        <f aca="false">E1299*Assumptions!$D$5</f>
        <v>413.536798355183</v>
      </c>
      <c r="G1299" s="14" t="n">
        <v>1170</v>
      </c>
      <c r="H1299" s="14" t="n">
        <v>1530</v>
      </c>
      <c r="I1299" s="14" t="n">
        <f aca="false">F1299-(G1299+H1299)/2</f>
        <v>-936.463201644817</v>
      </c>
      <c r="J1299" s="5" t="str">
        <f aca="false">IF(D1299&lt;8,"LOW SAMPLE",IF(F1299&gt;H1299*(1+Assumptions!$B$10),"UNDERPAID",IF(F1299&lt;G1299*(1-Assumptions!$B$10),"OVERPAID","FAIR")))</f>
        <v>OVERPAID</v>
      </c>
      <c r="K1299" s="5" t="n">
        <v>283</v>
      </c>
    </row>
    <row r="1300" customFormat="false" ht="15" hidden="false" customHeight="false" outlineLevel="0" collapsed="false">
      <c r="A1300" s="5" t="n">
        <v>2022</v>
      </c>
      <c r="B1300" s="5" t="s">
        <v>644</v>
      </c>
      <c r="C1300" s="5" t="s">
        <v>665</v>
      </c>
      <c r="D1300" s="5" t="n">
        <v>13</v>
      </c>
      <c r="E1300" s="13" t="n">
        <v>1.32</v>
      </c>
      <c r="F1300" s="14" t="n">
        <f aca="false">E1300*Assumptions!$D$5</f>
        <v>177.807353038711</v>
      </c>
      <c r="G1300" s="14" t="n">
        <v>345</v>
      </c>
      <c r="H1300" s="14" t="n">
        <v>450</v>
      </c>
      <c r="I1300" s="14" t="n">
        <f aca="false">F1300-(G1300+H1300)/2</f>
        <v>-219.692646961289</v>
      </c>
      <c r="J1300" s="5" t="str">
        <f aca="false">IF(D1300&lt;8,"LOW SAMPLE",IF(F1300&gt;H1300*(1+Assumptions!$B$10),"UNDERPAID",IF(F1300&lt;G1300*(1-Assumptions!$B$10),"OVERPAID","FAIR")))</f>
        <v>OVERPAID</v>
      </c>
      <c r="K1300" s="5" t="n">
        <v>33</v>
      </c>
    </row>
    <row r="1301" customFormat="false" ht="15" hidden="false" customHeight="false" outlineLevel="0" collapsed="false">
      <c r="A1301" s="5" t="n">
        <v>2022</v>
      </c>
      <c r="B1301" s="5" t="s">
        <v>644</v>
      </c>
      <c r="C1301" s="5" t="s">
        <v>666</v>
      </c>
      <c r="D1301" s="5" t="n">
        <v>20</v>
      </c>
      <c r="E1301" s="13" t="n">
        <v>3.1</v>
      </c>
      <c r="F1301" s="14" t="n">
        <f aca="false">E1301*Assumptions!$D$5</f>
        <v>417.577874560608</v>
      </c>
      <c r="G1301" s="14" t="n">
        <v>345</v>
      </c>
      <c r="H1301" s="14" t="n">
        <v>450</v>
      </c>
      <c r="I1301" s="14" t="n">
        <f aca="false">F1301-(G1301+H1301)/2</f>
        <v>20.0778745606083</v>
      </c>
      <c r="J1301" s="5" t="str">
        <f aca="false">IF(D1301&lt;8,"LOW SAMPLE",IF(F1301&gt;H1301*(1+Assumptions!$B$10),"UNDERPAID",IF(F1301&lt;G1301*(1-Assumptions!$B$10),"OVERPAID","FAIR")))</f>
        <v>FAIR</v>
      </c>
      <c r="K1301" s="5" t="n">
        <v>116</v>
      </c>
    </row>
    <row r="1302" customFormat="false" ht="15" hidden="false" customHeight="false" outlineLevel="0" collapsed="false">
      <c r="A1302" s="5" t="n">
        <v>2022</v>
      </c>
      <c r="B1302" s="5" t="s">
        <v>644</v>
      </c>
      <c r="C1302" s="5" t="s">
        <v>667</v>
      </c>
      <c r="D1302" s="5" t="n">
        <v>17</v>
      </c>
      <c r="E1302" s="13" t="n">
        <v>3</v>
      </c>
      <c r="F1302" s="14" t="n">
        <f aca="false">E1302*Assumptions!$D$5</f>
        <v>404.107620542524</v>
      </c>
      <c r="G1302" s="14" t="n">
        <v>450</v>
      </c>
      <c r="H1302" s="14" t="n">
        <v>615</v>
      </c>
      <c r="I1302" s="14" t="n">
        <f aca="false">F1302-(G1302+H1302)/2</f>
        <v>-128.392379457476</v>
      </c>
      <c r="J1302" s="5" t="str">
        <f aca="false">IF(D1302&lt;8,"LOW SAMPLE",IF(F1302&gt;H1302*(1+Assumptions!$B$10),"UNDERPAID",IF(F1302&lt;G1302*(1-Assumptions!$B$10),"OVERPAID","FAIR")))</f>
        <v>FAIR</v>
      </c>
      <c r="K1302" s="5" t="n">
        <v>69</v>
      </c>
    </row>
    <row r="1303" customFormat="false" ht="15" hidden="false" customHeight="false" outlineLevel="0" collapsed="false">
      <c r="A1303" s="5" t="n">
        <v>2022</v>
      </c>
      <c r="B1303" s="5" t="s">
        <v>644</v>
      </c>
      <c r="C1303" s="5" t="s">
        <v>668</v>
      </c>
      <c r="D1303" s="5" t="n">
        <v>3</v>
      </c>
      <c r="E1303" s="13" t="n">
        <v>0.24</v>
      </c>
      <c r="F1303" s="14" t="n">
        <f aca="false">E1303*Assumptions!$D$5</f>
        <v>32.3286096434019</v>
      </c>
      <c r="G1303" s="14" t="n">
        <v>125</v>
      </c>
      <c r="H1303" s="14" t="n">
        <v>225</v>
      </c>
      <c r="I1303" s="14" t="n">
        <f aca="false">F1303-(G1303+H1303)/2</f>
        <v>-142.671390356598</v>
      </c>
      <c r="J1303" s="5" t="str">
        <f aca="false">IF(D1303&lt;8,"LOW SAMPLE",IF(F1303&gt;H1303*(1+Assumptions!$B$10),"UNDERPAID",IF(F1303&lt;G1303*(1-Assumptions!$B$10),"OVERPAID","FAIR")))</f>
        <v>LOW SAMPLE</v>
      </c>
      <c r="K1303" s="5" t="n">
        <v>8</v>
      </c>
    </row>
    <row r="1304" customFormat="false" ht="15" hidden="false" customHeight="false" outlineLevel="0" collapsed="false">
      <c r="A1304" s="5" t="n">
        <v>2022</v>
      </c>
      <c r="B1304" s="5" t="s">
        <v>644</v>
      </c>
      <c r="C1304" s="5" t="s">
        <v>669</v>
      </c>
      <c r="D1304" s="5" t="n">
        <v>16</v>
      </c>
      <c r="E1304" s="13" t="n">
        <v>1.74</v>
      </c>
      <c r="F1304" s="14" t="n">
        <f aca="false">E1304*Assumptions!$D$5</f>
        <v>234.382419914664</v>
      </c>
      <c r="G1304" s="14" t="n">
        <v>125</v>
      </c>
      <c r="H1304" s="14" t="n">
        <v>225</v>
      </c>
      <c r="I1304" s="14" t="n">
        <f aca="false">F1304-(G1304+H1304)/2</f>
        <v>59.382419914664</v>
      </c>
      <c r="J1304" s="5" t="str">
        <f aca="false">IF(D1304&lt;8,"LOW SAMPLE",IF(F1304&gt;H1304*(1+Assumptions!$B$10),"UNDERPAID",IF(F1304&lt;G1304*(1-Assumptions!$B$10),"OVERPAID","FAIR")))</f>
        <v>FAIR</v>
      </c>
      <c r="K1304" s="5" t="n">
        <v>7</v>
      </c>
    </row>
    <row r="1305" customFormat="false" ht="15" hidden="false" customHeight="false" outlineLevel="0" collapsed="false">
      <c r="A1305" s="5" t="n">
        <v>2022</v>
      </c>
      <c r="B1305" s="5" t="s">
        <v>644</v>
      </c>
      <c r="C1305" s="5" t="s">
        <v>670</v>
      </c>
      <c r="D1305" s="5" t="n">
        <v>17</v>
      </c>
      <c r="E1305" s="13" t="n">
        <v>3.77</v>
      </c>
      <c r="F1305" s="14" t="n">
        <f aca="false">E1305*Assumptions!$D$5</f>
        <v>507.828576481772</v>
      </c>
      <c r="G1305" s="14" t="n">
        <v>450</v>
      </c>
      <c r="H1305" s="14" t="n">
        <v>615</v>
      </c>
      <c r="I1305" s="14" t="n">
        <f aca="false">F1305-(G1305+H1305)/2</f>
        <v>-24.6714235182279</v>
      </c>
      <c r="J1305" s="5" t="str">
        <f aca="false">IF(D1305&lt;8,"LOW SAMPLE",IF(F1305&gt;H1305*(1+Assumptions!$B$10),"UNDERPAID",IF(F1305&lt;G1305*(1-Assumptions!$B$10),"OVERPAID","FAIR")))</f>
        <v>FAIR</v>
      </c>
      <c r="K1305" s="5" t="n">
        <v>135</v>
      </c>
    </row>
    <row r="1306" customFormat="false" ht="15" hidden="false" customHeight="false" outlineLevel="0" collapsed="false">
      <c r="A1306" s="5" t="n">
        <v>2022</v>
      </c>
      <c r="B1306" s="5" t="s">
        <v>644</v>
      </c>
      <c r="C1306" s="5" t="s">
        <v>821</v>
      </c>
      <c r="D1306" s="5" t="n">
        <v>2</v>
      </c>
      <c r="E1306" s="13" t="n">
        <v>0.3</v>
      </c>
      <c r="F1306" s="14" t="n">
        <f aca="false">E1306*Assumptions!$D$5</f>
        <v>40.4107620542524</v>
      </c>
      <c r="G1306" s="14" t="n">
        <v>225</v>
      </c>
      <c r="H1306" s="14" t="n">
        <v>345</v>
      </c>
      <c r="I1306" s="14" t="n">
        <f aca="false">F1306-(G1306+H1306)/2</f>
        <v>-244.589237945748</v>
      </c>
      <c r="J1306" s="5" t="str">
        <f aca="false">IF(D1306&lt;8,"LOW SAMPLE",IF(F1306&gt;H1306*(1+Assumptions!$B$10),"UNDERPAID",IF(F1306&lt;G1306*(1-Assumptions!$B$10),"OVERPAID","FAIR")))</f>
        <v>LOW SAMPLE</v>
      </c>
      <c r="K1306" s="5" t="n">
        <v>0</v>
      </c>
    </row>
    <row r="1307" customFormat="false" ht="15" hidden="false" customHeight="false" outlineLevel="0" collapsed="false">
      <c r="A1307" s="5" t="n">
        <v>2022</v>
      </c>
      <c r="B1307" s="5" t="s">
        <v>644</v>
      </c>
      <c r="C1307" s="5" t="s">
        <v>673</v>
      </c>
      <c r="D1307" s="5" t="n">
        <v>8</v>
      </c>
      <c r="E1307" s="13" t="n">
        <v>1.8</v>
      </c>
      <c r="F1307" s="14" t="n">
        <f aca="false">E1307*Assumptions!$D$5</f>
        <v>242.464572325515</v>
      </c>
      <c r="G1307" s="14" t="n">
        <v>615</v>
      </c>
      <c r="H1307" s="14" t="n">
        <v>855</v>
      </c>
      <c r="I1307" s="14" t="n">
        <f aca="false">F1307-(G1307+H1307)/2</f>
        <v>-492.535427674486</v>
      </c>
      <c r="J1307" s="5" t="str">
        <f aca="false">IF(D1307&lt;8,"LOW SAMPLE",IF(F1307&gt;H1307*(1+Assumptions!$B$10),"UNDERPAID",IF(F1307&lt;G1307*(1-Assumptions!$B$10),"OVERPAID","FAIR")))</f>
        <v>OVERPAID</v>
      </c>
      <c r="K1307" s="5" t="n">
        <v>97</v>
      </c>
    </row>
    <row r="1308" customFormat="false" ht="15" hidden="false" customHeight="false" outlineLevel="0" collapsed="false">
      <c r="A1308" s="5" t="n">
        <v>2022</v>
      </c>
      <c r="B1308" s="5" t="s">
        <v>644</v>
      </c>
      <c r="C1308" s="5" t="s">
        <v>555</v>
      </c>
      <c r="D1308" s="5" t="n">
        <v>11</v>
      </c>
      <c r="E1308" s="13" t="n">
        <v>1.38</v>
      </c>
      <c r="F1308" s="14" t="n">
        <f aca="false">E1308*Assumptions!$D$5</f>
        <v>185.889505449561</v>
      </c>
      <c r="G1308" s="14" t="n">
        <v>125</v>
      </c>
      <c r="H1308" s="14" t="n">
        <v>225</v>
      </c>
      <c r="I1308" s="14" t="n">
        <f aca="false">F1308-(G1308+H1308)/2</f>
        <v>10.8895054495611</v>
      </c>
      <c r="J1308" s="5" t="str">
        <f aca="false">IF(D1308&lt;8,"LOW SAMPLE",IF(F1308&gt;H1308*(1+Assumptions!$B$10),"UNDERPAID",IF(F1308&lt;G1308*(1-Assumptions!$B$10),"OVERPAID","FAIR")))</f>
        <v>FAIR</v>
      </c>
      <c r="K1308" s="5" t="n">
        <v>9</v>
      </c>
    </row>
    <row r="1309" customFormat="false" ht="15" hidden="false" customHeight="false" outlineLevel="0" collapsed="false">
      <c r="A1309" s="5" t="n">
        <v>2022</v>
      </c>
      <c r="B1309" s="5" t="s">
        <v>644</v>
      </c>
      <c r="C1309" s="5" t="s">
        <v>822</v>
      </c>
      <c r="D1309" s="5" t="n">
        <v>9</v>
      </c>
      <c r="E1309" s="13" t="n">
        <v>0.76</v>
      </c>
      <c r="F1309" s="14" t="n">
        <f aca="false">E1309*Assumptions!$D$5</f>
        <v>102.373930537439</v>
      </c>
      <c r="G1309" s="14" t="n">
        <v>225</v>
      </c>
      <c r="H1309" s="14" t="n">
        <v>345</v>
      </c>
      <c r="I1309" s="14" t="n">
        <f aca="false">F1309-(G1309+H1309)/2</f>
        <v>-182.626069462561</v>
      </c>
      <c r="J1309" s="5" t="str">
        <f aca="false">IF(D1309&lt;8,"LOW SAMPLE",IF(F1309&gt;H1309*(1+Assumptions!$B$10),"UNDERPAID",IF(F1309&lt;G1309*(1-Assumptions!$B$10),"OVERPAID","FAIR")))</f>
        <v>OVERPAID</v>
      </c>
      <c r="K1309" s="5" t="n">
        <v>0</v>
      </c>
    </row>
    <row r="1310" customFormat="false" ht="15" hidden="false" customHeight="false" outlineLevel="0" collapsed="false">
      <c r="A1310" s="5" t="n">
        <v>2022</v>
      </c>
      <c r="B1310" s="5" t="s">
        <v>644</v>
      </c>
      <c r="C1310" s="5" t="s">
        <v>139</v>
      </c>
      <c r="D1310" s="5" t="n">
        <v>14</v>
      </c>
      <c r="E1310" s="13" t="n">
        <v>1.23</v>
      </c>
      <c r="F1310" s="14" t="n">
        <f aca="false">E1310*Assumptions!$D$5</f>
        <v>165.684124422435</v>
      </c>
      <c r="G1310" s="14" t="n">
        <v>345</v>
      </c>
      <c r="H1310" s="14" t="n">
        <v>450</v>
      </c>
      <c r="I1310" s="14" t="n">
        <f aca="false">F1310-(G1310+H1310)/2</f>
        <v>-231.815875577565</v>
      </c>
      <c r="J1310" s="5" t="str">
        <f aca="false">IF(D1310&lt;8,"LOW SAMPLE",IF(F1310&gt;H1310*(1+Assumptions!$B$10),"UNDERPAID",IF(F1310&lt;G1310*(1-Assumptions!$B$10),"OVERPAID","FAIR")))</f>
        <v>OVERPAID</v>
      </c>
      <c r="K1310" s="5" t="n">
        <v>94</v>
      </c>
    </row>
    <row r="1311" customFormat="false" ht="15" hidden="false" customHeight="false" outlineLevel="0" collapsed="false">
      <c r="A1311" s="5" t="n">
        <v>2022</v>
      </c>
      <c r="B1311" s="5" t="s">
        <v>644</v>
      </c>
      <c r="C1311" s="5" t="s">
        <v>675</v>
      </c>
      <c r="D1311" s="5" t="n">
        <v>19</v>
      </c>
      <c r="E1311" s="13" t="n">
        <v>3.17</v>
      </c>
      <c r="F1311" s="14" t="n">
        <f aca="false">E1311*Assumptions!$D$5</f>
        <v>427.007052373267</v>
      </c>
      <c r="G1311" s="14" t="n">
        <v>450</v>
      </c>
      <c r="H1311" s="14" t="n">
        <v>615</v>
      </c>
      <c r="I1311" s="14" t="n">
        <f aca="false">F1311-(G1311+H1311)/2</f>
        <v>-105.492947626733</v>
      </c>
      <c r="J1311" s="5" t="str">
        <f aca="false">IF(D1311&lt;8,"LOW SAMPLE",IF(F1311&gt;H1311*(1+Assumptions!$B$10),"UNDERPAID",IF(F1311&lt;G1311*(1-Assumptions!$B$10),"OVERPAID","FAIR")))</f>
        <v>FAIR</v>
      </c>
      <c r="K1311" s="5" t="n">
        <v>149</v>
      </c>
    </row>
    <row r="1312" customFormat="false" ht="15" hidden="false" customHeight="false" outlineLevel="0" collapsed="false">
      <c r="A1312" s="5" t="n">
        <v>2022</v>
      </c>
      <c r="B1312" s="5" t="s">
        <v>644</v>
      </c>
      <c r="C1312" s="5" t="s">
        <v>260</v>
      </c>
      <c r="D1312" s="5" t="n">
        <v>1</v>
      </c>
      <c r="E1312" s="13" t="n">
        <v>0.05</v>
      </c>
      <c r="F1312" s="14" t="n">
        <f aca="false">E1312*Assumptions!$D$5</f>
        <v>6.73512700904207</v>
      </c>
      <c r="G1312" s="14" t="n">
        <v>125</v>
      </c>
      <c r="H1312" s="14" t="n">
        <v>225</v>
      </c>
      <c r="I1312" s="14" t="n">
        <f aca="false">F1312-(G1312+H1312)/2</f>
        <v>-168.264872990958</v>
      </c>
      <c r="J1312" s="5" t="str">
        <f aca="false">IF(D1312&lt;8,"LOW SAMPLE",IF(F1312&gt;H1312*(1+Assumptions!$B$10),"UNDERPAID",IF(F1312&lt;G1312*(1-Assumptions!$B$10),"OVERPAID","FAIR")))</f>
        <v>LOW SAMPLE</v>
      </c>
      <c r="K1312" s="5" t="n">
        <v>14</v>
      </c>
    </row>
    <row r="1313" customFormat="false" ht="15" hidden="false" customHeight="false" outlineLevel="0" collapsed="false">
      <c r="A1313" s="5" t="n">
        <v>2022</v>
      </c>
      <c r="B1313" s="5" t="s">
        <v>644</v>
      </c>
      <c r="C1313" s="5" t="s">
        <v>676</v>
      </c>
      <c r="D1313" s="5" t="n">
        <v>17</v>
      </c>
      <c r="E1313" s="13" t="n">
        <v>4.29</v>
      </c>
      <c r="F1313" s="14" t="n">
        <f aca="false">E1313*Assumptions!$D$5</f>
        <v>577.87389737581</v>
      </c>
      <c r="G1313" s="14" t="n">
        <v>615</v>
      </c>
      <c r="H1313" s="14" t="n">
        <v>855</v>
      </c>
      <c r="I1313" s="14" t="n">
        <f aca="false">F1313-(G1313+H1313)/2</f>
        <v>-157.12610262419</v>
      </c>
      <c r="J1313" s="5" t="str">
        <f aca="false">IF(D1313&lt;8,"LOW SAMPLE",IF(F1313&gt;H1313*(1+Assumptions!$B$10),"UNDERPAID",IF(F1313&lt;G1313*(1-Assumptions!$B$10),"OVERPAID","FAIR")))</f>
        <v>FAIR</v>
      </c>
      <c r="K1313" s="5" t="n">
        <v>85</v>
      </c>
    </row>
    <row r="1314" customFormat="false" ht="15" hidden="false" customHeight="false" outlineLevel="0" collapsed="false">
      <c r="A1314" s="5" t="n">
        <v>2022</v>
      </c>
      <c r="B1314" s="5" t="s">
        <v>644</v>
      </c>
      <c r="C1314" s="5" t="s">
        <v>677</v>
      </c>
      <c r="D1314" s="5" t="n">
        <v>19</v>
      </c>
      <c r="E1314" s="13" t="n">
        <v>3.73</v>
      </c>
      <c r="F1314" s="14" t="n">
        <f aca="false">E1314*Assumptions!$D$5</f>
        <v>502.440474874538</v>
      </c>
      <c r="G1314" s="14" t="n">
        <v>450</v>
      </c>
      <c r="H1314" s="14" t="n">
        <v>615</v>
      </c>
      <c r="I1314" s="14" t="n">
        <f aca="false">F1314-(G1314+H1314)/2</f>
        <v>-30.0595251254616</v>
      </c>
      <c r="J1314" s="5" t="str">
        <f aca="false">IF(D1314&lt;8,"LOW SAMPLE",IF(F1314&gt;H1314*(1+Assumptions!$B$10),"UNDERPAID",IF(F1314&lt;G1314*(1-Assumptions!$B$10),"OVERPAID","FAIR")))</f>
        <v>FAIR</v>
      </c>
      <c r="K1314" s="5" t="n">
        <v>99</v>
      </c>
    </row>
    <row r="1315" customFormat="false" ht="15" hidden="false" customHeight="false" outlineLevel="0" collapsed="false">
      <c r="A1315" s="5" t="n">
        <v>2022</v>
      </c>
      <c r="B1315" s="5" t="s">
        <v>644</v>
      </c>
      <c r="C1315" s="5" t="s">
        <v>823</v>
      </c>
      <c r="D1315" s="5" t="n">
        <v>13</v>
      </c>
      <c r="E1315" s="13" t="n">
        <v>2.3</v>
      </c>
      <c r="F1315" s="14" t="n">
        <f aca="false">E1315*Assumptions!$D$5</f>
        <v>309.815842415935</v>
      </c>
      <c r="G1315" s="14" t="n">
        <v>345</v>
      </c>
      <c r="H1315" s="14" t="n">
        <v>450</v>
      </c>
      <c r="I1315" s="14" t="n">
        <f aca="false">F1315-(G1315+H1315)/2</f>
        <v>-87.6841575840648</v>
      </c>
      <c r="J1315" s="5" t="str">
        <f aca="false">IF(D1315&lt;8,"LOW SAMPLE",IF(F1315&gt;H1315*(1+Assumptions!$B$10),"UNDERPAID",IF(F1315&lt;G1315*(1-Assumptions!$B$10),"OVERPAID","FAIR")))</f>
        <v>FAIR</v>
      </c>
      <c r="K1315" s="5" t="n">
        <v>38</v>
      </c>
    </row>
    <row r="1316" customFormat="false" ht="15" hidden="false" customHeight="false" outlineLevel="0" collapsed="false">
      <c r="A1316" s="5" t="n">
        <v>2022</v>
      </c>
      <c r="B1316" s="5" t="s">
        <v>644</v>
      </c>
      <c r="C1316" s="5" t="s">
        <v>679</v>
      </c>
      <c r="D1316" s="5" t="n">
        <v>11</v>
      </c>
      <c r="E1316" s="13" t="n">
        <v>1.65</v>
      </c>
      <c r="F1316" s="14" t="n">
        <f aca="false">E1316*Assumptions!$D$5</f>
        <v>222.259191298388</v>
      </c>
      <c r="G1316" s="14" t="n">
        <v>125</v>
      </c>
      <c r="H1316" s="14" t="n">
        <v>225</v>
      </c>
      <c r="I1316" s="14" t="n">
        <f aca="false">F1316-(G1316+H1316)/2</f>
        <v>47.2591912983883</v>
      </c>
      <c r="J1316" s="5" t="str">
        <f aca="false">IF(D1316&lt;8,"LOW SAMPLE",IF(F1316&gt;H1316*(1+Assumptions!$B$10),"UNDERPAID",IF(F1316&lt;G1316*(1-Assumptions!$B$10),"OVERPAID","FAIR")))</f>
        <v>FAIR</v>
      </c>
      <c r="K1316" s="5" t="n">
        <v>13</v>
      </c>
    </row>
    <row r="1317" customFormat="false" ht="15" hidden="false" customHeight="false" outlineLevel="0" collapsed="false">
      <c r="A1317" s="5" t="n">
        <v>2022</v>
      </c>
      <c r="B1317" s="5" t="s">
        <v>644</v>
      </c>
      <c r="C1317" s="5" t="s">
        <v>680</v>
      </c>
      <c r="D1317" s="5" t="n">
        <v>8</v>
      </c>
      <c r="E1317" s="13" t="n">
        <v>0.91</v>
      </c>
      <c r="F1317" s="14" t="n">
        <f aca="false">E1317*Assumptions!$D$5</f>
        <v>122.579311564566</v>
      </c>
      <c r="G1317" s="14" t="n">
        <v>225</v>
      </c>
      <c r="H1317" s="14" t="n">
        <v>345</v>
      </c>
      <c r="I1317" s="14" t="n">
        <f aca="false">F1317-(G1317+H1317)/2</f>
        <v>-162.420688435434</v>
      </c>
      <c r="J1317" s="5" t="str">
        <f aca="false">IF(D1317&lt;8,"LOW SAMPLE",IF(F1317&gt;H1317*(1+Assumptions!$B$10),"UNDERPAID",IF(F1317&lt;G1317*(1-Assumptions!$B$10),"OVERPAID","FAIR")))</f>
        <v>OVERPAID</v>
      </c>
      <c r="K1317" s="5" t="n">
        <v>48</v>
      </c>
    </row>
    <row r="1318" customFormat="false" ht="15" hidden="false" customHeight="false" outlineLevel="0" collapsed="false">
      <c r="A1318" s="5" t="n">
        <v>2022</v>
      </c>
      <c r="B1318" s="5" t="s">
        <v>644</v>
      </c>
      <c r="C1318" s="5" t="s">
        <v>824</v>
      </c>
      <c r="D1318" s="5" t="n">
        <v>2</v>
      </c>
      <c r="E1318" s="13" t="n">
        <v>0.17</v>
      </c>
      <c r="F1318" s="14" t="n">
        <f aca="false">E1318*Assumptions!$D$5</f>
        <v>22.899431830743</v>
      </c>
      <c r="G1318" s="14" t="n">
        <v>225</v>
      </c>
      <c r="H1318" s="14" t="n">
        <v>345</v>
      </c>
      <c r="I1318" s="14" t="n">
        <f aca="false">F1318-(G1318+H1318)/2</f>
        <v>-262.100568169257</v>
      </c>
      <c r="J1318" s="5" t="str">
        <f aca="false">IF(D1318&lt;8,"LOW SAMPLE",IF(F1318&gt;H1318*(1+Assumptions!$B$10),"UNDERPAID",IF(F1318&lt;G1318*(1-Assumptions!$B$10),"OVERPAID","FAIR")))</f>
        <v>LOW SAMPLE</v>
      </c>
      <c r="K1318" s="5" t="n">
        <v>0</v>
      </c>
    </row>
    <row r="1319" customFormat="false" ht="15" hidden="false" customHeight="false" outlineLevel="0" collapsed="false">
      <c r="A1319" s="5" t="n">
        <v>2022</v>
      </c>
      <c r="B1319" s="5" t="s">
        <v>681</v>
      </c>
      <c r="C1319" s="5" t="s">
        <v>682</v>
      </c>
      <c r="D1319" s="5" t="n">
        <v>22</v>
      </c>
      <c r="E1319" s="13" t="n">
        <v>5.82</v>
      </c>
      <c r="F1319" s="14" t="n">
        <f aca="false">E1319*Assumptions!$D$5</f>
        <v>783.968783852497</v>
      </c>
      <c r="G1319" s="14" t="n">
        <v>615</v>
      </c>
      <c r="H1319" s="14" t="n">
        <v>855</v>
      </c>
      <c r="I1319" s="14" t="n">
        <f aca="false">F1319-(G1319+H1319)/2</f>
        <v>48.9687838524969</v>
      </c>
      <c r="J1319" s="5" t="str">
        <f aca="false">IF(D1319&lt;8,"LOW SAMPLE",IF(F1319&gt;H1319*(1+Assumptions!$B$10),"UNDERPAID",IF(F1319&lt;G1319*(1-Assumptions!$B$10),"OVERPAID","FAIR")))</f>
        <v>FAIR</v>
      </c>
      <c r="K1319" s="5" t="n">
        <v>78</v>
      </c>
    </row>
    <row r="1320" customFormat="false" ht="15" hidden="false" customHeight="false" outlineLevel="0" collapsed="false">
      <c r="A1320" s="5" t="n">
        <v>2022</v>
      </c>
      <c r="B1320" s="5" t="s">
        <v>681</v>
      </c>
      <c r="C1320" s="5" t="s">
        <v>683</v>
      </c>
      <c r="D1320" s="5" t="n">
        <v>22</v>
      </c>
      <c r="E1320" s="13" t="n">
        <v>5.16</v>
      </c>
      <c r="F1320" s="14" t="n">
        <f aca="false">E1320*Assumptions!$D$5</f>
        <v>695.065107333142</v>
      </c>
      <c r="G1320" s="14" t="n">
        <v>450</v>
      </c>
      <c r="H1320" s="14" t="n">
        <v>615</v>
      </c>
      <c r="I1320" s="14" t="n">
        <f aca="false">F1320-(G1320+H1320)/2</f>
        <v>162.565107333142</v>
      </c>
      <c r="J1320" s="5" t="str">
        <f aca="false">IF(D1320&lt;8,"LOW SAMPLE",IF(F1320&gt;H1320*(1+Assumptions!$B$10),"UNDERPAID",IF(F1320&lt;G1320*(1-Assumptions!$B$10),"OVERPAID","FAIR")))</f>
        <v>FAIR</v>
      </c>
      <c r="K1320" s="5" t="n">
        <v>132</v>
      </c>
    </row>
    <row r="1321" customFormat="false" ht="15" hidden="false" customHeight="false" outlineLevel="0" collapsed="false">
      <c r="A1321" s="5" t="n">
        <v>2022</v>
      </c>
      <c r="B1321" s="5" t="s">
        <v>681</v>
      </c>
      <c r="C1321" s="5" t="s">
        <v>684</v>
      </c>
      <c r="D1321" s="5" t="n">
        <v>15</v>
      </c>
      <c r="E1321" s="13" t="n">
        <v>2.27</v>
      </c>
      <c r="F1321" s="14" t="n">
        <f aca="false">E1321*Assumptions!$D$5</f>
        <v>305.77476621051</v>
      </c>
      <c r="G1321" s="14" t="n">
        <v>450</v>
      </c>
      <c r="H1321" s="14" t="n">
        <v>615</v>
      </c>
      <c r="I1321" s="14" t="n">
        <f aca="false">F1321-(G1321+H1321)/2</f>
        <v>-226.72523378949</v>
      </c>
      <c r="J1321" s="5" t="str">
        <f aca="false">IF(D1321&lt;8,"LOW SAMPLE",IF(F1321&gt;H1321*(1+Assumptions!$B$10),"UNDERPAID",IF(F1321&lt;G1321*(1-Assumptions!$B$10),"OVERPAID","FAIR")))</f>
        <v>OVERPAID</v>
      </c>
      <c r="K1321" s="5" t="n">
        <v>71</v>
      </c>
    </row>
    <row r="1322" customFormat="false" ht="15" hidden="false" customHeight="false" outlineLevel="0" collapsed="false">
      <c r="A1322" s="5" t="n">
        <v>2022</v>
      </c>
      <c r="B1322" s="5" t="s">
        <v>681</v>
      </c>
      <c r="C1322" s="5" t="s">
        <v>685</v>
      </c>
      <c r="D1322" s="5" t="n">
        <v>14</v>
      </c>
      <c r="E1322" s="13" t="n">
        <v>1.93</v>
      </c>
      <c r="F1322" s="14" t="n">
        <f aca="false">E1322*Assumptions!$D$5</f>
        <v>259.975902549024</v>
      </c>
      <c r="G1322" s="14" t="n">
        <v>225</v>
      </c>
      <c r="H1322" s="14" t="n">
        <v>345</v>
      </c>
      <c r="I1322" s="14" t="n">
        <f aca="false">F1322-(G1322+H1322)/2</f>
        <v>-25.0240974509761</v>
      </c>
      <c r="J1322" s="5" t="str">
        <f aca="false">IF(D1322&lt;8,"LOW SAMPLE",IF(F1322&gt;H1322*(1+Assumptions!$B$10),"UNDERPAID",IF(F1322&lt;G1322*(1-Assumptions!$B$10),"OVERPAID","FAIR")))</f>
        <v>FAIR</v>
      </c>
      <c r="K1322" s="5" t="n">
        <v>21</v>
      </c>
    </row>
    <row r="1323" customFormat="false" ht="15" hidden="false" customHeight="false" outlineLevel="0" collapsed="false">
      <c r="A1323" s="5" t="n">
        <v>2022</v>
      </c>
      <c r="B1323" s="5" t="s">
        <v>681</v>
      </c>
      <c r="C1323" s="5" t="s">
        <v>686</v>
      </c>
      <c r="D1323" s="5" t="n">
        <v>23</v>
      </c>
      <c r="E1323" s="13" t="n">
        <v>5.81</v>
      </c>
      <c r="F1323" s="14" t="n">
        <f aca="false">E1323*Assumptions!$D$5</f>
        <v>782.621758450689</v>
      </c>
      <c r="G1323" s="14" t="n">
        <v>450</v>
      </c>
      <c r="H1323" s="14" t="n">
        <v>615</v>
      </c>
      <c r="I1323" s="14" t="n">
        <f aca="false">F1323-(G1323+H1323)/2</f>
        <v>250.121758450689</v>
      </c>
      <c r="J1323" s="5" t="str">
        <f aca="false">IF(D1323&lt;8,"LOW SAMPLE",IF(F1323&gt;H1323*(1+Assumptions!$B$10),"UNDERPAID",IF(F1323&lt;G1323*(1-Assumptions!$B$10),"OVERPAID","FAIR")))</f>
        <v>UNDERPAID</v>
      </c>
      <c r="K1323" s="5" t="n">
        <v>85</v>
      </c>
    </row>
    <row r="1324" customFormat="false" ht="15" hidden="false" customHeight="false" outlineLevel="0" collapsed="false">
      <c r="A1324" s="5" t="n">
        <v>2022</v>
      </c>
      <c r="B1324" s="5" t="s">
        <v>681</v>
      </c>
      <c r="C1324" s="5" t="s">
        <v>687</v>
      </c>
      <c r="D1324" s="5" t="n">
        <v>17</v>
      </c>
      <c r="E1324" s="13" t="n">
        <v>4.63</v>
      </c>
      <c r="F1324" s="14" t="n">
        <f aca="false">E1324*Assumptions!$D$5</f>
        <v>623.672761037296</v>
      </c>
      <c r="G1324" s="14" t="n">
        <v>615</v>
      </c>
      <c r="H1324" s="14" t="n">
        <v>855</v>
      </c>
      <c r="I1324" s="14" t="n">
        <f aca="false">F1324-(G1324+H1324)/2</f>
        <v>-111.327238962704</v>
      </c>
      <c r="J1324" s="5" t="str">
        <f aca="false">IF(D1324&lt;8,"LOW SAMPLE",IF(F1324&gt;H1324*(1+Assumptions!$B$10),"UNDERPAID",IF(F1324&lt;G1324*(1-Assumptions!$B$10),"OVERPAID","FAIR")))</f>
        <v>FAIR</v>
      </c>
      <c r="K1324" s="5" t="n">
        <v>67</v>
      </c>
    </row>
    <row r="1325" customFormat="false" ht="15" hidden="false" customHeight="false" outlineLevel="0" collapsed="false">
      <c r="A1325" s="5" t="n">
        <v>2022</v>
      </c>
      <c r="B1325" s="5" t="s">
        <v>681</v>
      </c>
      <c r="C1325" s="5" t="s">
        <v>647</v>
      </c>
      <c r="D1325" s="5" t="n">
        <v>22</v>
      </c>
      <c r="E1325" s="13" t="n">
        <v>3.38</v>
      </c>
      <c r="F1325" s="14" t="n">
        <f aca="false">E1325*Assumptions!$D$5</f>
        <v>455.294585811244</v>
      </c>
      <c r="G1325" s="14" t="n">
        <v>450</v>
      </c>
      <c r="H1325" s="14" t="n">
        <v>615</v>
      </c>
      <c r="I1325" s="14" t="n">
        <f aca="false">F1325-(G1325+H1325)/2</f>
        <v>-77.2054141887561</v>
      </c>
      <c r="J1325" s="5" t="str">
        <f aca="false">IF(D1325&lt;8,"LOW SAMPLE",IF(F1325&gt;H1325*(1+Assumptions!$B$10),"UNDERPAID",IF(F1325&lt;G1325*(1-Assumptions!$B$10),"OVERPAID","FAIR")))</f>
        <v>FAIR</v>
      </c>
      <c r="K1325" s="5" t="n">
        <v>91</v>
      </c>
    </row>
    <row r="1326" customFormat="false" ht="15" hidden="false" customHeight="false" outlineLevel="0" collapsed="false">
      <c r="A1326" s="5" t="n">
        <v>2022</v>
      </c>
      <c r="B1326" s="5" t="s">
        <v>681</v>
      </c>
      <c r="C1326" s="5" t="s">
        <v>689</v>
      </c>
      <c r="D1326" s="5" t="n">
        <v>8</v>
      </c>
      <c r="E1326" s="13" t="n">
        <v>1.15</v>
      </c>
      <c r="F1326" s="14" t="n">
        <f aca="false">E1326*Assumptions!$D$5</f>
        <v>154.907921207968</v>
      </c>
      <c r="G1326" s="14" t="n">
        <v>125</v>
      </c>
      <c r="H1326" s="14" t="n">
        <v>225</v>
      </c>
      <c r="I1326" s="14" t="n">
        <f aca="false">F1326-(G1326+H1326)/2</f>
        <v>-20.0920787920324</v>
      </c>
      <c r="J1326" s="5" t="str">
        <f aca="false">IF(D1326&lt;8,"LOW SAMPLE",IF(F1326&gt;H1326*(1+Assumptions!$B$10),"UNDERPAID",IF(F1326&lt;G1326*(1-Assumptions!$B$10),"OVERPAID","FAIR")))</f>
        <v>FAIR</v>
      </c>
      <c r="K1326" s="5" t="n">
        <v>1</v>
      </c>
    </row>
    <row r="1327" customFormat="false" ht="15" hidden="false" customHeight="false" outlineLevel="0" collapsed="false">
      <c r="A1327" s="5" t="n">
        <v>2022</v>
      </c>
      <c r="B1327" s="5" t="s">
        <v>681</v>
      </c>
      <c r="C1327" s="5" t="s">
        <v>690</v>
      </c>
      <c r="D1327" s="5" t="n">
        <v>19</v>
      </c>
      <c r="E1327" s="13" t="n">
        <v>3.42</v>
      </c>
      <c r="F1327" s="14" t="n">
        <f aca="false">E1327*Assumptions!$D$5</f>
        <v>460.682687418478</v>
      </c>
      <c r="G1327" s="14" t="n">
        <v>615</v>
      </c>
      <c r="H1327" s="14" t="n">
        <v>855</v>
      </c>
      <c r="I1327" s="14" t="n">
        <f aca="false">F1327-(G1327+H1327)/2</f>
        <v>-274.317312581522</v>
      </c>
      <c r="J1327" s="5" t="str">
        <f aca="false">IF(D1327&lt;8,"LOW SAMPLE",IF(F1327&gt;H1327*(1+Assumptions!$B$10),"UNDERPAID",IF(F1327&lt;G1327*(1-Assumptions!$B$10),"OVERPAID","FAIR")))</f>
        <v>OVERPAID</v>
      </c>
      <c r="K1327" s="5" t="n">
        <v>134</v>
      </c>
    </row>
    <row r="1328" customFormat="false" ht="15" hidden="false" customHeight="false" outlineLevel="0" collapsed="false">
      <c r="A1328" s="5" t="n">
        <v>2022</v>
      </c>
      <c r="B1328" s="5" t="s">
        <v>681</v>
      </c>
      <c r="C1328" s="5" t="s">
        <v>691</v>
      </c>
      <c r="D1328" s="5" t="n">
        <v>21</v>
      </c>
      <c r="E1328" s="13" t="n">
        <v>3.67</v>
      </c>
      <c r="F1328" s="14" t="n">
        <f aca="false">E1328*Assumptions!$D$5</f>
        <v>494.358322463688</v>
      </c>
      <c r="G1328" s="14" t="n">
        <v>225</v>
      </c>
      <c r="H1328" s="14" t="n">
        <v>345</v>
      </c>
      <c r="I1328" s="14" t="n">
        <f aca="false">F1328-(G1328+H1328)/2</f>
        <v>209.358322463688</v>
      </c>
      <c r="J1328" s="5" t="str">
        <f aca="false">IF(D1328&lt;8,"LOW SAMPLE",IF(F1328&gt;H1328*(1+Assumptions!$B$10),"UNDERPAID",IF(F1328&lt;G1328*(1-Assumptions!$B$10),"OVERPAID","FAIR")))</f>
        <v>UNDERPAID</v>
      </c>
      <c r="K1328" s="5" t="n">
        <v>19</v>
      </c>
    </row>
    <row r="1329" customFormat="false" ht="15" hidden="false" customHeight="false" outlineLevel="0" collapsed="false">
      <c r="A1329" s="5" t="n">
        <v>2022</v>
      </c>
      <c r="B1329" s="5" t="s">
        <v>681</v>
      </c>
      <c r="C1329" s="5" t="s">
        <v>825</v>
      </c>
      <c r="D1329" s="5" t="n">
        <v>2</v>
      </c>
      <c r="E1329" s="13" t="n">
        <v>0.19</v>
      </c>
      <c r="F1329" s="14" t="n">
        <f aca="false">E1329*Assumptions!$D$5</f>
        <v>25.5934826343599</v>
      </c>
      <c r="G1329" s="14" t="n">
        <v>225</v>
      </c>
      <c r="H1329" s="14" t="n">
        <v>345</v>
      </c>
      <c r="I1329" s="14" t="n">
        <f aca="false">F1329-(G1329+H1329)/2</f>
        <v>-259.40651736564</v>
      </c>
      <c r="J1329" s="5" t="str">
        <f aca="false">IF(D1329&lt;8,"LOW SAMPLE",IF(F1329&gt;H1329*(1+Assumptions!$B$10),"UNDERPAID",IF(F1329&lt;G1329*(1-Assumptions!$B$10),"OVERPAID","FAIR")))</f>
        <v>LOW SAMPLE</v>
      </c>
      <c r="K1329" s="5" t="n">
        <v>0</v>
      </c>
    </row>
    <row r="1330" customFormat="false" ht="15" hidden="false" customHeight="false" outlineLevel="0" collapsed="false">
      <c r="A1330" s="5" t="n">
        <v>2022</v>
      </c>
      <c r="B1330" s="5" t="s">
        <v>681</v>
      </c>
      <c r="C1330" s="5" t="s">
        <v>693</v>
      </c>
      <c r="D1330" s="5" t="n">
        <v>22</v>
      </c>
      <c r="E1330" s="13" t="n">
        <v>4.27</v>
      </c>
      <c r="F1330" s="14" t="n">
        <f aca="false">E1330*Assumptions!$D$5</f>
        <v>575.179846572193</v>
      </c>
      <c r="G1330" s="14" t="n">
        <v>225</v>
      </c>
      <c r="H1330" s="14" t="n">
        <v>345</v>
      </c>
      <c r="I1330" s="14" t="n">
        <f aca="false">F1330-(G1330+H1330)/2</f>
        <v>290.179846572193</v>
      </c>
      <c r="J1330" s="5" t="str">
        <f aca="false">IF(D1330&lt;8,"LOW SAMPLE",IF(F1330&gt;H1330*(1+Assumptions!$B$10),"UNDERPAID",IF(F1330&lt;G1330*(1-Assumptions!$B$10),"OVERPAID","FAIR")))</f>
        <v>UNDERPAID</v>
      </c>
      <c r="K1330" s="5" t="n">
        <v>63</v>
      </c>
    </row>
    <row r="1331" customFormat="false" ht="15" hidden="false" customHeight="false" outlineLevel="0" collapsed="false">
      <c r="A1331" s="5" t="n">
        <v>2022</v>
      </c>
      <c r="B1331" s="5" t="s">
        <v>681</v>
      </c>
      <c r="C1331" s="5" t="s">
        <v>694</v>
      </c>
      <c r="D1331" s="5" t="n">
        <v>5</v>
      </c>
      <c r="E1331" s="13" t="n">
        <v>0.62</v>
      </c>
      <c r="F1331" s="14" t="n">
        <f aca="false">E1331*Assumptions!$D$5</f>
        <v>83.5155749121217</v>
      </c>
      <c r="G1331" s="14" t="n">
        <v>345</v>
      </c>
      <c r="H1331" s="14" t="n">
        <v>450</v>
      </c>
      <c r="I1331" s="14" t="n">
        <f aca="false">F1331-(G1331+H1331)/2</f>
        <v>-313.984425087878</v>
      </c>
      <c r="J1331" s="5" t="str">
        <f aca="false">IF(D1331&lt;8,"LOW SAMPLE",IF(F1331&gt;H1331*(1+Assumptions!$B$10),"UNDERPAID",IF(F1331&lt;G1331*(1-Assumptions!$B$10),"OVERPAID","FAIR")))</f>
        <v>LOW SAMPLE</v>
      </c>
      <c r="K1331" s="5" t="n">
        <v>110</v>
      </c>
    </row>
    <row r="1332" customFormat="false" ht="15" hidden="false" customHeight="false" outlineLevel="0" collapsed="false">
      <c r="A1332" s="5" t="n">
        <v>2022</v>
      </c>
      <c r="B1332" s="5" t="s">
        <v>681</v>
      </c>
      <c r="C1332" s="5" t="s">
        <v>695</v>
      </c>
      <c r="D1332" s="5" t="n">
        <v>23</v>
      </c>
      <c r="E1332" s="13" t="n">
        <v>6.94</v>
      </c>
      <c r="F1332" s="14" t="n">
        <f aca="false">E1332*Assumptions!$D$5</f>
        <v>934.835628855039</v>
      </c>
      <c r="G1332" s="14" t="n">
        <v>855</v>
      </c>
      <c r="H1332" s="14" t="n">
        <v>1170</v>
      </c>
      <c r="I1332" s="14" t="n">
        <f aca="false">F1332-(G1332+H1332)/2</f>
        <v>-77.6643711449607</v>
      </c>
      <c r="J1332" s="5" t="str">
        <f aca="false">IF(D1332&lt;8,"LOW SAMPLE",IF(F1332&gt;H1332*(1+Assumptions!$B$10),"UNDERPAID",IF(F1332&lt;G1332*(1-Assumptions!$B$10),"OVERPAID","FAIR")))</f>
        <v>FAIR</v>
      </c>
      <c r="K1332" s="5" t="n">
        <v>151</v>
      </c>
    </row>
    <row r="1333" customFormat="false" ht="15" hidden="false" customHeight="false" outlineLevel="0" collapsed="false">
      <c r="A1333" s="5" t="n">
        <v>2022</v>
      </c>
      <c r="B1333" s="5" t="s">
        <v>681</v>
      </c>
      <c r="C1333" s="5" t="s">
        <v>696</v>
      </c>
      <c r="D1333" s="5" t="n">
        <v>17</v>
      </c>
      <c r="E1333" s="13" t="n">
        <v>2.56</v>
      </c>
      <c r="F1333" s="14" t="n">
        <f aca="false">E1333*Assumptions!$D$5</f>
        <v>344.838502862954</v>
      </c>
      <c r="G1333" s="14" t="n">
        <v>125</v>
      </c>
      <c r="H1333" s="14" t="n">
        <v>225</v>
      </c>
      <c r="I1333" s="14" t="n">
        <f aca="false">F1333-(G1333+H1333)/2</f>
        <v>169.838502862954</v>
      </c>
      <c r="J1333" s="5" t="str">
        <f aca="false">IF(D1333&lt;8,"LOW SAMPLE",IF(F1333&gt;H1333*(1+Assumptions!$B$10),"UNDERPAID",IF(F1333&lt;G1333*(1-Assumptions!$B$10),"OVERPAID","FAIR")))</f>
        <v>UNDERPAID</v>
      </c>
      <c r="K1333" s="5" t="n">
        <v>5</v>
      </c>
    </row>
    <row r="1334" customFormat="false" ht="15" hidden="false" customHeight="false" outlineLevel="0" collapsed="false">
      <c r="A1334" s="5" t="n">
        <v>2022</v>
      </c>
      <c r="B1334" s="5" t="s">
        <v>681</v>
      </c>
      <c r="C1334" s="5" t="s">
        <v>697</v>
      </c>
      <c r="D1334" s="5" t="n">
        <v>8</v>
      </c>
      <c r="E1334" s="13" t="n">
        <v>1.27</v>
      </c>
      <c r="F1334" s="14" t="n">
        <f aca="false">E1334*Assumptions!$D$5</f>
        <v>171.072226029669</v>
      </c>
      <c r="G1334" s="14" t="n">
        <v>450</v>
      </c>
      <c r="H1334" s="14" t="n">
        <v>615</v>
      </c>
      <c r="I1334" s="14" t="n">
        <f aca="false">F1334-(G1334+H1334)/2</f>
        <v>-361.427773970331</v>
      </c>
      <c r="J1334" s="5" t="str">
        <f aca="false">IF(D1334&lt;8,"LOW SAMPLE",IF(F1334&gt;H1334*(1+Assumptions!$B$10),"UNDERPAID",IF(F1334&lt;G1334*(1-Assumptions!$B$10),"OVERPAID","FAIR")))</f>
        <v>OVERPAID</v>
      </c>
      <c r="K1334" s="5" t="n">
        <v>141</v>
      </c>
    </row>
    <row r="1335" customFormat="false" ht="15" hidden="false" customHeight="false" outlineLevel="0" collapsed="false">
      <c r="A1335" s="5" t="n">
        <v>2022</v>
      </c>
      <c r="B1335" s="5" t="s">
        <v>681</v>
      </c>
      <c r="C1335" s="5" t="s">
        <v>698</v>
      </c>
      <c r="D1335" s="5" t="n">
        <v>6</v>
      </c>
      <c r="E1335" s="13" t="n">
        <v>1.01</v>
      </c>
      <c r="F1335" s="14" t="n">
        <f aca="false">E1335*Assumptions!$D$5</f>
        <v>136.04956558265</v>
      </c>
      <c r="G1335" s="14" t="n">
        <v>125</v>
      </c>
      <c r="H1335" s="14" t="n">
        <v>225</v>
      </c>
      <c r="I1335" s="14" t="n">
        <f aca="false">F1335-(G1335+H1335)/2</f>
        <v>-38.9504344173502</v>
      </c>
      <c r="J1335" s="5" t="str">
        <f aca="false">IF(D1335&lt;8,"LOW SAMPLE",IF(F1335&gt;H1335*(1+Assumptions!$B$10),"UNDERPAID",IF(F1335&lt;G1335*(1-Assumptions!$B$10),"OVERPAID","FAIR")))</f>
        <v>LOW SAMPLE</v>
      </c>
      <c r="K1335" s="5" t="n">
        <v>5</v>
      </c>
    </row>
    <row r="1336" customFormat="false" ht="15" hidden="false" customHeight="false" outlineLevel="0" collapsed="false">
      <c r="A1336" s="5" t="n">
        <v>2022</v>
      </c>
      <c r="B1336" s="5" t="s">
        <v>681</v>
      </c>
      <c r="C1336" s="5" t="s">
        <v>699</v>
      </c>
      <c r="D1336" s="5" t="n">
        <v>5</v>
      </c>
      <c r="E1336" s="13" t="n">
        <v>0.56</v>
      </c>
      <c r="F1336" s="14" t="n">
        <f aca="false">E1336*Assumptions!$D$5</f>
        <v>75.4334225012712</v>
      </c>
      <c r="G1336" s="14" t="n">
        <v>450</v>
      </c>
      <c r="H1336" s="14" t="n">
        <v>615</v>
      </c>
      <c r="I1336" s="14" t="n">
        <f aca="false">F1336-(G1336+H1336)/2</f>
        <v>-457.066577498729</v>
      </c>
      <c r="J1336" s="5" t="str">
        <f aca="false">IF(D1336&lt;8,"LOW SAMPLE",IF(F1336&gt;H1336*(1+Assumptions!$B$10),"UNDERPAID",IF(F1336&lt;G1336*(1-Assumptions!$B$10),"OVERPAID","FAIR")))</f>
        <v>LOW SAMPLE</v>
      </c>
      <c r="K1336" s="5" t="n">
        <v>126</v>
      </c>
    </row>
    <row r="1337" customFormat="false" ht="15" hidden="false" customHeight="false" outlineLevel="0" collapsed="false">
      <c r="A1337" s="5" t="n">
        <v>2022</v>
      </c>
      <c r="B1337" s="5" t="s">
        <v>681</v>
      </c>
      <c r="C1337" s="5" t="s">
        <v>700</v>
      </c>
      <c r="D1337" s="5" t="n">
        <v>23</v>
      </c>
      <c r="E1337" s="13" t="n">
        <v>6.66</v>
      </c>
      <c r="F1337" s="14" t="n">
        <f aca="false">E1337*Assumptions!$D$5</f>
        <v>897.118917604404</v>
      </c>
      <c r="G1337" s="14" t="n">
        <v>450</v>
      </c>
      <c r="H1337" s="14" t="n">
        <v>615</v>
      </c>
      <c r="I1337" s="14" t="n">
        <f aca="false">F1337-(G1337+H1337)/2</f>
        <v>364.618917604404</v>
      </c>
      <c r="J1337" s="5" t="str">
        <f aca="false">IF(D1337&lt;8,"LOW SAMPLE",IF(F1337&gt;H1337*(1+Assumptions!$B$10),"UNDERPAID",IF(F1337&lt;G1337*(1-Assumptions!$B$10),"OVERPAID","FAIR")))</f>
        <v>UNDERPAID</v>
      </c>
      <c r="K1337" s="5" t="n">
        <v>93</v>
      </c>
    </row>
    <row r="1338" customFormat="false" ht="15" hidden="false" customHeight="false" outlineLevel="0" collapsed="false">
      <c r="A1338" s="5" t="n">
        <v>2022</v>
      </c>
      <c r="B1338" s="5" t="s">
        <v>681</v>
      </c>
      <c r="C1338" s="5" t="s">
        <v>701</v>
      </c>
      <c r="D1338" s="5" t="n">
        <v>7</v>
      </c>
      <c r="E1338" s="13" t="n">
        <v>1.1</v>
      </c>
      <c r="F1338" s="14" t="n">
        <f aca="false">E1338*Assumptions!$D$5</f>
        <v>148.172794198926</v>
      </c>
      <c r="G1338" s="14" t="n">
        <v>225</v>
      </c>
      <c r="H1338" s="14" t="n">
        <v>345</v>
      </c>
      <c r="I1338" s="14" t="n">
        <f aca="false">F1338-(G1338+H1338)/2</f>
        <v>-136.827205801074</v>
      </c>
      <c r="J1338" s="5" t="str">
        <f aca="false">IF(D1338&lt;8,"LOW SAMPLE",IF(F1338&gt;H1338*(1+Assumptions!$B$10),"UNDERPAID",IF(F1338&lt;G1338*(1-Assumptions!$B$10),"OVERPAID","FAIR")))</f>
        <v>LOW SAMPLE</v>
      </c>
      <c r="K1338" s="5" t="n">
        <v>65</v>
      </c>
    </row>
    <row r="1339" customFormat="false" ht="15" hidden="false" customHeight="false" outlineLevel="0" collapsed="false">
      <c r="A1339" s="5" t="n">
        <v>2022</v>
      </c>
      <c r="B1339" s="5" t="s">
        <v>681</v>
      </c>
      <c r="C1339" s="5" t="s">
        <v>702</v>
      </c>
      <c r="D1339" s="5" t="n">
        <v>10</v>
      </c>
      <c r="E1339" s="13" t="n">
        <v>1.65</v>
      </c>
      <c r="F1339" s="14" t="n">
        <f aca="false">E1339*Assumptions!$D$5</f>
        <v>222.259191298388</v>
      </c>
      <c r="G1339" s="14" t="n">
        <v>450</v>
      </c>
      <c r="H1339" s="14" t="n">
        <v>615</v>
      </c>
      <c r="I1339" s="14" t="n">
        <f aca="false">F1339-(G1339+H1339)/2</f>
        <v>-310.240808701612</v>
      </c>
      <c r="J1339" s="5" t="str">
        <f aca="false">IF(D1339&lt;8,"LOW SAMPLE",IF(F1339&gt;H1339*(1+Assumptions!$B$10),"UNDERPAID",IF(F1339&lt;G1339*(1-Assumptions!$B$10),"OVERPAID","FAIR")))</f>
        <v>OVERPAID</v>
      </c>
      <c r="K1339" s="5" t="n">
        <v>140</v>
      </c>
    </row>
    <row r="1340" customFormat="false" ht="15" hidden="false" customHeight="false" outlineLevel="0" collapsed="false">
      <c r="A1340" s="5" t="n">
        <v>2022</v>
      </c>
      <c r="B1340" s="5" t="s">
        <v>681</v>
      </c>
      <c r="C1340" s="5" t="s">
        <v>703</v>
      </c>
      <c r="D1340" s="5" t="n">
        <v>16</v>
      </c>
      <c r="E1340" s="13" t="n">
        <v>1.74</v>
      </c>
      <c r="F1340" s="14" t="n">
        <f aca="false">E1340*Assumptions!$D$5</f>
        <v>234.382419914664</v>
      </c>
      <c r="G1340" s="14" t="n">
        <v>125</v>
      </c>
      <c r="H1340" s="14" t="n">
        <v>225</v>
      </c>
      <c r="I1340" s="14" t="n">
        <f aca="false">F1340-(G1340+H1340)/2</f>
        <v>59.382419914664</v>
      </c>
      <c r="J1340" s="5" t="str">
        <f aca="false">IF(D1340&lt;8,"LOW SAMPLE",IF(F1340&gt;H1340*(1+Assumptions!$B$10),"UNDERPAID",IF(F1340&lt;G1340*(1-Assumptions!$B$10),"OVERPAID","FAIR")))</f>
        <v>FAIR</v>
      </c>
      <c r="K1340" s="5" t="n">
        <v>13</v>
      </c>
    </row>
    <row r="1341" customFormat="false" ht="15" hidden="false" customHeight="false" outlineLevel="0" collapsed="false">
      <c r="A1341" s="5" t="n">
        <v>2022</v>
      </c>
      <c r="B1341" s="5" t="s">
        <v>681</v>
      </c>
      <c r="C1341" s="5" t="s">
        <v>704</v>
      </c>
      <c r="D1341" s="5" t="n">
        <v>10</v>
      </c>
      <c r="E1341" s="13" t="n">
        <v>1.44</v>
      </c>
      <c r="F1341" s="14" t="n">
        <f aca="false">E1341*Assumptions!$D$5</f>
        <v>193.971657860412</v>
      </c>
      <c r="G1341" s="14" t="n">
        <v>225</v>
      </c>
      <c r="H1341" s="14" t="n">
        <v>345</v>
      </c>
      <c r="I1341" s="14" t="n">
        <f aca="false">F1341-(G1341+H1341)/2</f>
        <v>-91.0283421395884</v>
      </c>
      <c r="J1341" s="5" t="str">
        <f aca="false">IF(D1341&lt;8,"LOW SAMPLE",IF(F1341&gt;H1341*(1+Assumptions!$B$10),"UNDERPAID",IF(F1341&lt;G1341*(1-Assumptions!$B$10),"OVERPAID","FAIR")))</f>
        <v>FAIR</v>
      </c>
      <c r="K1341" s="5" t="n">
        <v>23</v>
      </c>
    </row>
    <row r="1342" customFormat="false" ht="15" hidden="false" customHeight="false" outlineLevel="0" collapsed="false">
      <c r="A1342" s="5" t="n">
        <v>2022</v>
      </c>
      <c r="B1342" s="5" t="s">
        <v>681</v>
      </c>
      <c r="C1342" s="5" t="s">
        <v>707</v>
      </c>
      <c r="D1342" s="5" t="n">
        <v>1</v>
      </c>
      <c r="E1342" s="13" t="n">
        <v>0.08</v>
      </c>
      <c r="F1342" s="14" t="n">
        <f aca="false">E1342*Assumptions!$D$5</f>
        <v>10.7762032144673</v>
      </c>
      <c r="G1342" s="14" t="n">
        <v>125</v>
      </c>
      <c r="H1342" s="14" t="n">
        <v>225</v>
      </c>
      <c r="I1342" s="14" t="n">
        <f aca="false">F1342-(G1342+H1342)/2</f>
        <v>-164.223796785533</v>
      </c>
      <c r="J1342" s="5" t="str">
        <f aca="false">IF(D1342&lt;8,"LOW SAMPLE",IF(F1342&gt;H1342*(1+Assumptions!$B$10),"UNDERPAID",IF(F1342&lt;G1342*(1-Assumptions!$B$10),"OVERPAID","FAIR")))</f>
        <v>LOW SAMPLE</v>
      </c>
      <c r="K1342" s="5" t="n">
        <v>3</v>
      </c>
    </row>
    <row r="1343" customFormat="false" ht="15" hidden="false" customHeight="false" outlineLevel="0" collapsed="false">
      <c r="A1343" s="5" t="n">
        <v>2022</v>
      </c>
      <c r="B1343" s="5" t="s">
        <v>681</v>
      </c>
      <c r="C1343" s="5" t="s">
        <v>826</v>
      </c>
      <c r="D1343" s="5" t="n">
        <v>4</v>
      </c>
      <c r="E1343" s="13" t="n">
        <v>0.21</v>
      </c>
      <c r="F1343" s="14" t="n">
        <f aca="false">E1343*Assumptions!$D$5</f>
        <v>28.2875334379767</v>
      </c>
      <c r="G1343" s="14" t="n">
        <v>225</v>
      </c>
      <c r="H1343" s="14" t="n">
        <v>345</v>
      </c>
      <c r="I1343" s="14" t="n">
        <f aca="false">F1343-(G1343+H1343)/2</f>
        <v>-256.712466562023</v>
      </c>
      <c r="J1343" s="5" t="str">
        <f aca="false">IF(D1343&lt;8,"LOW SAMPLE",IF(F1343&gt;H1343*(1+Assumptions!$B$10),"UNDERPAID",IF(F1343&lt;G1343*(1-Assumptions!$B$10),"OVERPAID","FAIR")))</f>
        <v>LOW SAMPLE</v>
      </c>
      <c r="K1343" s="5" t="n">
        <v>0</v>
      </c>
    </row>
    <row r="1344" customFormat="false" ht="15" hidden="false" customHeight="false" outlineLevel="0" collapsed="false">
      <c r="A1344" s="5" t="n">
        <v>2022</v>
      </c>
      <c r="B1344" s="5" t="s">
        <v>681</v>
      </c>
      <c r="C1344" s="5" t="s">
        <v>708</v>
      </c>
      <c r="D1344" s="5" t="n">
        <v>22</v>
      </c>
      <c r="E1344" s="13" t="n">
        <v>8.21</v>
      </c>
      <c r="F1344" s="14" t="n">
        <f aca="false">E1344*Assumptions!$D$5</f>
        <v>1105.90785488471</v>
      </c>
      <c r="G1344" s="14" t="n">
        <v>1170</v>
      </c>
      <c r="H1344" s="14" t="n">
        <v>1530</v>
      </c>
      <c r="I1344" s="14" t="n">
        <f aca="false">F1344-(G1344+H1344)/2</f>
        <v>-244.092145115292</v>
      </c>
      <c r="J1344" s="5" t="str">
        <f aca="false">IF(D1344&lt;8,"LOW SAMPLE",IF(F1344&gt;H1344*(1+Assumptions!$B$10),"UNDERPAID",IF(F1344&lt;G1344*(1-Assumptions!$B$10),"OVERPAID","FAIR")))</f>
        <v>FAIR</v>
      </c>
      <c r="K1344" s="5" t="n">
        <v>155</v>
      </c>
    </row>
    <row r="1345" customFormat="false" ht="15" hidden="false" customHeight="false" outlineLevel="0" collapsed="false">
      <c r="A1345" s="5" t="n">
        <v>2022</v>
      </c>
      <c r="B1345" s="5" t="s">
        <v>681</v>
      </c>
      <c r="C1345" s="5" t="s">
        <v>709</v>
      </c>
      <c r="D1345" s="5" t="n">
        <v>7</v>
      </c>
      <c r="E1345" s="13" t="n">
        <v>0.99</v>
      </c>
      <c r="F1345" s="14" t="n">
        <f aca="false">E1345*Assumptions!$D$5</f>
        <v>133.355514779033</v>
      </c>
      <c r="G1345" s="14" t="n">
        <v>225</v>
      </c>
      <c r="H1345" s="14" t="n">
        <v>345</v>
      </c>
      <c r="I1345" s="14" t="n">
        <f aca="false">F1345-(G1345+H1345)/2</f>
        <v>-151.644485220967</v>
      </c>
      <c r="J1345" s="5" t="str">
        <f aca="false">IF(D1345&lt;8,"LOW SAMPLE",IF(F1345&gt;H1345*(1+Assumptions!$B$10),"UNDERPAID",IF(F1345&lt;G1345*(1-Assumptions!$B$10),"OVERPAID","FAIR")))</f>
        <v>LOW SAMPLE</v>
      </c>
      <c r="K1345" s="5" t="n">
        <v>67</v>
      </c>
    </row>
    <row r="1346" customFormat="false" ht="15" hidden="false" customHeight="false" outlineLevel="0" collapsed="false">
      <c r="A1346" s="5" t="n">
        <v>2022</v>
      </c>
      <c r="B1346" s="5" t="s">
        <v>681</v>
      </c>
      <c r="C1346" s="5" t="s">
        <v>710</v>
      </c>
      <c r="D1346" s="5" t="n">
        <v>5</v>
      </c>
      <c r="E1346" s="13" t="n">
        <v>0.51</v>
      </c>
      <c r="F1346" s="14" t="n">
        <f aca="false">E1346*Assumptions!$D$5</f>
        <v>68.6982954922291</v>
      </c>
      <c r="G1346" s="14" t="n">
        <v>345</v>
      </c>
      <c r="H1346" s="14" t="n">
        <v>450</v>
      </c>
      <c r="I1346" s="14" t="n">
        <f aca="false">F1346-(G1346+H1346)/2</f>
        <v>-328.801704507771</v>
      </c>
      <c r="J1346" s="5" t="str">
        <f aca="false">IF(D1346&lt;8,"LOW SAMPLE",IF(F1346&gt;H1346*(1+Assumptions!$B$10),"UNDERPAID",IF(F1346&lt;G1346*(1-Assumptions!$B$10),"OVERPAID","FAIR")))</f>
        <v>LOW SAMPLE</v>
      </c>
      <c r="K1346" s="5" t="n">
        <v>101</v>
      </c>
    </row>
    <row r="1347" customFormat="false" ht="15" hidden="false" customHeight="false" outlineLevel="0" collapsed="false">
      <c r="A1347" s="5" t="n">
        <v>2022</v>
      </c>
      <c r="B1347" s="5" t="s">
        <v>681</v>
      </c>
      <c r="C1347" s="5" t="s">
        <v>712</v>
      </c>
      <c r="D1347" s="5" t="n">
        <v>14</v>
      </c>
      <c r="E1347" s="13" t="n">
        <v>2.41</v>
      </c>
      <c r="F1347" s="14" t="n">
        <f aca="false">E1347*Assumptions!$D$5</f>
        <v>324.633121835828</v>
      </c>
      <c r="G1347" s="14" t="n">
        <v>125</v>
      </c>
      <c r="H1347" s="14" t="n">
        <v>225</v>
      </c>
      <c r="I1347" s="14" t="n">
        <f aca="false">F1347-(G1347+H1347)/2</f>
        <v>149.633121835828</v>
      </c>
      <c r="J1347" s="5" t="str">
        <f aca="false">IF(D1347&lt;8,"LOW SAMPLE",IF(F1347&gt;H1347*(1+Assumptions!$B$10),"UNDERPAID",IF(F1347&lt;G1347*(1-Assumptions!$B$10),"OVERPAID","FAIR")))</f>
        <v>UNDERPAID</v>
      </c>
      <c r="K1347" s="5" t="n">
        <v>11</v>
      </c>
    </row>
    <row r="1348" customFormat="false" ht="15" hidden="false" customHeight="false" outlineLevel="0" collapsed="false">
      <c r="A1348" s="5" t="n">
        <v>2022</v>
      </c>
      <c r="B1348" s="5" t="s">
        <v>681</v>
      </c>
      <c r="C1348" s="5" t="s">
        <v>713</v>
      </c>
      <c r="D1348" s="5" t="n">
        <v>7</v>
      </c>
      <c r="E1348" s="13" t="n">
        <v>0.74</v>
      </c>
      <c r="F1348" s="14" t="n">
        <f aca="false">E1348*Assumptions!$D$5</f>
        <v>99.6798797338226</v>
      </c>
      <c r="G1348" s="14" t="n">
        <v>125</v>
      </c>
      <c r="H1348" s="14" t="n">
        <v>225</v>
      </c>
      <c r="I1348" s="14" t="n">
        <f aca="false">F1348-(G1348+H1348)/2</f>
        <v>-75.3201202661774</v>
      </c>
      <c r="J1348" s="5" t="str">
        <f aca="false">IF(D1348&lt;8,"LOW SAMPLE",IF(F1348&gt;H1348*(1+Assumptions!$B$10),"UNDERPAID",IF(F1348&lt;G1348*(1-Assumptions!$B$10),"OVERPAID","FAIR")))</f>
        <v>LOW SAMPLE</v>
      </c>
      <c r="K1348" s="5" t="n">
        <v>9</v>
      </c>
    </row>
    <row r="1349" customFormat="false" ht="15" hidden="false" customHeight="false" outlineLevel="0" collapsed="false">
      <c r="A1349" s="5" t="n">
        <v>2022</v>
      </c>
      <c r="B1349" s="5" t="s">
        <v>681</v>
      </c>
      <c r="C1349" s="5" t="s">
        <v>714</v>
      </c>
      <c r="D1349" s="5" t="n">
        <v>10</v>
      </c>
      <c r="E1349" s="13" t="n">
        <v>1.08</v>
      </c>
      <c r="F1349" s="14" t="n">
        <f aca="false">E1349*Assumptions!$D$5</f>
        <v>145.478743395309</v>
      </c>
      <c r="G1349" s="14" t="n">
        <v>225</v>
      </c>
      <c r="H1349" s="14" t="n">
        <v>345</v>
      </c>
      <c r="I1349" s="14" t="n">
        <f aca="false">F1349-(G1349+H1349)/2</f>
        <v>-139.521256604691</v>
      </c>
      <c r="J1349" s="5" t="str">
        <f aca="false">IF(D1349&lt;8,"LOW SAMPLE",IF(F1349&gt;H1349*(1+Assumptions!$B$10),"UNDERPAID",IF(F1349&lt;G1349*(1-Assumptions!$B$10),"OVERPAID","FAIR")))</f>
        <v>OVERPAID</v>
      </c>
      <c r="K1349" s="5" t="n">
        <v>37</v>
      </c>
    </row>
    <row r="1350" customFormat="false" ht="15" hidden="false" customHeight="false" outlineLevel="0" collapsed="false">
      <c r="A1350" s="5" t="n">
        <v>2022</v>
      </c>
      <c r="B1350" s="5" t="s">
        <v>681</v>
      </c>
      <c r="C1350" s="5" t="s">
        <v>827</v>
      </c>
      <c r="D1350" s="5" t="n">
        <v>15</v>
      </c>
      <c r="E1350" s="13" t="n">
        <v>1.82</v>
      </c>
      <c r="F1350" s="14" t="n">
        <f aca="false">E1350*Assumptions!$D$5</f>
        <v>245.158623129131</v>
      </c>
      <c r="G1350" s="14" t="n">
        <v>225</v>
      </c>
      <c r="H1350" s="14" t="n">
        <v>345</v>
      </c>
      <c r="I1350" s="14" t="n">
        <f aca="false">F1350-(G1350+H1350)/2</f>
        <v>-39.8413768708687</v>
      </c>
      <c r="J1350" s="5" t="str">
        <f aca="false">IF(D1350&lt;8,"LOW SAMPLE",IF(F1350&gt;H1350*(1+Assumptions!$B$10),"UNDERPAID",IF(F1350&lt;G1350*(1-Assumptions!$B$10),"OVERPAID","FAIR")))</f>
        <v>FAIR</v>
      </c>
      <c r="K1350" s="5" t="n">
        <v>0</v>
      </c>
    </row>
    <row r="1351" customFormat="false" ht="15" hidden="false" customHeight="false" outlineLevel="0" collapsed="false">
      <c r="A1351" s="5" t="n">
        <v>2022</v>
      </c>
      <c r="B1351" s="5" t="s">
        <v>681</v>
      </c>
      <c r="C1351" s="5" t="s">
        <v>715</v>
      </c>
      <c r="D1351" s="5" t="n">
        <v>22</v>
      </c>
      <c r="E1351" s="13" t="n">
        <v>4.09</v>
      </c>
      <c r="F1351" s="14" t="n">
        <f aca="false">E1351*Assumptions!$D$5</f>
        <v>550.933389339641</v>
      </c>
      <c r="G1351" s="14" t="n">
        <v>125</v>
      </c>
      <c r="H1351" s="14" t="n">
        <v>225</v>
      </c>
      <c r="I1351" s="14" t="n">
        <f aca="false">F1351-(G1351+H1351)/2</f>
        <v>375.933389339641</v>
      </c>
      <c r="J1351" s="5" t="str">
        <f aca="false">IF(D1351&lt;8,"LOW SAMPLE",IF(F1351&gt;H1351*(1+Assumptions!$B$10),"UNDERPAID",IF(F1351&lt;G1351*(1-Assumptions!$B$10),"OVERPAID","FAIR")))</f>
        <v>UNDERPAID</v>
      </c>
      <c r="K1351" s="5" t="n">
        <v>21</v>
      </c>
    </row>
    <row r="1352" customFormat="false" ht="15" hidden="false" customHeight="false" outlineLevel="0" collapsed="false">
      <c r="A1352" s="5" t="n">
        <v>2022</v>
      </c>
      <c r="B1352" s="5" t="s">
        <v>681</v>
      </c>
      <c r="C1352" s="5" t="s">
        <v>828</v>
      </c>
      <c r="D1352" s="5" t="n">
        <v>4</v>
      </c>
      <c r="E1352" s="13" t="n">
        <v>0.63</v>
      </c>
      <c r="F1352" s="14" t="n">
        <f aca="false">E1352*Assumptions!$D$5</f>
        <v>84.8626003139301</v>
      </c>
      <c r="G1352" s="14" t="n">
        <v>225</v>
      </c>
      <c r="H1352" s="14" t="n">
        <v>345</v>
      </c>
      <c r="I1352" s="14" t="n">
        <f aca="false">F1352-(G1352+H1352)/2</f>
        <v>-200.13739968607</v>
      </c>
      <c r="J1352" s="5" t="str">
        <f aca="false">IF(D1352&lt;8,"LOW SAMPLE",IF(F1352&gt;H1352*(1+Assumptions!$B$10),"UNDERPAID",IF(F1352&lt;G1352*(1-Assumptions!$B$10),"OVERPAID","FAIR")))</f>
        <v>LOW SAMPLE</v>
      </c>
      <c r="K1352" s="5" t="n">
        <v>0</v>
      </c>
    </row>
    <row r="1353" customFormat="false" ht="15" hidden="false" customHeight="false" outlineLevel="0" collapsed="false">
      <c r="A1353" s="5" t="n">
        <v>2022</v>
      </c>
      <c r="B1353" s="5" t="s">
        <v>681</v>
      </c>
      <c r="C1353" s="5" t="s">
        <v>716</v>
      </c>
      <c r="D1353" s="5" t="n">
        <v>4</v>
      </c>
      <c r="E1353" s="13" t="n">
        <v>0.51</v>
      </c>
      <c r="F1353" s="14" t="n">
        <f aca="false">E1353*Assumptions!$D$5</f>
        <v>68.6982954922291</v>
      </c>
      <c r="G1353" s="14" t="n">
        <v>345</v>
      </c>
      <c r="H1353" s="14" t="n">
        <v>450</v>
      </c>
      <c r="I1353" s="14" t="n">
        <f aca="false">F1353-(G1353+H1353)/2</f>
        <v>-328.801704507771</v>
      </c>
      <c r="J1353" s="5" t="str">
        <f aca="false">IF(D1353&lt;8,"LOW SAMPLE",IF(F1353&gt;H1353*(1+Assumptions!$B$10),"UNDERPAID",IF(F1353&lt;G1353*(1-Assumptions!$B$10),"OVERPAID","FAIR")))</f>
        <v>LOW SAMPLE</v>
      </c>
      <c r="K1353" s="5" t="n">
        <v>125</v>
      </c>
    </row>
    <row r="1354" customFormat="false" ht="15" hidden="false" customHeight="false" outlineLevel="0" collapsed="false">
      <c r="A1354" s="5" t="n">
        <v>2022</v>
      </c>
      <c r="B1354" s="5" t="s">
        <v>681</v>
      </c>
      <c r="C1354" s="5" t="s">
        <v>717</v>
      </c>
      <c r="D1354" s="5" t="n">
        <v>12</v>
      </c>
      <c r="E1354" s="13" t="n">
        <v>1.5</v>
      </c>
      <c r="F1354" s="14" t="n">
        <f aca="false">E1354*Assumptions!$D$5</f>
        <v>202.053810271262</v>
      </c>
      <c r="G1354" s="14" t="n">
        <v>345</v>
      </c>
      <c r="H1354" s="14" t="n">
        <v>450</v>
      </c>
      <c r="I1354" s="14" t="n">
        <f aca="false">F1354-(G1354+H1354)/2</f>
        <v>-195.446189728738</v>
      </c>
      <c r="J1354" s="5" t="str">
        <f aca="false">IF(D1354&lt;8,"LOW SAMPLE",IF(F1354&gt;H1354*(1+Assumptions!$B$10),"UNDERPAID",IF(F1354&lt;G1354*(1-Assumptions!$B$10),"OVERPAID","FAIR")))</f>
        <v>OVERPAID</v>
      </c>
      <c r="K1354" s="5" t="n">
        <v>119</v>
      </c>
    </row>
    <row r="1355" customFormat="false" ht="15" hidden="false" customHeight="false" outlineLevel="0" collapsed="false">
      <c r="A1355" s="5" t="n">
        <v>2022</v>
      </c>
      <c r="B1355" s="5" t="s">
        <v>681</v>
      </c>
      <c r="C1355" s="5" t="s">
        <v>718</v>
      </c>
      <c r="D1355" s="5" t="n">
        <v>16</v>
      </c>
      <c r="E1355" s="13" t="n">
        <v>4.78</v>
      </c>
      <c r="F1355" s="14" t="n">
        <f aca="false">E1355*Assumptions!$D$5</f>
        <v>643.878142064422</v>
      </c>
      <c r="G1355" s="14" t="n">
        <v>615</v>
      </c>
      <c r="H1355" s="14" t="n">
        <v>855</v>
      </c>
      <c r="I1355" s="14" t="n">
        <f aca="false">F1355-(G1355+H1355)/2</f>
        <v>-91.1218579355781</v>
      </c>
      <c r="J1355" s="5" t="str">
        <f aca="false">IF(D1355&lt;8,"LOW SAMPLE",IF(F1355&gt;H1355*(1+Assumptions!$B$10),"UNDERPAID",IF(F1355&lt;G1355*(1-Assumptions!$B$10),"OVERPAID","FAIR")))</f>
        <v>FAIR</v>
      </c>
      <c r="K1355" s="5" t="n">
        <v>69</v>
      </c>
    </row>
    <row r="1356" customFormat="false" ht="15" hidden="false" customHeight="false" outlineLevel="0" collapsed="false">
      <c r="A1356" s="5" t="n">
        <v>2022</v>
      </c>
      <c r="B1356" s="5" t="s">
        <v>681</v>
      </c>
      <c r="C1356" s="5" t="s">
        <v>412</v>
      </c>
      <c r="D1356" s="5" t="n">
        <v>11</v>
      </c>
      <c r="E1356" s="13" t="n">
        <v>1.87</v>
      </c>
      <c r="F1356" s="14" t="n">
        <f aca="false">E1356*Assumptions!$D$5</f>
        <v>251.893750138173</v>
      </c>
      <c r="G1356" s="14" t="n">
        <v>345</v>
      </c>
      <c r="H1356" s="14" t="n">
        <v>450</v>
      </c>
      <c r="I1356" s="14" t="n">
        <f aca="false">F1356-(G1356+H1356)/2</f>
        <v>-145.606249861827</v>
      </c>
      <c r="J1356" s="5" t="str">
        <f aca="false">IF(D1356&lt;8,"LOW SAMPLE",IF(F1356&gt;H1356*(1+Assumptions!$B$10),"UNDERPAID",IF(F1356&lt;G1356*(1-Assumptions!$B$10),"OVERPAID","FAIR")))</f>
        <v>OVERPAID</v>
      </c>
      <c r="K1356" s="5" t="n">
        <v>93</v>
      </c>
    </row>
    <row r="1357" customFormat="false" ht="15" hidden="false" customHeight="false" outlineLevel="0" collapsed="false">
      <c r="A1357" s="5" t="n">
        <v>2022</v>
      </c>
      <c r="B1357" s="5" t="s">
        <v>681</v>
      </c>
      <c r="C1357" s="5" t="s">
        <v>719</v>
      </c>
      <c r="D1357" s="5" t="n">
        <v>2</v>
      </c>
      <c r="E1357" s="13" t="n">
        <v>0.22</v>
      </c>
      <c r="F1357" s="14" t="n">
        <f aca="false">E1357*Assumptions!$D$5</f>
        <v>29.6345588397851</v>
      </c>
      <c r="G1357" s="14" t="n">
        <v>225</v>
      </c>
      <c r="H1357" s="14" t="n">
        <v>345</v>
      </c>
      <c r="I1357" s="14" t="n">
        <f aca="false">F1357-(G1357+H1357)/2</f>
        <v>-255.365441160215</v>
      </c>
      <c r="J1357" s="5" t="str">
        <f aca="false">IF(D1357&lt;8,"LOW SAMPLE",IF(F1357&gt;H1357*(1+Assumptions!$B$10),"UNDERPAID",IF(F1357&lt;G1357*(1-Assumptions!$B$10),"OVERPAID","FAIR")))</f>
        <v>LOW SAMPLE</v>
      </c>
      <c r="K1357" s="5" t="n">
        <v>94</v>
      </c>
    </row>
    <row r="1358" customFormat="false" ht="15" hidden="false" customHeight="false" outlineLevel="0" collapsed="false">
      <c r="A1358" s="5" t="n">
        <v>2022</v>
      </c>
      <c r="B1358" s="5" t="s">
        <v>681</v>
      </c>
      <c r="C1358" s="5" t="s">
        <v>720</v>
      </c>
      <c r="D1358" s="5" t="n">
        <v>22</v>
      </c>
      <c r="E1358" s="13" t="n">
        <v>6.53</v>
      </c>
      <c r="F1358" s="14" t="n">
        <f aca="false">E1358*Assumptions!$D$5</f>
        <v>879.607587380894</v>
      </c>
      <c r="G1358" s="14" t="n">
        <v>615</v>
      </c>
      <c r="H1358" s="14" t="n">
        <v>855</v>
      </c>
      <c r="I1358" s="14" t="n">
        <f aca="false">F1358-(G1358+H1358)/2</f>
        <v>144.607587380894</v>
      </c>
      <c r="J1358" s="5" t="str">
        <f aca="false">IF(D1358&lt;8,"LOW SAMPLE",IF(F1358&gt;H1358*(1+Assumptions!$B$10),"UNDERPAID",IF(F1358&lt;G1358*(1-Assumptions!$B$10),"OVERPAID","FAIR")))</f>
        <v>FAIR</v>
      </c>
      <c r="K1358" s="5" t="n">
        <v>96</v>
      </c>
    </row>
    <row r="1359" customFormat="false" ht="15" hidden="false" customHeight="false" outlineLevel="0" collapsed="false">
      <c r="A1359" s="5" t="n">
        <v>2022</v>
      </c>
      <c r="B1359" s="5" t="s">
        <v>681</v>
      </c>
      <c r="C1359" s="5" t="s">
        <v>721</v>
      </c>
      <c r="D1359" s="5" t="n">
        <v>14</v>
      </c>
      <c r="E1359" s="13" t="n">
        <v>1.89</v>
      </c>
      <c r="F1359" s="14" t="n">
        <f aca="false">E1359*Assumptions!$D$5</f>
        <v>254.58780094179</v>
      </c>
      <c r="G1359" s="14" t="n">
        <v>345</v>
      </c>
      <c r="H1359" s="14" t="n">
        <v>450</v>
      </c>
      <c r="I1359" s="14" t="n">
        <f aca="false">F1359-(G1359+H1359)/2</f>
        <v>-142.91219905821</v>
      </c>
      <c r="J1359" s="5" t="str">
        <f aca="false">IF(D1359&lt;8,"LOW SAMPLE",IF(F1359&gt;H1359*(1+Assumptions!$B$10),"UNDERPAID",IF(F1359&lt;G1359*(1-Assumptions!$B$10),"OVERPAID","FAIR")))</f>
        <v>OVERPAID</v>
      </c>
      <c r="K1359" s="5" t="n">
        <v>104</v>
      </c>
    </row>
    <row r="1360" customFormat="false" ht="15" hidden="false" customHeight="false" outlineLevel="0" collapsed="false">
      <c r="A1360" s="5" t="n">
        <v>2023</v>
      </c>
      <c r="B1360" s="5" t="s">
        <v>35</v>
      </c>
      <c r="C1360" s="5" t="s">
        <v>38</v>
      </c>
      <c r="D1360" s="5" t="n">
        <v>23</v>
      </c>
      <c r="E1360" s="13" t="n">
        <v>5.09</v>
      </c>
      <c r="F1360" s="14" t="n">
        <f aca="false">E1360*Assumptions!$D$6</f>
        <v>761.602753903115</v>
      </c>
      <c r="G1360" s="14" t="n">
        <v>680</v>
      </c>
      <c r="H1360" s="14" t="n">
        <v>950</v>
      </c>
      <c r="I1360" s="14" t="n">
        <f aca="false">F1360-(G1360+H1360)/2</f>
        <v>-53.3972460968847</v>
      </c>
      <c r="J1360" s="5" t="str">
        <f aca="false">IF(D1360&lt;8,"LOW SAMPLE",IF(F1360&gt;H1360*(1+Assumptions!$B$10),"UNDERPAID",IF(F1360&lt;G1360*(1-Assumptions!$B$10),"OVERPAID","FAIR")))</f>
        <v>FAIR</v>
      </c>
      <c r="K1360" s="5" t="n">
        <v>90</v>
      </c>
    </row>
    <row r="1361" customFormat="false" ht="15" hidden="false" customHeight="false" outlineLevel="0" collapsed="false">
      <c r="A1361" s="5" t="n">
        <v>2023</v>
      </c>
      <c r="B1361" s="5" t="s">
        <v>35</v>
      </c>
      <c r="C1361" s="5" t="s">
        <v>40</v>
      </c>
      <c r="D1361" s="5" t="n">
        <v>1</v>
      </c>
      <c r="E1361" s="13" t="n">
        <v>0.2</v>
      </c>
      <c r="F1361" s="14" t="n">
        <f aca="false">E1361*Assumptions!$D$6</f>
        <v>29.9254520197688</v>
      </c>
      <c r="G1361" s="14" t="n">
        <v>140</v>
      </c>
      <c r="H1361" s="14" t="n">
        <v>250</v>
      </c>
      <c r="I1361" s="14" t="n">
        <f aca="false">F1361-(G1361+H1361)/2</f>
        <v>-165.074547980231</v>
      </c>
      <c r="J1361" s="5" t="str">
        <f aca="false">IF(D1361&lt;8,"LOW SAMPLE",IF(F1361&gt;H1361*(1+Assumptions!$B$10),"UNDERPAID",IF(F1361&lt;G1361*(1-Assumptions!$B$10),"OVERPAID","FAIR")))</f>
        <v>LOW SAMPLE</v>
      </c>
      <c r="K1361" s="5" t="n">
        <v>11</v>
      </c>
    </row>
    <row r="1362" customFormat="false" ht="15" hidden="false" customHeight="false" outlineLevel="0" collapsed="false">
      <c r="A1362" s="5" t="n">
        <v>2023</v>
      </c>
      <c r="B1362" s="5" t="s">
        <v>35</v>
      </c>
      <c r="C1362" s="5" t="s">
        <v>41</v>
      </c>
      <c r="D1362" s="5" t="n">
        <v>22</v>
      </c>
      <c r="E1362" s="13" t="n">
        <v>4.85</v>
      </c>
      <c r="F1362" s="14" t="n">
        <f aca="false">E1362*Assumptions!$D$6</f>
        <v>725.692211479393</v>
      </c>
      <c r="G1362" s="14" t="n">
        <v>500</v>
      </c>
      <c r="H1362" s="14" t="n">
        <v>680</v>
      </c>
      <c r="I1362" s="14" t="n">
        <f aca="false">F1362-(G1362+H1362)/2</f>
        <v>135.692211479393</v>
      </c>
      <c r="J1362" s="5" t="str">
        <f aca="false">IF(D1362&lt;8,"LOW SAMPLE",IF(F1362&gt;H1362*(1+Assumptions!$B$10),"UNDERPAID",IF(F1362&lt;G1362*(1-Assumptions!$B$10),"OVERPAID","FAIR")))</f>
        <v>FAIR</v>
      </c>
      <c r="K1362" s="5" t="n">
        <v>149</v>
      </c>
    </row>
    <row r="1363" customFormat="false" ht="15" hidden="false" customHeight="false" outlineLevel="0" collapsed="false">
      <c r="A1363" s="5" t="n">
        <v>2023</v>
      </c>
      <c r="B1363" s="5" t="s">
        <v>35</v>
      </c>
      <c r="C1363" s="5" t="s">
        <v>42</v>
      </c>
      <c r="D1363" s="5" t="n">
        <v>18</v>
      </c>
      <c r="E1363" s="13" t="n">
        <v>3.67</v>
      </c>
      <c r="F1363" s="14" t="n">
        <f aca="false">E1363*Assumptions!$D$6</f>
        <v>549.132044562757</v>
      </c>
      <c r="G1363" s="14" t="n">
        <v>250</v>
      </c>
      <c r="H1363" s="14" t="n">
        <v>380</v>
      </c>
      <c r="I1363" s="14" t="n">
        <f aca="false">F1363-(G1363+H1363)/2</f>
        <v>234.132044562757</v>
      </c>
      <c r="J1363" s="5" t="str">
        <f aca="false">IF(D1363&lt;8,"LOW SAMPLE",IF(F1363&gt;H1363*(1+Assumptions!$B$10),"UNDERPAID",IF(F1363&lt;G1363*(1-Assumptions!$B$10),"OVERPAID","FAIR")))</f>
        <v>UNDERPAID</v>
      </c>
      <c r="K1363" s="5" t="n">
        <v>58</v>
      </c>
    </row>
    <row r="1364" customFormat="false" ht="15" hidden="false" customHeight="false" outlineLevel="0" collapsed="false">
      <c r="A1364" s="5" t="n">
        <v>2023</v>
      </c>
      <c r="B1364" s="5" t="s">
        <v>35</v>
      </c>
      <c r="C1364" s="5" t="s">
        <v>43</v>
      </c>
      <c r="D1364" s="5" t="n">
        <v>21</v>
      </c>
      <c r="E1364" s="13" t="n">
        <v>4.48</v>
      </c>
      <c r="F1364" s="14" t="n">
        <f aca="false">E1364*Assumptions!$D$6</f>
        <v>670.330125242821</v>
      </c>
      <c r="G1364" s="14" t="n">
        <v>380</v>
      </c>
      <c r="H1364" s="14" t="n">
        <v>500</v>
      </c>
      <c r="I1364" s="14" t="n">
        <f aca="false">F1364-(G1364+H1364)/2</f>
        <v>230.330125242821</v>
      </c>
      <c r="J1364" s="5" t="str">
        <f aca="false">IF(D1364&lt;8,"LOW SAMPLE",IF(F1364&gt;H1364*(1+Assumptions!$B$10),"UNDERPAID",IF(F1364&lt;G1364*(1-Assumptions!$B$10),"OVERPAID","FAIR")))</f>
        <v>UNDERPAID</v>
      </c>
      <c r="K1364" s="5" t="n">
        <v>58</v>
      </c>
    </row>
    <row r="1365" customFormat="false" ht="15" hidden="false" customHeight="false" outlineLevel="0" collapsed="false">
      <c r="A1365" s="5" t="n">
        <v>2023</v>
      </c>
      <c r="B1365" s="5" t="s">
        <v>35</v>
      </c>
      <c r="C1365" s="5" t="s">
        <v>45</v>
      </c>
      <c r="D1365" s="5" t="n">
        <v>3</v>
      </c>
      <c r="E1365" s="13" t="n">
        <v>0.43</v>
      </c>
      <c r="F1365" s="14" t="n">
        <f aca="false">E1365*Assumptions!$D$6</f>
        <v>64.3397218425029</v>
      </c>
      <c r="G1365" s="14" t="n">
        <v>250</v>
      </c>
      <c r="H1365" s="14" t="n">
        <v>380</v>
      </c>
      <c r="I1365" s="14" t="n">
        <f aca="false">F1365-(G1365+H1365)/2</f>
        <v>-250.660278157497</v>
      </c>
      <c r="J1365" s="5" t="str">
        <f aca="false">IF(D1365&lt;8,"LOW SAMPLE",IF(F1365&gt;H1365*(1+Assumptions!$B$10),"UNDERPAID",IF(F1365&lt;G1365*(1-Assumptions!$B$10),"OVERPAID","FAIR")))</f>
        <v>LOW SAMPLE</v>
      </c>
      <c r="K1365" s="5" t="n">
        <v>38</v>
      </c>
    </row>
    <row r="1366" customFormat="false" ht="15" hidden="false" customHeight="false" outlineLevel="0" collapsed="false">
      <c r="A1366" s="5" t="n">
        <v>2023</v>
      </c>
      <c r="B1366" s="5" t="s">
        <v>35</v>
      </c>
      <c r="C1366" s="5" t="s">
        <v>46</v>
      </c>
      <c r="D1366" s="5" t="n">
        <v>11</v>
      </c>
      <c r="E1366" s="13" t="n">
        <v>1.52</v>
      </c>
      <c r="F1366" s="14" t="n">
        <f aca="false">E1366*Assumptions!$D$6</f>
        <v>227.433435350243</v>
      </c>
      <c r="G1366" s="14" t="n">
        <v>380</v>
      </c>
      <c r="H1366" s="14" t="n">
        <v>500</v>
      </c>
      <c r="I1366" s="14" t="n">
        <f aca="false">F1366-(G1366+H1366)/2</f>
        <v>-212.566564649757</v>
      </c>
      <c r="J1366" s="5" t="str">
        <f aca="false">IF(D1366&lt;8,"LOW SAMPLE",IF(F1366&gt;H1366*(1+Assumptions!$B$10),"UNDERPAID",IF(F1366&lt;G1366*(1-Assumptions!$B$10),"OVERPAID","FAIR")))</f>
        <v>OVERPAID</v>
      </c>
      <c r="K1366" s="5" t="n">
        <v>46</v>
      </c>
    </row>
    <row r="1367" customFormat="false" ht="15" hidden="false" customHeight="false" outlineLevel="0" collapsed="false">
      <c r="A1367" s="5" t="n">
        <v>2023</v>
      </c>
      <c r="B1367" s="5" t="s">
        <v>35</v>
      </c>
      <c r="C1367" s="5" t="s">
        <v>353</v>
      </c>
      <c r="D1367" s="5" t="n">
        <v>20</v>
      </c>
      <c r="E1367" s="13" t="n">
        <v>5.08</v>
      </c>
      <c r="F1367" s="14" t="n">
        <f aca="false">E1367*Assumptions!$D$6</f>
        <v>760.106481302127</v>
      </c>
      <c r="G1367" s="14" t="n">
        <v>380</v>
      </c>
      <c r="H1367" s="14" t="n">
        <v>500</v>
      </c>
      <c r="I1367" s="14" t="n">
        <f aca="false">F1367-(G1367+H1367)/2</f>
        <v>320.106481302127</v>
      </c>
      <c r="J1367" s="5" t="str">
        <f aca="false">IF(D1367&lt;8,"LOW SAMPLE",IF(F1367&gt;H1367*(1+Assumptions!$B$10),"UNDERPAID",IF(F1367&lt;G1367*(1-Assumptions!$B$10),"OVERPAID","FAIR")))</f>
        <v>UNDERPAID</v>
      </c>
      <c r="K1367" s="5" t="n">
        <v>48</v>
      </c>
    </row>
    <row r="1368" customFormat="false" ht="15" hidden="false" customHeight="false" outlineLevel="0" collapsed="false">
      <c r="A1368" s="5" t="n">
        <v>2023</v>
      </c>
      <c r="B1368" s="5" t="s">
        <v>35</v>
      </c>
      <c r="C1368" s="5" t="s">
        <v>47</v>
      </c>
      <c r="D1368" s="5" t="n">
        <v>1</v>
      </c>
      <c r="E1368" s="13" t="n">
        <v>0.03</v>
      </c>
      <c r="F1368" s="14" t="n">
        <f aca="false">E1368*Assumptions!$D$6</f>
        <v>4.48881780296532</v>
      </c>
      <c r="G1368" s="14" t="n">
        <v>140</v>
      </c>
      <c r="H1368" s="14" t="n">
        <v>250</v>
      </c>
      <c r="I1368" s="14" t="n">
        <f aca="false">F1368-(G1368+H1368)/2</f>
        <v>-190.511182197035</v>
      </c>
      <c r="J1368" s="5" t="str">
        <f aca="false">IF(D1368&lt;8,"LOW SAMPLE",IF(F1368&gt;H1368*(1+Assumptions!$B$10),"UNDERPAID",IF(F1368&lt;G1368*(1-Assumptions!$B$10),"OVERPAID","FAIR")))</f>
        <v>LOW SAMPLE</v>
      </c>
      <c r="K1368" s="5" t="n">
        <v>27</v>
      </c>
    </row>
    <row r="1369" customFormat="false" ht="15" hidden="false" customHeight="false" outlineLevel="0" collapsed="false">
      <c r="A1369" s="5" t="n">
        <v>2023</v>
      </c>
      <c r="B1369" s="5" t="s">
        <v>35</v>
      </c>
      <c r="C1369" s="5" t="s">
        <v>722</v>
      </c>
      <c r="D1369" s="5" t="n">
        <v>21</v>
      </c>
      <c r="E1369" s="13" t="n">
        <v>4.01</v>
      </c>
      <c r="F1369" s="14" t="n">
        <f aca="false">E1369*Assumptions!$D$6</f>
        <v>600.005312996364</v>
      </c>
      <c r="G1369" s="14" t="n">
        <v>380</v>
      </c>
      <c r="H1369" s="14" t="n">
        <v>500</v>
      </c>
      <c r="I1369" s="14" t="n">
        <f aca="false">F1369-(G1369+H1369)/2</f>
        <v>160.005312996364</v>
      </c>
      <c r="J1369" s="5" t="str">
        <f aca="false">IF(D1369&lt;8,"LOW SAMPLE",IF(F1369&gt;H1369*(1+Assumptions!$B$10),"UNDERPAID",IF(F1369&lt;G1369*(1-Assumptions!$B$10),"OVERPAID","FAIR")))</f>
        <v>UNDERPAID</v>
      </c>
      <c r="K1369" s="5" t="n">
        <v>16</v>
      </c>
    </row>
    <row r="1370" customFormat="false" ht="15" hidden="false" customHeight="false" outlineLevel="0" collapsed="false">
      <c r="A1370" s="5" t="n">
        <v>2023</v>
      </c>
      <c r="B1370" s="5" t="s">
        <v>35</v>
      </c>
      <c r="C1370" s="5" t="s">
        <v>829</v>
      </c>
      <c r="D1370" s="5" t="n">
        <v>4</v>
      </c>
      <c r="E1370" s="13" t="n">
        <v>0.55</v>
      </c>
      <c r="F1370" s="14" t="n">
        <f aca="false">E1370*Assumptions!$D$6</f>
        <v>82.2949930543641</v>
      </c>
      <c r="G1370" s="14" t="n">
        <v>250</v>
      </c>
      <c r="H1370" s="14" t="n">
        <v>380</v>
      </c>
      <c r="I1370" s="14" t="n">
        <f aca="false">F1370-(G1370+H1370)/2</f>
        <v>-232.705006945636</v>
      </c>
      <c r="J1370" s="5" t="str">
        <f aca="false">IF(D1370&lt;8,"LOW SAMPLE",IF(F1370&gt;H1370*(1+Assumptions!$B$10),"UNDERPAID",IF(F1370&lt;G1370*(1-Assumptions!$B$10),"OVERPAID","FAIR")))</f>
        <v>LOW SAMPLE</v>
      </c>
      <c r="K1370" s="5" t="n">
        <v>0</v>
      </c>
    </row>
    <row r="1371" customFormat="false" ht="15" hidden="false" customHeight="false" outlineLevel="0" collapsed="false">
      <c r="A1371" s="5" t="n">
        <v>2023</v>
      </c>
      <c r="B1371" s="5" t="s">
        <v>35</v>
      </c>
      <c r="C1371" s="5" t="s">
        <v>625</v>
      </c>
      <c r="D1371" s="5" t="n">
        <v>23</v>
      </c>
      <c r="E1371" s="13" t="n">
        <v>6.93</v>
      </c>
      <c r="F1371" s="14" t="n">
        <f aca="false">E1371*Assumptions!$D$6</f>
        <v>1036.91691248499</v>
      </c>
      <c r="G1371" s="14" t="n">
        <v>950</v>
      </c>
      <c r="H1371" s="14" t="n">
        <v>1300</v>
      </c>
      <c r="I1371" s="14" t="n">
        <f aca="false">F1371-(G1371+H1371)/2</f>
        <v>-88.083087515012</v>
      </c>
      <c r="J1371" s="5" t="str">
        <f aca="false">IF(D1371&lt;8,"LOW SAMPLE",IF(F1371&gt;H1371*(1+Assumptions!$B$10),"UNDERPAID",IF(F1371&lt;G1371*(1-Assumptions!$B$10),"OVERPAID","FAIR")))</f>
        <v>FAIR</v>
      </c>
      <c r="K1371" s="5" t="n">
        <v>86</v>
      </c>
    </row>
    <row r="1372" customFormat="false" ht="15" hidden="false" customHeight="false" outlineLevel="0" collapsed="false">
      <c r="A1372" s="5" t="n">
        <v>2023</v>
      </c>
      <c r="B1372" s="5" t="s">
        <v>35</v>
      </c>
      <c r="C1372" s="5" t="s">
        <v>50</v>
      </c>
      <c r="D1372" s="5" t="n">
        <v>17</v>
      </c>
      <c r="E1372" s="13" t="n">
        <v>2.06</v>
      </c>
      <c r="F1372" s="14" t="n">
        <f aca="false">E1372*Assumptions!$D$6</f>
        <v>308.232155803618</v>
      </c>
      <c r="G1372" s="14" t="n">
        <v>250</v>
      </c>
      <c r="H1372" s="14" t="n">
        <v>380</v>
      </c>
      <c r="I1372" s="14" t="n">
        <f aca="false">F1372-(G1372+H1372)/2</f>
        <v>-6.76784419638165</v>
      </c>
      <c r="J1372" s="5" t="str">
        <f aca="false">IF(D1372&lt;8,"LOW SAMPLE",IF(F1372&gt;H1372*(1+Assumptions!$B$10),"UNDERPAID",IF(F1372&lt;G1372*(1-Assumptions!$B$10),"OVERPAID","FAIR")))</f>
        <v>FAIR</v>
      </c>
      <c r="K1372" s="5" t="n">
        <v>43</v>
      </c>
    </row>
    <row r="1373" customFormat="false" ht="15" hidden="false" customHeight="false" outlineLevel="0" collapsed="false">
      <c r="A1373" s="5" t="n">
        <v>2023</v>
      </c>
      <c r="B1373" s="5" t="s">
        <v>35</v>
      </c>
      <c r="C1373" s="5" t="s">
        <v>723</v>
      </c>
      <c r="D1373" s="5" t="n">
        <v>21</v>
      </c>
      <c r="E1373" s="13" t="n">
        <v>4.17</v>
      </c>
      <c r="F1373" s="14" t="n">
        <f aca="false">E1373*Assumptions!$D$6</f>
        <v>623.945674612179</v>
      </c>
      <c r="G1373" s="14" t="n">
        <v>250</v>
      </c>
      <c r="H1373" s="14" t="n">
        <v>380</v>
      </c>
      <c r="I1373" s="14" t="n">
        <f aca="false">F1373-(G1373+H1373)/2</f>
        <v>308.945674612179</v>
      </c>
      <c r="J1373" s="5" t="str">
        <f aca="false">IF(D1373&lt;8,"LOW SAMPLE",IF(F1373&gt;H1373*(1+Assumptions!$B$10),"UNDERPAID",IF(F1373&lt;G1373*(1-Assumptions!$B$10),"OVERPAID","FAIR")))</f>
        <v>UNDERPAID</v>
      </c>
      <c r="K1373" s="5" t="n">
        <v>13</v>
      </c>
    </row>
    <row r="1374" customFormat="false" ht="15" hidden="false" customHeight="false" outlineLevel="0" collapsed="false">
      <c r="A1374" s="5" t="n">
        <v>2023</v>
      </c>
      <c r="B1374" s="5" t="s">
        <v>35</v>
      </c>
      <c r="C1374" s="5" t="s">
        <v>51</v>
      </c>
      <c r="D1374" s="5" t="n">
        <v>12</v>
      </c>
      <c r="E1374" s="13" t="n">
        <v>2.67</v>
      </c>
      <c r="F1374" s="14" t="n">
        <f aca="false">E1374*Assumptions!$D$6</f>
        <v>399.504784463913</v>
      </c>
      <c r="G1374" s="14" t="n">
        <v>140</v>
      </c>
      <c r="H1374" s="14" t="n">
        <v>250</v>
      </c>
      <c r="I1374" s="14" t="n">
        <f aca="false">F1374-(G1374+H1374)/2</f>
        <v>204.504784463913</v>
      </c>
      <c r="J1374" s="5" t="str">
        <f aca="false">IF(D1374&lt;8,"LOW SAMPLE",IF(F1374&gt;H1374*(1+Assumptions!$B$10),"UNDERPAID",IF(F1374&lt;G1374*(1-Assumptions!$B$10),"OVERPAID","FAIR")))</f>
        <v>UNDERPAID</v>
      </c>
      <c r="K1374" s="5" t="n">
        <v>5</v>
      </c>
    </row>
    <row r="1375" customFormat="false" ht="15" hidden="false" customHeight="false" outlineLevel="0" collapsed="false">
      <c r="A1375" s="5" t="n">
        <v>2023</v>
      </c>
      <c r="B1375" s="5" t="s">
        <v>35</v>
      </c>
      <c r="C1375" s="5" t="s">
        <v>53</v>
      </c>
      <c r="D1375" s="5" t="n">
        <v>4</v>
      </c>
      <c r="E1375" s="13" t="n">
        <v>0.72</v>
      </c>
      <c r="F1375" s="14" t="n">
        <f aca="false">E1375*Assumptions!$D$6</f>
        <v>107.731627271168</v>
      </c>
      <c r="G1375" s="14" t="n">
        <v>140</v>
      </c>
      <c r="H1375" s="14" t="n">
        <v>250</v>
      </c>
      <c r="I1375" s="14" t="n">
        <f aca="false">F1375-(G1375+H1375)/2</f>
        <v>-87.2683727288324</v>
      </c>
      <c r="J1375" s="5" t="str">
        <f aca="false">IF(D1375&lt;8,"LOW SAMPLE",IF(F1375&gt;H1375*(1+Assumptions!$B$10),"UNDERPAID",IF(F1375&lt;G1375*(1-Assumptions!$B$10),"OVERPAID","FAIR")))</f>
        <v>LOW SAMPLE</v>
      </c>
      <c r="K1375" s="5" t="n">
        <v>8</v>
      </c>
    </row>
    <row r="1376" customFormat="false" ht="15" hidden="false" customHeight="false" outlineLevel="0" collapsed="false">
      <c r="A1376" s="5" t="n">
        <v>2023</v>
      </c>
      <c r="B1376" s="5" t="s">
        <v>35</v>
      </c>
      <c r="C1376" s="5" t="s">
        <v>54</v>
      </c>
      <c r="D1376" s="5" t="n">
        <v>22</v>
      </c>
      <c r="E1376" s="13" t="n">
        <v>4.03</v>
      </c>
      <c r="F1376" s="14" t="n">
        <f aca="false">E1376*Assumptions!$D$6</f>
        <v>602.997858198341</v>
      </c>
      <c r="G1376" s="14" t="n">
        <v>380</v>
      </c>
      <c r="H1376" s="14" t="n">
        <v>500</v>
      </c>
      <c r="I1376" s="14" t="n">
        <f aca="false">F1376-(G1376+H1376)/2</f>
        <v>162.997858198341</v>
      </c>
      <c r="J1376" s="5" t="str">
        <f aca="false">IF(D1376&lt;8,"LOW SAMPLE",IF(F1376&gt;H1376*(1+Assumptions!$B$10),"UNDERPAID",IF(F1376&lt;G1376*(1-Assumptions!$B$10),"OVERPAID","FAIR")))</f>
        <v>UNDERPAID</v>
      </c>
      <c r="K1376" s="5" t="n">
        <v>76</v>
      </c>
    </row>
    <row r="1377" customFormat="false" ht="15" hidden="false" customHeight="false" outlineLevel="0" collapsed="false">
      <c r="A1377" s="5" t="n">
        <v>2023</v>
      </c>
      <c r="B1377" s="5" t="s">
        <v>35</v>
      </c>
      <c r="C1377" s="5" t="s">
        <v>55</v>
      </c>
      <c r="D1377" s="5" t="n">
        <v>16</v>
      </c>
      <c r="E1377" s="13" t="n">
        <v>2.26</v>
      </c>
      <c r="F1377" s="14" t="n">
        <f aca="false">E1377*Assumptions!$D$6</f>
        <v>338.157607823387</v>
      </c>
      <c r="G1377" s="14" t="n">
        <v>250</v>
      </c>
      <c r="H1377" s="14" t="n">
        <v>380</v>
      </c>
      <c r="I1377" s="14" t="n">
        <f aca="false">F1377-(G1377+H1377)/2</f>
        <v>23.1576078233871</v>
      </c>
      <c r="J1377" s="5" t="str">
        <f aca="false">IF(D1377&lt;8,"LOW SAMPLE",IF(F1377&gt;H1377*(1+Assumptions!$B$10),"UNDERPAID",IF(F1377&lt;G1377*(1-Assumptions!$B$10),"OVERPAID","FAIR")))</f>
        <v>FAIR</v>
      </c>
      <c r="K1377" s="5" t="n">
        <v>38</v>
      </c>
    </row>
    <row r="1378" customFormat="false" ht="15" hidden="false" customHeight="false" outlineLevel="0" collapsed="false">
      <c r="A1378" s="5" t="n">
        <v>2023</v>
      </c>
      <c r="B1378" s="5" t="s">
        <v>35</v>
      </c>
      <c r="C1378" s="5" t="s">
        <v>830</v>
      </c>
      <c r="D1378" s="5" t="n">
        <v>4</v>
      </c>
      <c r="E1378" s="13" t="n">
        <v>0.51</v>
      </c>
      <c r="F1378" s="14" t="n">
        <f aca="false">E1378*Assumptions!$D$6</f>
        <v>76.3099026504104</v>
      </c>
      <c r="G1378" s="14" t="n">
        <v>250</v>
      </c>
      <c r="H1378" s="14" t="n">
        <v>380</v>
      </c>
      <c r="I1378" s="14" t="n">
        <f aca="false">F1378-(G1378+H1378)/2</f>
        <v>-238.69009734959</v>
      </c>
      <c r="J1378" s="5" t="str">
        <f aca="false">IF(D1378&lt;8,"LOW SAMPLE",IF(F1378&gt;H1378*(1+Assumptions!$B$10),"UNDERPAID",IF(F1378&lt;G1378*(1-Assumptions!$B$10),"OVERPAID","FAIR")))</f>
        <v>LOW SAMPLE</v>
      </c>
      <c r="K1378" s="5" t="n">
        <v>0</v>
      </c>
    </row>
    <row r="1379" customFormat="false" ht="15" hidden="false" customHeight="false" outlineLevel="0" collapsed="false">
      <c r="A1379" s="5" t="n">
        <v>2023</v>
      </c>
      <c r="B1379" s="5" t="s">
        <v>35</v>
      </c>
      <c r="C1379" s="5" t="s">
        <v>57</v>
      </c>
      <c r="D1379" s="5" t="n">
        <v>21</v>
      </c>
      <c r="E1379" s="13" t="n">
        <v>3.86</v>
      </c>
      <c r="F1379" s="14" t="n">
        <f aca="false">E1379*Assumptions!$D$6</f>
        <v>577.561223981537</v>
      </c>
      <c r="G1379" s="14" t="n">
        <v>140</v>
      </c>
      <c r="H1379" s="14" t="n">
        <v>250</v>
      </c>
      <c r="I1379" s="14" t="n">
        <f aca="false">F1379-(G1379+H1379)/2</f>
        <v>382.561223981537</v>
      </c>
      <c r="J1379" s="5" t="str">
        <f aca="false">IF(D1379&lt;8,"LOW SAMPLE",IF(F1379&gt;H1379*(1+Assumptions!$B$10),"UNDERPAID",IF(F1379&lt;G1379*(1-Assumptions!$B$10),"OVERPAID","FAIR")))</f>
        <v>UNDERPAID</v>
      </c>
      <c r="K1379" s="5" t="n">
        <v>5</v>
      </c>
    </row>
    <row r="1380" customFormat="false" ht="15" hidden="false" customHeight="false" outlineLevel="0" collapsed="false">
      <c r="A1380" s="5" t="n">
        <v>2023</v>
      </c>
      <c r="B1380" s="5" t="s">
        <v>35</v>
      </c>
      <c r="C1380" s="5" t="s">
        <v>172</v>
      </c>
      <c r="D1380" s="5" t="n">
        <v>5</v>
      </c>
      <c r="E1380" s="13" t="n">
        <v>0.89</v>
      </c>
      <c r="F1380" s="14" t="n">
        <f aca="false">E1380*Assumptions!$D$6</f>
        <v>133.168261487971</v>
      </c>
      <c r="G1380" s="14" t="n">
        <v>140</v>
      </c>
      <c r="H1380" s="14" t="n">
        <v>250</v>
      </c>
      <c r="I1380" s="14" t="n">
        <f aca="false">F1380-(G1380+H1380)/2</f>
        <v>-61.831738512029</v>
      </c>
      <c r="J1380" s="5" t="str">
        <f aca="false">IF(D1380&lt;8,"LOW SAMPLE",IF(F1380&gt;H1380*(1+Assumptions!$B$10),"UNDERPAID",IF(F1380&lt;G1380*(1-Assumptions!$B$10),"OVERPAID","FAIR")))</f>
        <v>LOW SAMPLE</v>
      </c>
      <c r="K1380" s="5" t="n">
        <v>5</v>
      </c>
    </row>
    <row r="1381" customFormat="false" ht="15" hidden="false" customHeight="false" outlineLevel="0" collapsed="false">
      <c r="A1381" s="5" t="n">
        <v>2023</v>
      </c>
      <c r="B1381" s="5" t="s">
        <v>35</v>
      </c>
      <c r="C1381" s="5" t="s">
        <v>724</v>
      </c>
      <c r="D1381" s="5" t="n">
        <v>7</v>
      </c>
      <c r="E1381" s="13" t="n">
        <v>1.56</v>
      </c>
      <c r="F1381" s="14" t="n">
        <f aca="false">E1381*Assumptions!$D$6</f>
        <v>233.418525754196</v>
      </c>
      <c r="G1381" s="14" t="n">
        <v>380</v>
      </c>
      <c r="H1381" s="14" t="n">
        <v>500</v>
      </c>
      <c r="I1381" s="14" t="n">
        <f aca="false">F1381-(G1381+H1381)/2</f>
        <v>-206.581474245804</v>
      </c>
      <c r="J1381" s="5" t="str">
        <f aca="false">IF(D1381&lt;8,"LOW SAMPLE",IF(F1381&gt;H1381*(1+Assumptions!$B$10),"UNDERPAID",IF(F1381&lt;G1381*(1-Assumptions!$B$10),"OVERPAID","FAIR")))</f>
        <v>LOW SAMPLE</v>
      </c>
      <c r="K1381" s="5" t="n">
        <v>128</v>
      </c>
    </row>
    <row r="1382" customFormat="false" ht="15" hidden="false" customHeight="false" outlineLevel="0" collapsed="false">
      <c r="A1382" s="5" t="n">
        <v>2023</v>
      </c>
      <c r="B1382" s="5" t="s">
        <v>35</v>
      </c>
      <c r="C1382" s="5" t="s">
        <v>831</v>
      </c>
      <c r="D1382" s="5" t="n">
        <v>22</v>
      </c>
      <c r="E1382" s="13" t="n">
        <v>2.92</v>
      </c>
      <c r="F1382" s="14" t="n">
        <f aca="false">E1382*Assumptions!$D$6</f>
        <v>436.911599488624</v>
      </c>
      <c r="G1382" s="14" t="n">
        <v>250</v>
      </c>
      <c r="H1382" s="14" t="n">
        <v>380</v>
      </c>
      <c r="I1382" s="14" t="n">
        <f aca="false">F1382-(G1382+H1382)/2</f>
        <v>121.911599488624</v>
      </c>
      <c r="J1382" s="5" t="str">
        <f aca="false">IF(D1382&lt;8,"LOW SAMPLE",IF(F1382&gt;H1382*(1+Assumptions!$B$10),"UNDERPAID",IF(F1382&lt;G1382*(1-Assumptions!$B$10),"OVERPAID","FAIR")))</f>
        <v>FAIR</v>
      </c>
      <c r="K1382" s="5" t="n">
        <v>0</v>
      </c>
    </row>
    <row r="1383" customFormat="false" ht="15" hidden="false" customHeight="false" outlineLevel="0" collapsed="false">
      <c r="A1383" s="5" t="n">
        <v>2023</v>
      </c>
      <c r="B1383" s="5" t="s">
        <v>35</v>
      </c>
      <c r="C1383" s="5" t="s">
        <v>58</v>
      </c>
      <c r="D1383" s="5" t="n">
        <v>22</v>
      </c>
      <c r="E1383" s="13" t="n">
        <v>4.52</v>
      </c>
      <c r="F1383" s="14" t="n">
        <f aca="false">E1383*Assumptions!$D$6</f>
        <v>676.315215646774</v>
      </c>
      <c r="G1383" s="14" t="n">
        <v>140</v>
      </c>
      <c r="H1383" s="14" t="n">
        <v>250</v>
      </c>
      <c r="I1383" s="14" t="n">
        <f aca="false">F1383-(G1383+H1383)/2</f>
        <v>481.315215646774</v>
      </c>
      <c r="J1383" s="5" t="str">
        <f aca="false">IF(D1383&lt;8,"LOW SAMPLE",IF(F1383&gt;H1383*(1+Assumptions!$B$10),"UNDERPAID",IF(F1383&lt;G1383*(1-Assumptions!$B$10),"OVERPAID","FAIR")))</f>
        <v>UNDERPAID</v>
      </c>
      <c r="K1383" s="5" t="n">
        <v>21</v>
      </c>
    </row>
    <row r="1384" customFormat="false" ht="15" hidden="false" customHeight="false" outlineLevel="0" collapsed="false">
      <c r="A1384" s="5" t="n">
        <v>2023</v>
      </c>
      <c r="B1384" s="5" t="s">
        <v>35</v>
      </c>
      <c r="C1384" s="5" t="s">
        <v>59</v>
      </c>
      <c r="D1384" s="5" t="n">
        <v>11</v>
      </c>
      <c r="E1384" s="13" t="n">
        <v>1.18</v>
      </c>
      <c r="F1384" s="14" t="n">
        <f aca="false">E1384*Assumptions!$D$6</f>
        <v>176.560166916636</v>
      </c>
      <c r="G1384" s="14" t="n">
        <v>380</v>
      </c>
      <c r="H1384" s="14" t="n">
        <v>500</v>
      </c>
      <c r="I1384" s="14" t="n">
        <f aca="false">F1384-(G1384+H1384)/2</f>
        <v>-263.439833083364</v>
      </c>
      <c r="J1384" s="5" t="str">
        <f aca="false">IF(D1384&lt;8,"LOW SAMPLE",IF(F1384&gt;H1384*(1+Assumptions!$B$10),"UNDERPAID",IF(F1384&lt;G1384*(1-Assumptions!$B$10),"OVERPAID","FAIR")))</f>
        <v>OVERPAID</v>
      </c>
      <c r="K1384" s="5" t="n">
        <v>49</v>
      </c>
    </row>
    <row r="1385" customFormat="false" ht="15" hidden="false" customHeight="false" outlineLevel="0" collapsed="false">
      <c r="A1385" s="5" t="n">
        <v>2023</v>
      </c>
      <c r="B1385" s="5" t="s">
        <v>35</v>
      </c>
      <c r="C1385" s="5" t="s">
        <v>60</v>
      </c>
      <c r="D1385" s="5" t="n">
        <v>17</v>
      </c>
      <c r="E1385" s="13" t="n">
        <v>3.32</v>
      </c>
      <c r="F1385" s="14" t="n">
        <f aca="false">E1385*Assumptions!$D$6</f>
        <v>496.762503528162</v>
      </c>
      <c r="G1385" s="14" t="n">
        <v>380</v>
      </c>
      <c r="H1385" s="14" t="n">
        <v>500</v>
      </c>
      <c r="I1385" s="14" t="n">
        <f aca="false">F1385-(G1385+H1385)/2</f>
        <v>56.7625035281616</v>
      </c>
      <c r="J1385" s="5" t="str">
        <f aca="false">IF(D1385&lt;8,"LOW SAMPLE",IF(F1385&gt;H1385*(1+Assumptions!$B$10),"UNDERPAID",IF(F1385&lt;G1385*(1-Assumptions!$B$10),"OVERPAID","FAIR")))</f>
        <v>FAIR</v>
      </c>
      <c r="K1385" s="5" t="n">
        <v>29</v>
      </c>
    </row>
    <row r="1386" customFormat="false" ht="15" hidden="false" customHeight="false" outlineLevel="0" collapsed="false">
      <c r="A1386" s="5" t="n">
        <v>2023</v>
      </c>
      <c r="B1386" s="5" t="s">
        <v>35</v>
      </c>
      <c r="C1386" s="5" t="s">
        <v>725</v>
      </c>
      <c r="D1386" s="5" t="n">
        <v>5</v>
      </c>
      <c r="E1386" s="13" t="n">
        <v>0.37</v>
      </c>
      <c r="F1386" s="14" t="n">
        <f aca="false">E1386*Assumptions!$D$6</f>
        <v>55.3620862365722</v>
      </c>
      <c r="G1386" s="14" t="n">
        <v>140</v>
      </c>
      <c r="H1386" s="14" t="n">
        <v>250</v>
      </c>
      <c r="I1386" s="14" t="n">
        <f aca="false">F1386-(G1386+H1386)/2</f>
        <v>-139.637913763428</v>
      </c>
      <c r="J1386" s="5" t="str">
        <f aca="false">IF(D1386&lt;8,"LOW SAMPLE",IF(F1386&gt;H1386*(1+Assumptions!$B$10),"UNDERPAID",IF(F1386&lt;G1386*(1-Assumptions!$B$10),"OVERPAID","FAIR")))</f>
        <v>LOW SAMPLE</v>
      </c>
      <c r="K1386" s="5" t="n">
        <v>11</v>
      </c>
    </row>
    <row r="1387" customFormat="false" ht="15" hidden="false" customHeight="false" outlineLevel="0" collapsed="false">
      <c r="A1387" s="5" t="n">
        <v>2023</v>
      </c>
      <c r="B1387" s="5" t="s">
        <v>35</v>
      </c>
      <c r="C1387" s="5" t="s">
        <v>62</v>
      </c>
      <c r="D1387" s="5" t="n">
        <v>23</v>
      </c>
      <c r="E1387" s="13" t="n">
        <v>5.45</v>
      </c>
      <c r="F1387" s="14" t="n">
        <f aca="false">E1387*Assumptions!$D$6</f>
        <v>815.468567538699</v>
      </c>
      <c r="G1387" s="14" t="n">
        <v>680</v>
      </c>
      <c r="H1387" s="14" t="n">
        <v>950</v>
      </c>
      <c r="I1387" s="14" t="n">
        <f aca="false">F1387-(G1387+H1387)/2</f>
        <v>0.468567538699062</v>
      </c>
      <c r="J1387" s="5" t="str">
        <f aca="false">IF(D1387&lt;8,"LOW SAMPLE",IF(F1387&gt;H1387*(1+Assumptions!$B$10),"UNDERPAID",IF(F1387&lt;G1387*(1-Assumptions!$B$10),"OVERPAID","FAIR")))</f>
        <v>FAIR</v>
      </c>
      <c r="K1387" s="5" t="n">
        <v>77</v>
      </c>
    </row>
    <row r="1388" customFormat="false" ht="15" hidden="false" customHeight="false" outlineLevel="0" collapsed="false">
      <c r="A1388" s="5" t="n">
        <v>2023</v>
      </c>
      <c r="B1388" s="5" t="s">
        <v>35</v>
      </c>
      <c r="C1388" s="5" t="s">
        <v>63</v>
      </c>
      <c r="D1388" s="5" t="n">
        <v>21</v>
      </c>
      <c r="E1388" s="13" t="n">
        <v>4.02</v>
      </c>
      <c r="F1388" s="14" t="n">
        <f aca="false">E1388*Assumptions!$D$6</f>
        <v>601.501585597352</v>
      </c>
      <c r="G1388" s="14" t="n">
        <v>380</v>
      </c>
      <c r="H1388" s="14" t="n">
        <v>500</v>
      </c>
      <c r="I1388" s="14" t="n">
        <f aca="false">F1388-(G1388+H1388)/2</f>
        <v>161.501585597352</v>
      </c>
      <c r="J1388" s="5" t="str">
        <f aca="false">IF(D1388&lt;8,"LOW SAMPLE",IF(F1388&gt;H1388*(1+Assumptions!$B$10),"UNDERPAID",IF(F1388&lt;G1388*(1-Assumptions!$B$10),"OVERPAID","FAIR")))</f>
        <v>UNDERPAID</v>
      </c>
      <c r="K1388" s="5" t="n">
        <v>25</v>
      </c>
    </row>
    <row r="1389" customFormat="false" ht="15" hidden="false" customHeight="false" outlineLevel="0" collapsed="false">
      <c r="A1389" s="5" t="n">
        <v>2023</v>
      </c>
      <c r="B1389" s="5" t="s">
        <v>35</v>
      </c>
      <c r="C1389" s="5" t="s">
        <v>65</v>
      </c>
      <c r="D1389" s="5" t="n">
        <v>22</v>
      </c>
      <c r="E1389" s="13" t="n">
        <v>6.25</v>
      </c>
      <c r="F1389" s="14" t="n">
        <f aca="false">E1389*Assumptions!$D$6</f>
        <v>935.170375617774</v>
      </c>
      <c r="G1389" s="14" t="n">
        <v>950</v>
      </c>
      <c r="H1389" s="14" t="n">
        <v>1300</v>
      </c>
      <c r="I1389" s="14" t="n">
        <f aca="false">F1389-(G1389+H1389)/2</f>
        <v>-189.829624382226</v>
      </c>
      <c r="J1389" s="5" t="str">
        <f aca="false">IF(D1389&lt;8,"LOW SAMPLE",IF(F1389&gt;H1389*(1+Assumptions!$B$10),"UNDERPAID",IF(F1389&lt;G1389*(1-Assumptions!$B$10),"OVERPAID","FAIR")))</f>
        <v>FAIR</v>
      </c>
      <c r="K1389" s="5" t="n">
        <v>168</v>
      </c>
    </row>
    <row r="1390" customFormat="false" ht="15" hidden="false" customHeight="false" outlineLevel="0" collapsed="false">
      <c r="A1390" s="5" t="n">
        <v>2023</v>
      </c>
      <c r="B1390" s="5" t="s">
        <v>35</v>
      </c>
      <c r="C1390" s="5" t="s">
        <v>66</v>
      </c>
      <c r="D1390" s="5" t="n">
        <v>22</v>
      </c>
      <c r="E1390" s="13" t="n">
        <v>4.58</v>
      </c>
      <c r="F1390" s="14" t="n">
        <f aca="false">E1390*Assumptions!$D$6</f>
        <v>685.292851252705</v>
      </c>
      <c r="G1390" s="14" t="n">
        <v>380</v>
      </c>
      <c r="H1390" s="14" t="n">
        <v>500</v>
      </c>
      <c r="I1390" s="14" t="n">
        <f aca="false">F1390-(G1390+H1390)/2</f>
        <v>245.292851252705</v>
      </c>
      <c r="J1390" s="5" t="str">
        <f aca="false">IF(D1390&lt;8,"LOW SAMPLE",IF(F1390&gt;H1390*(1+Assumptions!$B$10),"UNDERPAID",IF(F1390&lt;G1390*(1-Assumptions!$B$10),"OVERPAID","FAIR")))</f>
        <v>UNDERPAID</v>
      </c>
      <c r="K1390" s="5" t="n">
        <v>133</v>
      </c>
    </row>
    <row r="1391" customFormat="false" ht="15" hidden="false" customHeight="false" outlineLevel="0" collapsed="false">
      <c r="A1391" s="5" t="n">
        <v>2023</v>
      </c>
      <c r="B1391" s="5" t="s">
        <v>35</v>
      </c>
      <c r="C1391" s="5" t="s">
        <v>67</v>
      </c>
      <c r="D1391" s="5" t="n">
        <v>4</v>
      </c>
      <c r="E1391" s="13" t="n">
        <v>0.52</v>
      </c>
      <c r="F1391" s="14" t="n">
        <f aca="false">E1391*Assumptions!$D$6</f>
        <v>77.8061752513988</v>
      </c>
      <c r="G1391" s="14" t="n">
        <v>500</v>
      </c>
      <c r="H1391" s="14" t="n">
        <v>680</v>
      </c>
      <c r="I1391" s="14" t="n">
        <f aca="false">F1391-(G1391+H1391)/2</f>
        <v>-512.193824748601</v>
      </c>
      <c r="J1391" s="5" t="str">
        <f aca="false">IF(D1391&lt;8,"LOW SAMPLE",IF(F1391&gt;H1391*(1+Assumptions!$B$10),"UNDERPAID",IF(F1391&lt;G1391*(1-Assumptions!$B$10),"OVERPAID","FAIR")))</f>
        <v>LOW SAMPLE</v>
      </c>
      <c r="K1391" s="5" t="n">
        <v>35</v>
      </c>
    </row>
    <row r="1392" customFormat="false" ht="15" hidden="false" customHeight="false" outlineLevel="0" collapsed="false">
      <c r="A1392" s="5" t="n">
        <v>2023</v>
      </c>
      <c r="B1392" s="5" t="s">
        <v>35</v>
      </c>
      <c r="C1392" s="5" t="s">
        <v>68</v>
      </c>
      <c r="D1392" s="5" t="n">
        <v>7</v>
      </c>
      <c r="E1392" s="13" t="n">
        <v>1.44</v>
      </c>
      <c r="F1392" s="14" t="n">
        <f aca="false">E1392*Assumptions!$D$6</f>
        <v>215.463254542335</v>
      </c>
      <c r="G1392" s="14" t="n">
        <v>380</v>
      </c>
      <c r="H1392" s="14" t="n">
        <v>500</v>
      </c>
      <c r="I1392" s="14" t="n">
        <f aca="false">F1392-(G1392+H1392)/2</f>
        <v>-224.536745457665</v>
      </c>
      <c r="J1392" s="5" t="str">
        <f aca="false">IF(D1392&lt;8,"LOW SAMPLE",IF(F1392&gt;H1392*(1+Assumptions!$B$10),"UNDERPAID",IF(F1392&lt;G1392*(1-Assumptions!$B$10),"OVERPAID","FAIR")))</f>
        <v>LOW SAMPLE</v>
      </c>
      <c r="K1392" s="5" t="n">
        <v>43</v>
      </c>
    </row>
    <row r="1393" customFormat="false" ht="15" hidden="false" customHeight="false" outlineLevel="0" collapsed="false">
      <c r="A1393" s="5" t="n">
        <v>2023</v>
      </c>
      <c r="B1393" s="5" t="s">
        <v>35</v>
      </c>
      <c r="C1393" s="5" t="s">
        <v>69</v>
      </c>
      <c r="D1393" s="5" t="n">
        <v>22</v>
      </c>
      <c r="E1393" s="13" t="n">
        <v>7.1</v>
      </c>
      <c r="F1393" s="14" t="n">
        <f aca="false">E1393*Assumptions!$D$6</f>
        <v>1062.35354670179</v>
      </c>
      <c r="G1393" s="14" t="n">
        <v>500</v>
      </c>
      <c r="H1393" s="14" t="n">
        <v>680</v>
      </c>
      <c r="I1393" s="14" t="n">
        <f aca="false">F1393-(G1393+H1393)/2</f>
        <v>472.353546701791</v>
      </c>
      <c r="J1393" s="5" t="str">
        <f aca="false">IF(D1393&lt;8,"LOW SAMPLE",IF(F1393&gt;H1393*(1+Assumptions!$B$10),"UNDERPAID",IF(F1393&lt;G1393*(1-Assumptions!$B$10),"OVERPAID","FAIR")))</f>
        <v>UNDERPAID</v>
      </c>
      <c r="K1393" s="5" t="n">
        <v>154</v>
      </c>
    </row>
    <row r="1394" customFormat="false" ht="15" hidden="false" customHeight="false" outlineLevel="0" collapsed="false">
      <c r="A1394" s="5" t="n">
        <v>2023</v>
      </c>
      <c r="B1394" s="5" t="s">
        <v>35</v>
      </c>
      <c r="C1394" s="5" t="s">
        <v>70</v>
      </c>
      <c r="D1394" s="5" t="n">
        <v>11</v>
      </c>
      <c r="E1394" s="13" t="n">
        <v>1.82</v>
      </c>
      <c r="F1394" s="14" t="n">
        <f aca="false">E1394*Assumptions!$D$6</f>
        <v>272.321613379896</v>
      </c>
      <c r="G1394" s="14" t="n">
        <v>380</v>
      </c>
      <c r="H1394" s="14" t="n">
        <v>500</v>
      </c>
      <c r="I1394" s="14" t="n">
        <f aca="false">F1394-(G1394+H1394)/2</f>
        <v>-167.678386620104</v>
      </c>
      <c r="J1394" s="5" t="str">
        <f aca="false">IF(D1394&lt;8,"LOW SAMPLE",IF(F1394&gt;H1394*(1+Assumptions!$B$10),"UNDERPAID",IF(F1394&lt;G1394*(1-Assumptions!$B$10),"OVERPAID","FAIR")))</f>
        <v>OVERPAID</v>
      </c>
      <c r="K1394" s="5" t="n">
        <v>71</v>
      </c>
    </row>
    <row r="1395" customFormat="false" ht="15" hidden="false" customHeight="false" outlineLevel="0" collapsed="false">
      <c r="A1395" s="5" t="n">
        <v>2023</v>
      </c>
      <c r="B1395" s="5" t="s">
        <v>35</v>
      </c>
      <c r="C1395" s="5" t="s">
        <v>183</v>
      </c>
      <c r="D1395" s="5" t="n">
        <v>1</v>
      </c>
      <c r="E1395" s="13" t="n">
        <v>0.03</v>
      </c>
      <c r="F1395" s="14" t="n">
        <f aca="false">E1395*Assumptions!$D$6</f>
        <v>4.48881780296532</v>
      </c>
      <c r="G1395" s="14" t="n">
        <v>140</v>
      </c>
      <c r="H1395" s="14" t="n">
        <v>250</v>
      </c>
      <c r="I1395" s="14" t="n">
        <f aca="false">F1395-(G1395+H1395)/2</f>
        <v>-190.511182197035</v>
      </c>
      <c r="J1395" s="5" t="str">
        <f aca="false">IF(D1395&lt;8,"LOW SAMPLE",IF(F1395&gt;H1395*(1+Assumptions!$B$10),"UNDERPAID",IF(F1395&lt;G1395*(1-Assumptions!$B$10),"OVERPAID","FAIR")))</f>
        <v>LOW SAMPLE</v>
      </c>
      <c r="K1395" s="5" t="n">
        <v>27</v>
      </c>
    </row>
    <row r="1396" customFormat="false" ht="15" hidden="false" customHeight="false" outlineLevel="0" collapsed="false">
      <c r="A1396" s="5" t="n">
        <v>2023</v>
      </c>
      <c r="B1396" s="5" t="s">
        <v>35</v>
      </c>
      <c r="C1396" s="5" t="s">
        <v>726</v>
      </c>
      <c r="D1396" s="5" t="n">
        <v>22</v>
      </c>
      <c r="E1396" s="13" t="n">
        <v>3.86</v>
      </c>
      <c r="F1396" s="14" t="n">
        <f aca="false">E1396*Assumptions!$D$6</f>
        <v>577.561223981537</v>
      </c>
      <c r="G1396" s="14" t="n">
        <v>250</v>
      </c>
      <c r="H1396" s="14" t="n">
        <v>380</v>
      </c>
      <c r="I1396" s="14" t="n">
        <f aca="false">F1396-(G1396+H1396)/2</f>
        <v>262.561223981537</v>
      </c>
      <c r="J1396" s="5" t="str">
        <f aca="false">IF(D1396&lt;8,"LOW SAMPLE",IF(F1396&gt;H1396*(1+Assumptions!$B$10),"UNDERPAID",IF(F1396&lt;G1396*(1-Assumptions!$B$10),"OVERPAID","FAIR")))</f>
        <v>UNDERPAID</v>
      </c>
      <c r="K1396" s="5" t="n">
        <v>74</v>
      </c>
    </row>
    <row r="1397" customFormat="false" ht="15" hidden="false" customHeight="false" outlineLevel="0" collapsed="false">
      <c r="A1397" s="5" t="n">
        <v>2023</v>
      </c>
      <c r="B1397" s="5" t="s">
        <v>73</v>
      </c>
      <c r="C1397" s="5" t="s">
        <v>74</v>
      </c>
      <c r="D1397" s="5" t="n">
        <v>26</v>
      </c>
      <c r="E1397" s="13" t="n">
        <v>3.13</v>
      </c>
      <c r="F1397" s="14" t="n">
        <f aca="false">E1397*Assumptions!$D$6</f>
        <v>468.333324109381</v>
      </c>
      <c r="G1397" s="14" t="n">
        <v>380</v>
      </c>
      <c r="H1397" s="14" t="n">
        <v>500</v>
      </c>
      <c r="I1397" s="14" t="n">
        <f aca="false">F1397-(G1397+H1397)/2</f>
        <v>28.3333241093813</v>
      </c>
      <c r="J1397" s="5" t="str">
        <f aca="false">IF(D1397&lt;8,"LOW SAMPLE",IF(F1397&gt;H1397*(1+Assumptions!$B$10),"UNDERPAID",IF(F1397&lt;G1397*(1-Assumptions!$B$10),"OVERPAID","FAIR")))</f>
        <v>FAIR</v>
      </c>
      <c r="K1397" s="5" t="n">
        <v>71</v>
      </c>
    </row>
    <row r="1398" customFormat="false" ht="15" hidden="false" customHeight="false" outlineLevel="0" collapsed="false">
      <c r="A1398" s="5" t="n">
        <v>2023</v>
      </c>
      <c r="B1398" s="5" t="s">
        <v>73</v>
      </c>
      <c r="C1398" s="5" t="s">
        <v>75</v>
      </c>
      <c r="D1398" s="5" t="n">
        <v>12</v>
      </c>
      <c r="E1398" s="13" t="n">
        <v>1.6</v>
      </c>
      <c r="F1398" s="14" t="n">
        <f aca="false">E1398*Assumptions!$D$6</f>
        <v>239.40361615815</v>
      </c>
      <c r="G1398" s="14" t="n">
        <v>380</v>
      </c>
      <c r="H1398" s="14" t="n">
        <v>500</v>
      </c>
      <c r="I1398" s="14" t="n">
        <f aca="false">F1398-(G1398+H1398)/2</f>
        <v>-200.59638384185</v>
      </c>
      <c r="J1398" s="5" t="str">
        <f aca="false">IF(D1398&lt;8,"LOW SAMPLE",IF(F1398&gt;H1398*(1+Assumptions!$B$10),"UNDERPAID",IF(F1398&lt;G1398*(1-Assumptions!$B$10),"OVERPAID","FAIR")))</f>
        <v>OVERPAID</v>
      </c>
      <c r="K1398" s="5" t="n">
        <v>105</v>
      </c>
    </row>
    <row r="1399" customFormat="false" ht="15" hidden="false" customHeight="false" outlineLevel="0" collapsed="false">
      <c r="A1399" s="5" t="n">
        <v>2023</v>
      </c>
      <c r="B1399" s="5" t="s">
        <v>73</v>
      </c>
      <c r="C1399" s="5" t="s">
        <v>727</v>
      </c>
      <c r="D1399" s="5" t="n">
        <v>26</v>
      </c>
      <c r="E1399" s="13" t="n">
        <v>4.48</v>
      </c>
      <c r="F1399" s="14" t="n">
        <f aca="false">E1399*Assumptions!$D$6</f>
        <v>670.330125242821</v>
      </c>
      <c r="G1399" s="14" t="n">
        <v>500</v>
      </c>
      <c r="H1399" s="14" t="n">
        <v>680</v>
      </c>
      <c r="I1399" s="14" t="n">
        <f aca="false">F1399-(G1399+H1399)/2</f>
        <v>80.3301252428206</v>
      </c>
      <c r="J1399" s="5" t="str">
        <f aca="false">IF(D1399&lt;8,"LOW SAMPLE",IF(F1399&gt;H1399*(1+Assumptions!$B$10),"UNDERPAID",IF(F1399&lt;G1399*(1-Assumptions!$B$10),"OVERPAID","FAIR")))</f>
        <v>FAIR</v>
      </c>
      <c r="K1399" s="5" t="n">
        <v>87</v>
      </c>
    </row>
    <row r="1400" customFormat="false" ht="15" hidden="false" customHeight="false" outlineLevel="0" collapsed="false">
      <c r="A1400" s="5" t="n">
        <v>2023</v>
      </c>
      <c r="B1400" s="5" t="s">
        <v>73</v>
      </c>
      <c r="C1400" s="5" t="s">
        <v>76</v>
      </c>
      <c r="D1400" s="5" t="n">
        <v>26</v>
      </c>
      <c r="E1400" s="13" t="n">
        <v>5.69</v>
      </c>
      <c r="F1400" s="14" t="n">
        <f aca="false">E1400*Assumptions!$D$6</f>
        <v>851.379109962422</v>
      </c>
      <c r="G1400" s="14" t="n">
        <v>680</v>
      </c>
      <c r="H1400" s="14" t="n">
        <v>950</v>
      </c>
      <c r="I1400" s="14" t="n">
        <f aca="false">F1400-(G1400+H1400)/2</f>
        <v>36.3791099624216</v>
      </c>
      <c r="J1400" s="5" t="str">
        <f aca="false">IF(D1400&lt;8,"LOW SAMPLE",IF(F1400&gt;H1400*(1+Assumptions!$B$10),"UNDERPAID",IF(F1400&lt;G1400*(1-Assumptions!$B$10),"OVERPAID","FAIR")))</f>
        <v>FAIR</v>
      </c>
      <c r="K1400" s="5" t="n">
        <v>169</v>
      </c>
    </row>
    <row r="1401" customFormat="false" ht="15" hidden="false" customHeight="false" outlineLevel="0" collapsed="false">
      <c r="A1401" s="5" t="n">
        <v>2023</v>
      </c>
      <c r="B1401" s="5" t="s">
        <v>73</v>
      </c>
      <c r="C1401" s="5" t="s">
        <v>832</v>
      </c>
      <c r="D1401" s="5" t="n">
        <v>26</v>
      </c>
      <c r="E1401" s="13" t="n">
        <v>4.46</v>
      </c>
      <c r="F1401" s="14" t="n">
        <f aca="false">E1401*Assumptions!$D$6</f>
        <v>667.337580040844</v>
      </c>
      <c r="G1401" s="14" t="n">
        <v>250</v>
      </c>
      <c r="H1401" s="14" t="n">
        <v>380</v>
      </c>
      <c r="I1401" s="14" t="n">
        <f aca="false">F1401-(G1401+H1401)/2</f>
        <v>352.337580040844</v>
      </c>
      <c r="J1401" s="5" t="str">
        <f aca="false">IF(D1401&lt;8,"LOW SAMPLE",IF(F1401&gt;H1401*(1+Assumptions!$B$10),"UNDERPAID",IF(F1401&lt;G1401*(1-Assumptions!$B$10),"OVERPAID","FAIR")))</f>
        <v>UNDERPAID</v>
      </c>
      <c r="K1401" s="5" t="n">
        <v>79</v>
      </c>
    </row>
    <row r="1402" customFormat="false" ht="15" hidden="false" customHeight="false" outlineLevel="0" collapsed="false">
      <c r="A1402" s="5" t="n">
        <v>2023</v>
      </c>
      <c r="B1402" s="5" t="s">
        <v>73</v>
      </c>
      <c r="C1402" s="5" t="s">
        <v>79</v>
      </c>
      <c r="D1402" s="5" t="n">
        <v>7</v>
      </c>
      <c r="E1402" s="13" t="n">
        <v>1.5</v>
      </c>
      <c r="F1402" s="14" t="n">
        <f aca="false">E1402*Assumptions!$D$6</f>
        <v>224.440890148266</v>
      </c>
      <c r="G1402" s="14" t="n">
        <v>680</v>
      </c>
      <c r="H1402" s="14" t="n">
        <v>950</v>
      </c>
      <c r="I1402" s="14" t="n">
        <f aca="false">F1402-(G1402+H1402)/2</f>
        <v>-590.559109851734</v>
      </c>
      <c r="J1402" s="5" t="str">
        <f aca="false">IF(D1402&lt;8,"LOW SAMPLE",IF(F1402&gt;H1402*(1+Assumptions!$B$10),"UNDERPAID",IF(F1402&lt;G1402*(1-Assumptions!$B$10),"OVERPAID","FAIR")))</f>
        <v>LOW SAMPLE</v>
      </c>
      <c r="K1402" s="5" t="n">
        <v>167</v>
      </c>
    </row>
    <row r="1403" customFormat="false" ht="15" hidden="false" customHeight="false" outlineLevel="0" collapsed="false">
      <c r="A1403" s="5" t="n">
        <v>2023</v>
      </c>
      <c r="B1403" s="5" t="s">
        <v>73</v>
      </c>
      <c r="C1403" s="5" t="s">
        <v>729</v>
      </c>
      <c r="D1403" s="5" t="n">
        <v>7</v>
      </c>
      <c r="E1403" s="13" t="n">
        <v>1.09</v>
      </c>
      <c r="F1403" s="14" t="n">
        <f aca="false">E1403*Assumptions!$D$6</f>
        <v>163.09371350774</v>
      </c>
      <c r="G1403" s="14" t="n">
        <v>380</v>
      </c>
      <c r="H1403" s="14" t="n">
        <v>500</v>
      </c>
      <c r="I1403" s="14" t="n">
        <f aca="false">F1403-(G1403+H1403)/2</f>
        <v>-276.90628649226</v>
      </c>
      <c r="J1403" s="5" t="str">
        <f aca="false">IF(D1403&lt;8,"LOW SAMPLE",IF(F1403&gt;H1403*(1+Assumptions!$B$10),"UNDERPAID",IF(F1403&lt;G1403*(1-Assumptions!$B$10),"OVERPAID","FAIR")))</f>
        <v>LOW SAMPLE</v>
      </c>
      <c r="K1403" s="5" t="n">
        <v>26</v>
      </c>
    </row>
    <row r="1404" customFormat="false" ht="15" hidden="false" customHeight="false" outlineLevel="0" collapsed="false">
      <c r="A1404" s="5" t="n">
        <v>2023</v>
      </c>
      <c r="B1404" s="5" t="s">
        <v>73</v>
      </c>
      <c r="C1404" s="5" t="s">
        <v>80</v>
      </c>
      <c r="D1404" s="5" t="n">
        <v>4</v>
      </c>
      <c r="E1404" s="13" t="n">
        <v>0.57</v>
      </c>
      <c r="F1404" s="14" t="n">
        <f aca="false">E1404*Assumptions!$D$6</f>
        <v>85.287538256341</v>
      </c>
      <c r="G1404" s="14" t="n">
        <v>380</v>
      </c>
      <c r="H1404" s="14" t="n">
        <v>500</v>
      </c>
      <c r="I1404" s="14" t="n">
        <f aca="false">F1404-(G1404+H1404)/2</f>
        <v>-354.712461743659</v>
      </c>
      <c r="J1404" s="5" t="str">
        <f aca="false">IF(D1404&lt;8,"LOW SAMPLE",IF(F1404&gt;H1404*(1+Assumptions!$B$10),"UNDERPAID",IF(F1404&lt;G1404*(1-Assumptions!$B$10),"OVERPAID","FAIR")))</f>
        <v>LOW SAMPLE</v>
      </c>
      <c r="K1404" s="5" t="n">
        <v>137</v>
      </c>
    </row>
    <row r="1405" customFormat="false" ht="15" hidden="false" customHeight="false" outlineLevel="0" collapsed="false">
      <c r="A1405" s="5" t="n">
        <v>2023</v>
      </c>
      <c r="B1405" s="5" t="s">
        <v>73</v>
      </c>
      <c r="C1405" s="5" t="s">
        <v>730</v>
      </c>
      <c r="D1405" s="5" t="n">
        <v>26</v>
      </c>
      <c r="E1405" s="13" t="n">
        <v>3.98</v>
      </c>
      <c r="F1405" s="14" t="n">
        <f aca="false">E1405*Assumptions!$D$6</f>
        <v>595.516495193399</v>
      </c>
      <c r="G1405" s="14" t="n">
        <v>140</v>
      </c>
      <c r="H1405" s="14" t="n">
        <v>250</v>
      </c>
      <c r="I1405" s="14" t="n">
        <f aca="false">F1405-(G1405+H1405)/2</f>
        <v>400.516495193399</v>
      </c>
      <c r="J1405" s="5" t="str">
        <f aca="false">IF(D1405&lt;8,"LOW SAMPLE",IF(F1405&gt;H1405*(1+Assumptions!$B$10),"UNDERPAID",IF(F1405&lt;G1405*(1-Assumptions!$B$10),"OVERPAID","FAIR")))</f>
        <v>UNDERPAID</v>
      </c>
      <c r="K1405" s="5" t="n">
        <v>3</v>
      </c>
    </row>
    <row r="1406" customFormat="false" ht="15" hidden="false" customHeight="false" outlineLevel="0" collapsed="false">
      <c r="A1406" s="5" t="n">
        <v>2023</v>
      </c>
      <c r="B1406" s="5" t="s">
        <v>73</v>
      </c>
      <c r="C1406" s="5" t="s">
        <v>576</v>
      </c>
      <c r="D1406" s="5" t="n">
        <v>5</v>
      </c>
      <c r="E1406" s="13" t="n">
        <v>0.58</v>
      </c>
      <c r="F1406" s="14" t="n">
        <f aca="false">E1406*Assumptions!$D$6</f>
        <v>86.7838108573294</v>
      </c>
      <c r="G1406" s="14" t="n">
        <v>140</v>
      </c>
      <c r="H1406" s="14" t="n">
        <v>250</v>
      </c>
      <c r="I1406" s="14" t="n">
        <f aca="false">F1406-(G1406+H1406)/2</f>
        <v>-108.216189142671</v>
      </c>
      <c r="J1406" s="5" t="str">
        <f aca="false">IF(D1406&lt;8,"LOW SAMPLE",IF(F1406&gt;H1406*(1+Assumptions!$B$10),"UNDERPAID",IF(F1406&lt;G1406*(1-Assumptions!$B$10),"OVERPAID","FAIR")))</f>
        <v>LOW SAMPLE</v>
      </c>
      <c r="K1406" s="5" t="n">
        <v>13</v>
      </c>
    </row>
    <row r="1407" customFormat="false" ht="15" hidden="false" customHeight="false" outlineLevel="0" collapsed="false">
      <c r="A1407" s="5" t="n">
        <v>2023</v>
      </c>
      <c r="B1407" s="5" t="s">
        <v>73</v>
      </c>
      <c r="C1407" s="5" t="s">
        <v>81</v>
      </c>
      <c r="D1407" s="5" t="n">
        <v>20</v>
      </c>
      <c r="E1407" s="13" t="n">
        <v>3.91</v>
      </c>
      <c r="F1407" s="14" t="n">
        <f aca="false">E1407*Assumptions!$D$6</f>
        <v>585.04258698648</v>
      </c>
      <c r="G1407" s="14" t="n">
        <v>680</v>
      </c>
      <c r="H1407" s="14" t="n">
        <v>950</v>
      </c>
      <c r="I1407" s="14" t="n">
        <f aca="false">F1407-(G1407+H1407)/2</f>
        <v>-229.957413013521</v>
      </c>
      <c r="J1407" s="5" t="str">
        <f aca="false">IF(D1407&lt;8,"LOW SAMPLE",IF(F1407&gt;H1407*(1+Assumptions!$B$10),"UNDERPAID",IF(F1407&lt;G1407*(1-Assumptions!$B$10),"OVERPAID","FAIR")))</f>
        <v>FAIR</v>
      </c>
      <c r="K1407" s="5" t="n">
        <v>171</v>
      </c>
    </row>
    <row r="1408" customFormat="false" ht="15" hidden="false" customHeight="false" outlineLevel="0" collapsed="false">
      <c r="A1408" s="5" t="n">
        <v>2023</v>
      </c>
      <c r="B1408" s="5" t="s">
        <v>73</v>
      </c>
      <c r="C1408" s="5" t="s">
        <v>82</v>
      </c>
      <c r="D1408" s="5" t="n">
        <v>16</v>
      </c>
      <c r="E1408" s="13" t="n">
        <v>1.57</v>
      </c>
      <c r="F1408" s="14" t="n">
        <f aca="false">E1408*Assumptions!$D$6</f>
        <v>234.914798355185</v>
      </c>
      <c r="G1408" s="14" t="n">
        <v>140</v>
      </c>
      <c r="H1408" s="14" t="n">
        <v>250</v>
      </c>
      <c r="I1408" s="14" t="n">
        <f aca="false">F1408-(G1408+H1408)/2</f>
        <v>39.9147983551849</v>
      </c>
      <c r="J1408" s="5" t="str">
        <f aca="false">IF(D1408&lt;8,"LOW SAMPLE",IF(F1408&gt;H1408*(1+Assumptions!$B$10),"UNDERPAID",IF(F1408&lt;G1408*(1-Assumptions!$B$10),"OVERPAID","FAIR")))</f>
        <v>FAIR</v>
      </c>
      <c r="K1408" s="5" t="n">
        <v>25</v>
      </c>
    </row>
    <row r="1409" customFormat="false" ht="15" hidden="false" customHeight="false" outlineLevel="0" collapsed="false">
      <c r="A1409" s="5" t="n">
        <v>2023</v>
      </c>
      <c r="B1409" s="5" t="s">
        <v>73</v>
      </c>
      <c r="C1409" s="5" t="s">
        <v>83</v>
      </c>
      <c r="D1409" s="5" t="n">
        <v>26</v>
      </c>
      <c r="E1409" s="13" t="n">
        <v>5.25</v>
      </c>
      <c r="F1409" s="14" t="n">
        <f aca="false">E1409*Assumptions!$D$6</f>
        <v>785.54311551893</v>
      </c>
      <c r="G1409" s="14" t="n">
        <v>500</v>
      </c>
      <c r="H1409" s="14" t="n">
        <v>680</v>
      </c>
      <c r="I1409" s="14" t="n">
        <f aca="false">F1409-(G1409+H1409)/2</f>
        <v>195.54311551893</v>
      </c>
      <c r="J1409" s="5" t="str">
        <f aca="false">IF(D1409&lt;8,"LOW SAMPLE",IF(F1409&gt;H1409*(1+Assumptions!$B$10),"UNDERPAID",IF(F1409&lt;G1409*(1-Assumptions!$B$10),"OVERPAID","FAIR")))</f>
        <v>UNDERPAID</v>
      </c>
      <c r="K1409" s="5" t="n">
        <v>127</v>
      </c>
    </row>
    <row r="1410" customFormat="false" ht="15" hidden="false" customHeight="false" outlineLevel="0" collapsed="false">
      <c r="A1410" s="5" t="n">
        <v>2023</v>
      </c>
      <c r="B1410" s="5" t="s">
        <v>73</v>
      </c>
      <c r="C1410" s="5" t="s">
        <v>85</v>
      </c>
      <c r="D1410" s="5" t="n">
        <v>26</v>
      </c>
      <c r="E1410" s="13" t="n">
        <v>6.04</v>
      </c>
      <c r="F1410" s="14" t="n">
        <f aca="false">E1410*Assumptions!$D$6</f>
        <v>903.748650997017</v>
      </c>
      <c r="G1410" s="14" t="n">
        <v>680</v>
      </c>
      <c r="H1410" s="14" t="n">
        <v>950</v>
      </c>
      <c r="I1410" s="14" t="n">
        <f aca="false">F1410-(G1410+H1410)/2</f>
        <v>88.748650997017</v>
      </c>
      <c r="J1410" s="5" t="str">
        <f aca="false">IF(D1410&lt;8,"LOW SAMPLE",IF(F1410&gt;H1410*(1+Assumptions!$B$10),"UNDERPAID",IF(F1410&lt;G1410*(1-Assumptions!$B$10),"OVERPAID","FAIR")))</f>
        <v>FAIR</v>
      </c>
      <c r="K1410" s="5" t="n">
        <v>160</v>
      </c>
    </row>
    <row r="1411" customFormat="false" ht="15" hidden="false" customHeight="false" outlineLevel="0" collapsed="false">
      <c r="A1411" s="5" t="n">
        <v>2023</v>
      </c>
      <c r="B1411" s="5" t="s">
        <v>73</v>
      </c>
      <c r="C1411" s="5" t="s">
        <v>86</v>
      </c>
      <c r="D1411" s="5" t="n">
        <v>3</v>
      </c>
      <c r="E1411" s="13" t="n">
        <v>0.36</v>
      </c>
      <c r="F1411" s="14" t="n">
        <f aca="false">E1411*Assumptions!$D$6</f>
        <v>53.8658136355838</v>
      </c>
      <c r="G1411" s="14" t="n">
        <v>140</v>
      </c>
      <c r="H1411" s="14" t="n">
        <v>250</v>
      </c>
      <c r="I1411" s="14" t="n">
        <f aca="false">F1411-(G1411+H1411)/2</f>
        <v>-141.134186364416</v>
      </c>
      <c r="J1411" s="5" t="str">
        <f aca="false">IF(D1411&lt;8,"LOW SAMPLE",IF(F1411&gt;H1411*(1+Assumptions!$B$10),"UNDERPAID",IF(F1411&lt;G1411*(1-Assumptions!$B$10),"OVERPAID","FAIR")))</f>
        <v>LOW SAMPLE</v>
      </c>
      <c r="K1411" s="5" t="n">
        <v>7</v>
      </c>
    </row>
    <row r="1412" customFormat="false" ht="15" hidden="false" customHeight="false" outlineLevel="0" collapsed="false">
      <c r="A1412" s="5" t="n">
        <v>2023</v>
      </c>
      <c r="B1412" s="5" t="s">
        <v>73</v>
      </c>
      <c r="C1412" s="5" t="s">
        <v>87</v>
      </c>
      <c r="D1412" s="5" t="n">
        <v>25</v>
      </c>
      <c r="E1412" s="13" t="n">
        <v>5.93</v>
      </c>
      <c r="F1412" s="14" t="n">
        <f aca="false">E1412*Assumptions!$D$6</f>
        <v>887.289652386144</v>
      </c>
      <c r="G1412" s="14" t="n">
        <v>950</v>
      </c>
      <c r="H1412" s="14" t="n">
        <v>1300</v>
      </c>
      <c r="I1412" s="14" t="n">
        <f aca="false">F1412-(G1412+H1412)/2</f>
        <v>-237.710347613856</v>
      </c>
      <c r="J1412" s="5" t="str">
        <f aca="false">IF(D1412&lt;8,"LOW SAMPLE",IF(F1412&gt;H1412*(1+Assumptions!$B$10),"UNDERPAID",IF(F1412&lt;G1412*(1-Assumptions!$B$10),"OVERPAID","FAIR")))</f>
        <v>FAIR</v>
      </c>
      <c r="K1412" s="5" t="n">
        <v>130</v>
      </c>
    </row>
    <row r="1413" customFormat="false" ht="15" hidden="false" customHeight="false" outlineLevel="0" collapsed="false">
      <c r="A1413" s="5" t="n">
        <v>2023</v>
      </c>
      <c r="B1413" s="5" t="s">
        <v>73</v>
      </c>
      <c r="C1413" s="5" t="s">
        <v>392</v>
      </c>
      <c r="D1413" s="5" t="n">
        <v>17</v>
      </c>
      <c r="E1413" s="13" t="n">
        <v>2.62</v>
      </c>
      <c r="F1413" s="14" t="n">
        <f aca="false">E1413*Assumptions!$D$6</f>
        <v>392.023421458971</v>
      </c>
      <c r="G1413" s="14" t="n">
        <v>380</v>
      </c>
      <c r="H1413" s="14" t="n">
        <v>500</v>
      </c>
      <c r="I1413" s="14" t="n">
        <f aca="false">F1413-(G1413+H1413)/2</f>
        <v>-47.9765785410291</v>
      </c>
      <c r="J1413" s="5" t="str">
        <f aca="false">IF(D1413&lt;8,"LOW SAMPLE",IF(F1413&gt;H1413*(1+Assumptions!$B$10),"UNDERPAID",IF(F1413&lt;G1413*(1-Assumptions!$B$10),"OVERPAID","FAIR")))</f>
        <v>FAIR</v>
      </c>
      <c r="K1413" s="5" t="n">
        <v>146</v>
      </c>
    </row>
    <row r="1414" customFormat="false" ht="15" hidden="false" customHeight="false" outlineLevel="0" collapsed="false">
      <c r="A1414" s="5" t="n">
        <v>2023</v>
      </c>
      <c r="B1414" s="5" t="s">
        <v>73</v>
      </c>
      <c r="C1414" s="5" t="s">
        <v>88</v>
      </c>
      <c r="D1414" s="5" t="n">
        <v>23</v>
      </c>
      <c r="E1414" s="13" t="n">
        <v>3.69</v>
      </c>
      <c r="F1414" s="14" t="n">
        <f aca="false">E1414*Assumptions!$D$6</f>
        <v>552.124589764734</v>
      </c>
      <c r="G1414" s="14" t="n">
        <v>250</v>
      </c>
      <c r="H1414" s="14" t="n">
        <v>380</v>
      </c>
      <c r="I1414" s="14" t="n">
        <f aca="false">F1414-(G1414+H1414)/2</f>
        <v>237.124589764734</v>
      </c>
      <c r="J1414" s="5" t="str">
        <f aca="false">IF(D1414&lt;8,"LOW SAMPLE",IF(F1414&gt;H1414*(1+Assumptions!$B$10),"UNDERPAID",IF(F1414&lt;G1414*(1-Assumptions!$B$10),"OVERPAID","FAIR")))</f>
        <v>UNDERPAID</v>
      </c>
      <c r="K1414" s="5" t="n">
        <v>27</v>
      </c>
    </row>
    <row r="1415" customFormat="false" ht="15" hidden="false" customHeight="false" outlineLevel="0" collapsed="false">
      <c r="A1415" s="5" t="n">
        <v>2023</v>
      </c>
      <c r="B1415" s="5" t="s">
        <v>73</v>
      </c>
      <c r="C1415" s="5" t="s">
        <v>89</v>
      </c>
      <c r="D1415" s="5" t="n">
        <v>2</v>
      </c>
      <c r="E1415" s="13" t="n">
        <v>0.13</v>
      </c>
      <c r="F1415" s="14" t="n">
        <f aca="false">E1415*Assumptions!$D$6</f>
        <v>19.4515438128497</v>
      </c>
      <c r="G1415" s="14" t="n">
        <v>140</v>
      </c>
      <c r="H1415" s="14" t="n">
        <v>250</v>
      </c>
      <c r="I1415" s="14" t="n">
        <f aca="false">F1415-(G1415+H1415)/2</f>
        <v>-175.54845618715</v>
      </c>
      <c r="J1415" s="5" t="str">
        <f aca="false">IF(D1415&lt;8,"LOW SAMPLE",IF(F1415&gt;H1415*(1+Assumptions!$B$10),"UNDERPAID",IF(F1415&lt;G1415*(1-Assumptions!$B$10),"OVERPAID","FAIR")))</f>
        <v>LOW SAMPLE</v>
      </c>
      <c r="K1415" s="5" t="n">
        <v>11</v>
      </c>
    </row>
    <row r="1416" customFormat="false" ht="15" hidden="false" customHeight="false" outlineLevel="0" collapsed="false">
      <c r="A1416" s="5" t="n">
        <v>2023</v>
      </c>
      <c r="B1416" s="5" t="s">
        <v>73</v>
      </c>
      <c r="C1416" s="5" t="s">
        <v>731</v>
      </c>
      <c r="D1416" s="5" t="n">
        <v>2</v>
      </c>
      <c r="E1416" s="13" t="n">
        <v>0.07</v>
      </c>
      <c r="F1416" s="14" t="n">
        <f aca="false">E1416*Assumptions!$D$6</f>
        <v>10.4739082069191</v>
      </c>
      <c r="G1416" s="14" t="n">
        <v>140</v>
      </c>
      <c r="H1416" s="14" t="n">
        <v>250</v>
      </c>
      <c r="I1416" s="14" t="n">
        <f aca="false">F1416-(G1416+H1416)/2</f>
        <v>-184.526091793081</v>
      </c>
      <c r="J1416" s="5" t="str">
        <f aca="false">IF(D1416&lt;8,"LOW SAMPLE",IF(F1416&gt;H1416*(1+Assumptions!$B$10),"UNDERPAID",IF(F1416&lt;G1416*(1-Assumptions!$B$10),"OVERPAID","FAIR")))</f>
        <v>LOW SAMPLE</v>
      </c>
      <c r="K1416" s="5" t="n">
        <v>3</v>
      </c>
    </row>
    <row r="1417" customFormat="false" ht="15" hidden="false" customHeight="false" outlineLevel="0" collapsed="false">
      <c r="A1417" s="5" t="n">
        <v>2023</v>
      </c>
      <c r="B1417" s="5" t="s">
        <v>73</v>
      </c>
      <c r="C1417" s="5" t="s">
        <v>90</v>
      </c>
      <c r="D1417" s="5" t="n">
        <v>25</v>
      </c>
      <c r="E1417" s="13" t="n">
        <v>4.59</v>
      </c>
      <c r="F1417" s="14" t="n">
        <f aca="false">E1417*Assumptions!$D$6</f>
        <v>686.789123853693</v>
      </c>
      <c r="G1417" s="14" t="n">
        <v>500</v>
      </c>
      <c r="H1417" s="14" t="n">
        <v>680</v>
      </c>
      <c r="I1417" s="14" t="n">
        <f aca="false">F1417-(G1417+H1417)/2</f>
        <v>96.7891238536934</v>
      </c>
      <c r="J1417" s="5" t="str">
        <f aca="false">IF(D1417&lt;8,"LOW SAMPLE",IF(F1417&gt;H1417*(1+Assumptions!$B$10),"UNDERPAID",IF(F1417&lt;G1417*(1-Assumptions!$B$10),"OVERPAID","FAIR")))</f>
        <v>FAIR</v>
      </c>
      <c r="K1417" s="5" t="n">
        <v>108</v>
      </c>
    </row>
    <row r="1418" customFormat="false" ht="15" hidden="false" customHeight="false" outlineLevel="0" collapsed="false">
      <c r="A1418" s="5" t="n">
        <v>2023</v>
      </c>
      <c r="B1418" s="5" t="s">
        <v>73</v>
      </c>
      <c r="C1418" s="5" t="s">
        <v>91</v>
      </c>
      <c r="D1418" s="5" t="n">
        <v>10</v>
      </c>
      <c r="E1418" s="13" t="n">
        <v>0.99</v>
      </c>
      <c r="F1418" s="14" t="n">
        <f aca="false">E1418*Assumptions!$D$6</f>
        <v>148.130987497855</v>
      </c>
      <c r="G1418" s="14" t="n">
        <v>950</v>
      </c>
      <c r="H1418" s="14" t="n">
        <v>1300</v>
      </c>
      <c r="I1418" s="14" t="n">
        <f aca="false">F1418-(G1418+H1418)/2</f>
        <v>-976.869012502145</v>
      </c>
      <c r="J1418" s="5" t="str">
        <f aca="false">IF(D1418&lt;8,"LOW SAMPLE",IF(F1418&gt;H1418*(1+Assumptions!$B$10),"UNDERPAID",IF(F1418&lt;G1418*(1-Assumptions!$B$10),"OVERPAID","FAIR")))</f>
        <v>OVERPAID</v>
      </c>
      <c r="K1418" s="5" t="n">
        <v>159</v>
      </c>
    </row>
    <row r="1419" customFormat="false" ht="15" hidden="false" customHeight="false" outlineLevel="0" collapsed="false">
      <c r="A1419" s="5" t="n">
        <v>2023</v>
      </c>
      <c r="B1419" s="5" t="s">
        <v>73</v>
      </c>
      <c r="C1419" s="5" t="s">
        <v>833</v>
      </c>
      <c r="D1419" s="5" t="n">
        <v>14</v>
      </c>
      <c r="E1419" s="13" t="n">
        <v>1.62</v>
      </c>
      <c r="F1419" s="14" t="n">
        <f aca="false">E1419*Assumptions!$D$6</f>
        <v>242.396161360127</v>
      </c>
      <c r="G1419" s="14" t="n">
        <v>250</v>
      </c>
      <c r="H1419" s="14" t="n">
        <v>380</v>
      </c>
      <c r="I1419" s="14" t="n">
        <f aca="false">F1419-(G1419+H1419)/2</f>
        <v>-72.6038386398729</v>
      </c>
      <c r="J1419" s="5" t="str">
        <f aca="false">IF(D1419&lt;8,"LOW SAMPLE",IF(F1419&gt;H1419*(1+Assumptions!$B$10),"UNDERPAID",IF(F1419&lt;G1419*(1-Assumptions!$B$10),"OVERPAID","FAIR")))</f>
        <v>FAIR</v>
      </c>
      <c r="K1419" s="5" t="n">
        <v>0</v>
      </c>
    </row>
    <row r="1420" customFormat="false" ht="15" hidden="false" customHeight="false" outlineLevel="0" collapsed="false">
      <c r="A1420" s="5" t="n">
        <v>2023</v>
      </c>
      <c r="B1420" s="5" t="s">
        <v>73</v>
      </c>
      <c r="C1420" s="5" t="s">
        <v>92</v>
      </c>
      <c r="D1420" s="5" t="n">
        <v>5</v>
      </c>
      <c r="E1420" s="13" t="n">
        <v>0.45</v>
      </c>
      <c r="F1420" s="14" t="n">
        <f aca="false">E1420*Assumptions!$D$6</f>
        <v>67.3322670444797</v>
      </c>
      <c r="G1420" s="14" t="n">
        <v>250</v>
      </c>
      <c r="H1420" s="14" t="n">
        <v>380</v>
      </c>
      <c r="I1420" s="14" t="n">
        <f aca="false">F1420-(G1420+H1420)/2</f>
        <v>-247.66773295552</v>
      </c>
      <c r="J1420" s="5" t="str">
        <f aca="false">IF(D1420&lt;8,"LOW SAMPLE",IF(F1420&gt;H1420*(1+Assumptions!$B$10),"UNDERPAID",IF(F1420&lt;G1420*(1-Assumptions!$B$10),"OVERPAID","FAIR")))</f>
        <v>LOW SAMPLE</v>
      </c>
      <c r="K1420" s="5" t="n">
        <v>30</v>
      </c>
    </row>
    <row r="1421" customFormat="false" ht="15" hidden="false" customHeight="false" outlineLevel="0" collapsed="false">
      <c r="A1421" s="5" t="n">
        <v>2023</v>
      </c>
      <c r="B1421" s="5" t="s">
        <v>73</v>
      </c>
      <c r="C1421" s="5" t="s">
        <v>93</v>
      </c>
      <c r="D1421" s="5" t="n">
        <v>26</v>
      </c>
      <c r="E1421" s="13" t="n">
        <v>6.95</v>
      </c>
      <c r="F1421" s="14" t="n">
        <f aca="false">E1421*Assumptions!$D$6</f>
        <v>1039.90945768697</v>
      </c>
      <c r="G1421" s="14" t="n">
        <v>500</v>
      </c>
      <c r="H1421" s="14" t="n">
        <v>680</v>
      </c>
      <c r="I1421" s="14" t="n">
        <f aca="false">F1421-(G1421+H1421)/2</f>
        <v>449.909457686965</v>
      </c>
      <c r="J1421" s="5" t="str">
        <f aca="false">IF(D1421&lt;8,"LOW SAMPLE",IF(F1421&gt;H1421*(1+Assumptions!$B$10),"UNDERPAID",IF(F1421&lt;G1421*(1-Assumptions!$B$10),"OVERPAID","FAIR")))</f>
        <v>UNDERPAID</v>
      </c>
      <c r="K1421" s="5" t="n">
        <v>125</v>
      </c>
    </row>
    <row r="1422" customFormat="false" ht="15" hidden="false" customHeight="false" outlineLevel="0" collapsed="false">
      <c r="A1422" s="5" t="n">
        <v>2023</v>
      </c>
      <c r="B1422" s="5" t="s">
        <v>73</v>
      </c>
      <c r="C1422" s="5" t="s">
        <v>700</v>
      </c>
      <c r="D1422" s="5" t="n">
        <v>24</v>
      </c>
      <c r="E1422" s="13" t="n">
        <v>5.74</v>
      </c>
      <c r="F1422" s="14" t="n">
        <f aca="false">E1422*Assumptions!$D$6</f>
        <v>858.860472967364</v>
      </c>
      <c r="G1422" s="14" t="n">
        <v>680</v>
      </c>
      <c r="H1422" s="14" t="n">
        <v>950</v>
      </c>
      <c r="I1422" s="14" t="n">
        <f aca="false">F1422-(G1422+H1422)/2</f>
        <v>43.8604729673638</v>
      </c>
      <c r="J1422" s="5" t="str">
        <f aca="false">IF(D1422&lt;8,"LOW SAMPLE",IF(F1422&gt;H1422*(1+Assumptions!$B$10),"UNDERPAID",IF(F1422&lt;G1422*(1-Assumptions!$B$10),"OVERPAID","FAIR")))</f>
        <v>FAIR</v>
      </c>
      <c r="K1422" s="5" t="n">
        <v>116</v>
      </c>
    </row>
    <row r="1423" customFormat="false" ht="15" hidden="false" customHeight="false" outlineLevel="0" collapsed="false">
      <c r="A1423" s="5" t="n">
        <v>2023</v>
      </c>
      <c r="B1423" s="5" t="s">
        <v>73</v>
      </c>
      <c r="C1423" s="5" t="s">
        <v>732</v>
      </c>
      <c r="D1423" s="5" t="n">
        <v>6</v>
      </c>
      <c r="E1423" s="13" t="n">
        <v>0.43</v>
      </c>
      <c r="F1423" s="14" t="n">
        <f aca="false">E1423*Assumptions!$D$6</f>
        <v>64.3397218425029</v>
      </c>
      <c r="G1423" s="14" t="n">
        <v>140</v>
      </c>
      <c r="H1423" s="14" t="n">
        <v>250</v>
      </c>
      <c r="I1423" s="14" t="n">
        <f aca="false">F1423-(G1423+H1423)/2</f>
        <v>-130.660278157497</v>
      </c>
      <c r="J1423" s="5" t="str">
        <f aca="false">IF(D1423&lt;8,"LOW SAMPLE",IF(F1423&gt;H1423*(1+Assumptions!$B$10),"UNDERPAID",IF(F1423&lt;G1423*(1-Assumptions!$B$10),"OVERPAID","FAIR")))</f>
        <v>LOW SAMPLE</v>
      </c>
      <c r="K1423" s="5" t="n">
        <v>2</v>
      </c>
    </row>
    <row r="1424" customFormat="false" ht="15" hidden="false" customHeight="false" outlineLevel="0" collapsed="false">
      <c r="A1424" s="5" t="n">
        <v>2023</v>
      </c>
      <c r="B1424" s="5" t="s">
        <v>73</v>
      </c>
      <c r="C1424" s="5" t="s">
        <v>94</v>
      </c>
      <c r="D1424" s="5" t="n">
        <v>23</v>
      </c>
      <c r="E1424" s="13" t="n">
        <v>4.15</v>
      </c>
      <c r="F1424" s="14" t="n">
        <f aca="false">E1424*Assumptions!$D$6</f>
        <v>620.953129410202</v>
      </c>
      <c r="G1424" s="14" t="n">
        <v>380</v>
      </c>
      <c r="H1424" s="14" t="n">
        <v>500</v>
      </c>
      <c r="I1424" s="14" t="n">
        <f aca="false">F1424-(G1424+H1424)/2</f>
        <v>180.953129410202</v>
      </c>
      <c r="J1424" s="5" t="str">
        <f aca="false">IF(D1424&lt;8,"LOW SAMPLE",IF(F1424&gt;H1424*(1+Assumptions!$B$10),"UNDERPAID",IF(F1424&lt;G1424*(1-Assumptions!$B$10),"OVERPAID","FAIR")))</f>
        <v>UNDERPAID</v>
      </c>
      <c r="K1424" s="5" t="n">
        <v>41</v>
      </c>
    </row>
    <row r="1425" customFormat="false" ht="15" hidden="false" customHeight="false" outlineLevel="0" collapsed="false">
      <c r="A1425" s="5" t="n">
        <v>2023</v>
      </c>
      <c r="B1425" s="5" t="s">
        <v>73</v>
      </c>
      <c r="C1425" s="5" t="s">
        <v>95</v>
      </c>
      <c r="D1425" s="5" t="n">
        <v>26</v>
      </c>
      <c r="E1425" s="13" t="n">
        <v>6.31</v>
      </c>
      <c r="F1425" s="14" t="n">
        <f aca="false">E1425*Assumptions!$D$6</f>
        <v>944.148011223705</v>
      </c>
      <c r="G1425" s="14" t="n">
        <v>950</v>
      </c>
      <c r="H1425" s="14" t="n">
        <v>1300</v>
      </c>
      <c r="I1425" s="14" t="n">
        <f aca="false">F1425-(G1425+H1425)/2</f>
        <v>-180.851988776295</v>
      </c>
      <c r="J1425" s="5" t="str">
        <f aca="false">IF(D1425&lt;8,"LOW SAMPLE",IF(F1425&gt;H1425*(1+Assumptions!$B$10),"UNDERPAID",IF(F1425&lt;G1425*(1-Assumptions!$B$10),"OVERPAID","FAIR")))</f>
        <v>FAIR</v>
      </c>
      <c r="K1425" s="5" t="n">
        <v>174</v>
      </c>
    </row>
    <row r="1426" customFormat="false" ht="15" hidden="false" customHeight="false" outlineLevel="0" collapsed="false">
      <c r="A1426" s="5" t="n">
        <v>2023</v>
      </c>
      <c r="B1426" s="5" t="s">
        <v>73</v>
      </c>
      <c r="C1426" s="5" t="s">
        <v>96</v>
      </c>
      <c r="D1426" s="5" t="n">
        <v>24</v>
      </c>
      <c r="E1426" s="13" t="n">
        <v>4.21</v>
      </c>
      <c r="F1426" s="14" t="n">
        <f aca="false">E1426*Assumptions!$D$6</f>
        <v>629.930765016133</v>
      </c>
      <c r="G1426" s="14" t="n">
        <v>680</v>
      </c>
      <c r="H1426" s="14" t="n">
        <v>950</v>
      </c>
      <c r="I1426" s="14" t="n">
        <f aca="false">F1426-(G1426+H1426)/2</f>
        <v>-185.069234983867</v>
      </c>
      <c r="J1426" s="5" t="str">
        <f aca="false">IF(D1426&lt;8,"LOW SAMPLE",IF(F1426&gt;H1426*(1+Assumptions!$B$10),"UNDERPAID",IF(F1426&lt;G1426*(1-Assumptions!$B$10),"OVERPAID","FAIR")))</f>
        <v>FAIR</v>
      </c>
      <c r="K1426" s="5" t="n">
        <v>114</v>
      </c>
    </row>
    <row r="1427" customFormat="false" ht="15" hidden="false" customHeight="false" outlineLevel="0" collapsed="false">
      <c r="A1427" s="5" t="n">
        <v>2023</v>
      </c>
      <c r="B1427" s="5" t="s">
        <v>73</v>
      </c>
      <c r="C1427" s="5" t="s">
        <v>733</v>
      </c>
      <c r="D1427" s="5" t="n">
        <v>4</v>
      </c>
      <c r="E1427" s="13" t="n">
        <v>0.28</v>
      </c>
      <c r="F1427" s="14" t="n">
        <f aca="false">E1427*Assumptions!$D$6</f>
        <v>41.8956328276763</v>
      </c>
      <c r="G1427" s="14" t="n">
        <v>380</v>
      </c>
      <c r="H1427" s="14" t="n">
        <v>500</v>
      </c>
      <c r="I1427" s="14" t="n">
        <f aca="false">F1427-(G1427+H1427)/2</f>
        <v>-398.104367172324</v>
      </c>
      <c r="J1427" s="5" t="str">
        <f aca="false">IF(D1427&lt;8,"LOW SAMPLE",IF(F1427&gt;H1427*(1+Assumptions!$B$10),"UNDERPAID",IF(F1427&lt;G1427*(1-Assumptions!$B$10),"OVERPAID","FAIR")))</f>
        <v>LOW SAMPLE</v>
      </c>
      <c r="K1427" s="5" t="n">
        <v>51</v>
      </c>
    </row>
    <row r="1428" customFormat="false" ht="15" hidden="false" customHeight="false" outlineLevel="0" collapsed="false">
      <c r="A1428" s="5" t="n">
        <v>2023</v>
      </c>
      <c r="B1428" s="5" t="s">
        <v>73</v>
      </c>
      <c r="C1428" s="5" t="s">
        <v>100</v>
      </c>
      <c r="D1428" s="5" t="n">
        <v>25</v>
      </c>
      <c r="E1428" s="13" t="n">
        <v>6.54</v>
      </c>
      <c r="F1428" s="14" t="n">
        <f aca="false">E1428*Assumptions!$D$6</f>
        <v>978.562281046439</v>
      </c>
      <c r="G1428" s="14" t="n">
        <v>680</v>
      </c>
      <c r="H1428" s="14" t="n">
        <v>950</v>
      </c>
      <c r="I1428" s="14" t="n">
        <f aca="false">F1428-(G1428+H1428)/2</f>
        <v>163.562281046439</v>
      </c>
      <c r="J1428" s="5" t="str">
        <f aca="false">IF(D1428&lt;8,"LOW SAMPLE",IF(F1428&gt;H1428*(1+Assumptions!$B$10),"UNDERPAID",IF(F1428&lt;G1428*(1-Assumptions!$B$10),"OVERPAID","FAIR")))</f>
        <v>FAIR</v>
      </c>
      <c r="K1428" s="5" t="n">
        <v>101</v>
      </c>
    </row>
    <row r="1429" customFormat="false" ht="15" hidden="false" customHeight="false" outlineLevel="0" collapsed="false">
      <c r="A1429" s="5" t="n">
        <v>2023</v>
      </c>
      <c r="B1429" s="5" t="s">
        <v>73</v>
      </c>
      <c r="C1429" s="5" t="s">
        <v>102</v>
      </c>
      <c r="D1429" s="5" t="n">
        <v>19</v>
      </c>
      <c r="E1429" s="13" t="n">
        <v>2.63</v>
      </c>
      <c r="F1429" s="14" t="n">
        <f aca="false">E1429*Assumptions!$D$6</f>
        <v>393.519694059959</v>
      </c>
      <c r="G1429" s="14" t="n">
        <v>380</v>
      </c>
      <c r="H1429" s="14" t="n">
        <v>500</v>
      </c>
      <c r="I1429" s="14" t="n">
        <f aca="false">F1429-(G1429+H1429)/2</f>
        <v>-46.4803059400406</v>
      </c>
      <c r="J1429" s="5" t="str">
        <f aca="false">IF(D1429&lt;8,"LOW SAMPLE",IF(F1429&gt;H1429*(1+Assumptions!$B$10),"UNDERPAID",IF(F1429&lt;G1429*(1-Assumptions!$B$10),"OVERPAID","FAIR")))</f>
        <v>FAIR</v>
      </c>
      <c r="K1429" s="5" t="n">
        <v>109</v>
      </c>
    </row>
    <row r="1430" customFormat="false" ht="15" hidden="false" customHeight="false" outlineLevel="0" collapsed="false">
      <c r="A1430" s="5" t="n">
        <v>2023</v>
      </c>
      <c r="B1430" s="5" t="s">
        <v>73</v>
      </c>
      <c r="C1430" s="5" t="s">
        <v>834</v>
      </c>
      <c r="D1430" s="5" t="n">
        <v>18</v>
      </c>
      <c r="E1430" s="13" t="n">
        <v>3.41</v>
      </c>
      <c r="F1430" s="14" t="n">
        <f aca="false">E1430*Assumptions!$D$6</f>
        <v>510.228956937058</v>
      </c>
      <c r="G1430" s="14" t="n">
        <v>250</v>
      </c>
      <c r="H1430" s="14" t="n">
        <v>380</v>
      </c>
      <c r="I1430" s="14" t="n">
        <f aca="false">F1430-(G1430+H1430)/2</f>
        <v>195.228956937058</v>
      </c>
      <c r="J1430" s="5" t="str">
        <f aca="false">IF(D1430&lt;8,"LOW SAMPLE",IF(F1430&gt;H1430*(1+Assumptions!$B$10),"UNDERPAID",IF(F1430&lt;G1430*(1-Assumptions!$B$10),"OVERPAID","FAIR")))</f>
        <v>UNDERPAID</v>
      </c>
      <c r="K1430" s="5" t="n">
        <v>0</v>
      </c>
    </row>
    <row r="1431" customFormat="false" ht="15" hidden="false" customHeight="false" outlineLevel="0" collapsed="false">
      <c r="A1431" s="5" t="n">
        <v>2023</v>
      </c>
      <c r="B1431" s="5" t="s">
        <v>73</v>
      </c>
      <c r="C1431" s="5" t="s">
        <v>105</v>
      </c>
      <c r="D1431" s="5" t="n">
        <v>24</v>
      </c>
      <c r="E1431" s="13" t="n">
        <v>5.14</v>
      </c>
      <c r="F1431" s="14" t="n">
        <f aca="false">E1431*Assumptions!$D$6</f>
        <v>769.084116908057</v>
      </c>
      <c r="G1431" s="14" t="n">
        <v>680</v>
      </c>
      <c r="H1431" s="14" t="n">
        <v>950</v>
      </c>
      <c r="I1431" s="14" t="n">
        <f aca="false">F1431-(G1431+H1431)/2</f>
        <v>-45.9158830919426</v>
      </c>
      <c r="J1431" s="5" t="str">
        <f aca="false">IF(D1431&lt;8,"LOW SAMPLE",IF(F1431&gt;H1431*(1+Assumptions!$B$10),"UNDERPAID",IF(F1431&lt;G1431*(1-Assumptions!$B$10),"OVERPAID","FAIR")))</f>
        <v>FAIR</v>
      </c>
      <c r="K1431" s="5" t="n">
        <v>94</v>
      </c>
    </row>
    <row r="1432" customFormat="false" ht="15" hidden="false" customHeight="false" outlineLevel="0" collapsed="false">
      <c r="A1432" s="5" t="n">
        <v>2023</v>
      </c>
      <c r="B1432" s="5" t="s">
        <v>106</v>
      </c>
      <c r="C1432" s="5" t="s">
        <v>225</v>
      </c>
      <c r="D1432" s="5" t="n">
        <v>22</v>
      </c>
      <c r="E1432" s="13" t="n">
        <v>5.18</v>
      </c>
      <c r="F1432" s="14" t="n">
        <f aca="false">E1432*Assumptions!$D$6</f>
        <v>775.069207312011</v>
      </c>
      <c r="G1432" s="14" t="n">
        <v>500</v>
      </c>
      <c r="H1432" s="14" t="n">
        <v>680</v>
      </c>
      <c r="I1432" s="14" t="n">
        <f aca="false">F1432-(G1432+H1432)/2</f>
        <v>185.069207312011</v>
      </c>
      <c r="J1432" s="5" t="str">
        <f aca="false">IF(D1432&lt;8,"LOW SAMPLE",IF(F1432&gt;H1432*(1+Assumptions!$B$10),"UNDERPAID",IF(F1432&lt;G1432*(1-Assumptions!$B$10),"OVERPAID","FAIR")))</f>
        <v>FAIR</v>
      </c>
      <c r="K1432" s="5" t="n">
        <v>94</v>
      </c>
    </row>
    <row r="1433" customFormat="false" ht="15" hidden="false" customHeight="false" outlineLevel="0" collapsed="false">
      <c r="A1433" s="5" t="n">
        <v>2023</v>
      </c>
      <c r="B1433" s="5" t="s">
        <v>106</v>
      </c>
      <c r="C1433" s="5" t="s">
        <v>107</v>
      </c>
      <c r="D1433" s="5" t="n">
        <v>25</v>
      </c>
      <c r="E1433" s="13" t="n">
        <v>4.67</v>
      </c>
      <c r="F1433" s="14" t="n">
        <f aca="false">E1433*Assumptions!$D$6</f>
        <v>698.759304661601</v>
      </c>
      <c r="G1433" s="14" t="n">
        <v>500</v>
      </c>
      <c r="H1433" s="14" t="n">
        <v>680</v>
      </c>
      <c r="I1433" s="14" t="n">
        <f aca="false">F1433-(G1433+H1433)/2</f>
        <v>108.759304661601</v>
      </c>
      <c r="J1433" s="5" t="str">
        <f aca="false">IF(D1433&lt;8,"LOW SAMPLE",IF(F1433&gt;H1433*(1+Assumptions!$B$10),"UNDERPAID",IF(F1433&lt;G1433*(1-Assumptions!$B$10),"OVERPAID","FAIR")))</f>
        <v>FAIR</v>
      </c>
      <c r="K1433" s="5" t="n">
        <v>152</v>
      </c>
    </row>
    <row r="1434" customFormat="false" ht="15" hidden="false" customHeight="false" outlineLevel="0" collapsed="false">
      <c r="A1434" s="5" t="n">
        <v>2023</v>
      </c>
      <c r="B1434" s="5" t="s">
        <v>106</v>
      </c>
      <c r="C1434" s="5" t="s">
        <v>835</v>
      </c>
      <c r="D1434" s="5" t="n">
        <v>19</v>
      </c>
      <c r="E1434" s="13" t="n">
        <v>2.19</v>
      </c>
      <c r="F1434" s="14" t="n">
        <f aca="false">E1434*Assumptions!$D$6</f>
        <v>327.683699616468</v>
      </c>
      <c r="G1434" s="14" t="n">
        <v>250</v>
      </c>
      <c r="H1434" s="14" t="n">
        <v>380</v>
      </c>
      <c r="I1434" s="14" t="n">
        <f aca="false">F1434-(G1434+H1434)/2</f>
        <v>12.6836996164681</v>
      </c>
      <c r="J1434" s="5" t="str">
        <f aca="false">IF(D1434&lt;8,"LOW SAMPLE",IF(F1434&gt;H1434*(1+Assumptions!$B$10),"UNDERPAID",IF(F1434&lt;G1434*(1-Assumptions!$B$10),"OVERPAID","FAIR")))</f>
        <v>FAIR</v>
      </c>
      <c r="K1434" s="5" t="n">
        <v>0</v>
      </c>
    </row>
    <row r="1435" customFormat="false" ht="15" hidden="false" customHeight="false" outlineLevel="0" collapsed="false">
      <c r="A1435" s="5" t="n">
        <v>2023</v>
      </c>
      <c r="B1435" s="5" t="s">
        <v>106</v>
      </c>
      <c r="C1435" s="5" t="s">
        <v>229</v>
      </c>
      <c r="D1435" s="5" t="n">
        <v>25</v>
      </c>
      <c r="E1435" s="13" t="n">
        <v>5.25</v>
      </c>
      <c r="F1435" s="14" t="n">
        <f aca="false">E1435*Assumptions!$D$6</f>
        <v>785.54311551893</v>
      </c>
      <c r="G1435" s="14" t="n">
        <v>380</v>
      </c>
      <c r="H1435" s="14" t="n">
        <v>500</v>
      </c>
      <c r="I1435" s="14" t="n">
        <f aca="false">F1435-(G1435+H1435)/2</f>
        <v>345.54311551893</v>
      </c>
      <c r="J1435" s="5" t="str">
        <f aca="false">IF(D1435&lt;8,"LOW SAMPLE",IF(F1435&gt;H1435*(1+Assumptions!$B$10),"UNDERPAID",IF(F1435&lt;G1435*(1-Assumptions!$B$10),"OVERPAID","FAIR")))</f>
        <v>UNDERPAID</v>
      </c>
      <c r="K1435" s="5" t="n">
        <v>117</v>
      </c>
    </row>
    <row r="1436" customFormat="false" ht="15" hidden="false" customHeight="false" outlineLevel="0" collapsed="false">
      <c r="A1436" s="5" t="n">
        <v>2023</v>
      </c>
      <c r="B1436" s="5" t="s">
        <v>106</v>
      </c>
      <c r="C1436" s="5" t="s">
        <v>108</v>
      </c>
      <c r="D1436" s="5" t="n">
        <v>17</v>
      </c>
      <c r="E1436" s="13" t="n">
        <v>2.79</v>
      </c>
      <c r="F1436" s="14" t="n">
        <f aca="false">E1436*Assumptions!$D$6</f>
        <v>417.460055675774</v>
      </c>
      <c r="G1436" s="14" t="n">
        <v>140</v>
      </c>
      <c r="H1436" s="14" t="n">
        <v>250</v>
      </c>
      <c r="I1436" s="14" t="n">
        <f aca="false">F1436-(G1436+H1436)/2</f>
        <v>222.460055675774</v>
      </c>
      <c r="J1436" s="5" t="str">
        <f aca="false">IF(D1436&lt;8,"LOW SAMPLE",IF(F1436&gt;H1436*(1+Assumptions!$B$10),"UNDERPAID",IF(F1436&lt;G1436*(1-Assumptions!$B$10),"OVERPAID","FAIR")))</f>
        <v>UNDERPAID</v>
      </c>
      <c r="K1436" s="5" t="n">
        <v>6</v>
      </c>
    </row>
    <row r="1437" customFormat="false" ht="15" hidden="false" customHeight="false" outlineLevel="0" collapsed="false">
      <c r="A1437" s="5" t="n">
        <v>2023</v>
      </c>
      <c r="B1437" s="5" t="s">
        <v>106</v>
      </c>
      <c r="C1437" s="5" t="s">
        <v>734</v>
      </c>
      <c r="D1437" s="5" t="n">
        <v>8</v>
      </c>
      <c r="E1437" s="13" t="n">
        <v>1.11</v>
      </c>
      <c r="F1437" s="14" t="n">
        <f aca="false">E1437*Assumptions!$D$6</f>
        <v>166.086258709717</v>
      </c>
      <c r="G1437" s="14" t="n">
        <v>250</v>
      </c>
      <c r="H1437" s="14" t="n">
        <v>380</v>
      </c>
      <c r="I1437" s="14" t="n">
        <f aca="false">F1437-(G1437+H1437)/2</f>
        <v>-148.913741290283</v>
      </c>
      <c r="J1437" s="5" t="str">
        <f aca="false">IF(D1437&lt;8,"LOW SAMPLE",IF(F1437&gt;H1437*(1+Assumptions!$B$10),"UNDERPAID",IF(F1437&lt;G1437*(1-Assumptions!$B$10),"OVERPAID","FAIR")))</f>
        <v>OVERPAID</v>
      </c>
      <c r="K1437" s="5" t="n">
        <v>52</v>
      </c>
    </row>
    <row r="1438" customFormat="false" ht="15" hidden="false" customHeight="false" outlineLevel="0" collapsed="false">
      <c r="A1438" s="5" t="n">
        <v>2023</v>
      </c>
      <c r="B1438" s="5" t="s">
        <v>106</v>
      </c>
      <c r="C1438" s="5" t="s">
        <v>109</v>
      </c>
      <c r="D1438" s="5" t="n">
        <v>26</v>
      </c>
      <c r="E1438" s="13" t="n">
        <v>7.48</v>
      </c>
      <c r="F1438" s="14" t="n">
        <f aca="false">E1438*Assumptions!$D$6</f>
        <v>1119.21190553935</v>
      </c>
      <c r="G1438" s="14" t="n">
        <v>500</v>
      </c>
      <c r="H1438" s="14" t="n">
        <v>680</v>
      </c>
      <c r="I1438" s="14" t="n">
        <f aca="false">F1438-(G1438+H1438)/2</f>
        <v>529.211905539352</v>
      </c>
      <c r="J1438" s="5" t="str">
        <f aca="false">IF(D1438&lt;8,"LOW SAMPLE",IF(F1438&gt;H1438*(1+Assumptions!$B$10),"UNDERPAID",IF(F1438&lt;G1438*(1-Assumptions!$B$10),"OVERPAID","FAIR")))</f>
        <v>UNDERPAID</v>
      </c>
      <c r="K1438" s="5" t="n">
        <v>84</v>
      </c>
    </row>
    <row r="1439" customFormat="false" ht="15" hidden="false" customHeight="false" outlineLevel="0" collapsed="false">
      <c r="A1439" s="5" t="n">
        <v>2023</v>
      </c>
      <c r="B1439" s="5" t="s">
        <v>106</v>
      </c>
      <c r="C1439" s="5" t="s">
        <v>110</v>
      </c>
      <c r="D1439" s="5" t="n">
        <v>11</v>
      </c>
      <c r="E1439" s="13" t="n">
        <v>1.25</v>
      </c>
      <c r="F1439" s="14" t="n">
        <f aca="false">E1439*Assumptions!$D$6</f>
        <v>187.034075123555</v>
      </c>
      <c r="G1439" s="14" t="n">
        <v>250</v>
      </c>
      <c r="H1439" s="14" t="n">
        <v>380</v>
      </c>
      <c r="I1439" s="14" t="n">
        <f aca="false">F1439-(G1439+H1439)/2</f>
        <v>-127.965924876445</v>
      </c>
      <c r="J1439" s="5" t="str">
        <f aca="false">IF(D1439&lt;8,"LOW SAMPLE",IF(F1439&gt;H1439*(1+Assumptions!$B$10),"UNDERPAID",IF(F1439&lt;G1439*(1-Assumptions!$B$10),"OVERPAID","FAIR")))</f>
        <v>OVERPAID</v>
      </c>
      <c r="K1439" s="5" t="n">
        <v>23</v>
      </c>
    </row>
    <row r="1440" customFormat="false" ht="15" hidden="false" customHeight="false" outlineLevel="0" collapsed="false">
      <c r="A1440" s="5" t="n">
        <v>2023</v>
      </c>
      <c r="B1440" s="5" t="s">
        <v>106</v>
      </c>
      <c r="C1440" s="5" t="s">
        <v>111</v>
      </c>
      <c r="D1440" s="5" t="n">
        <v>12</v>
      </c>
      <c r="E1440" s="13" t="n">
        <v>1.59</v>
      </c>
      <c r="F1440" s="14" t="n">
        <f aca="false">E1440*Assumptions!$D$6</f>
        <v>237.907343557162</v>
      </c>
      <c r="G1440" s="14" t="n">
        <v>250</v>
      </c>
      <c r="H1440" s="14" t="n">
        <v>380</v>
      </c>
      <c r="I1440" s="14" t="n">
        <f aca="false">F1440-(G1440+H1440)/2</f>
        <v>-77.0926564428382</v>
      </c>
      <c r="J1440" s="5" t="str">
        <f aca="false">IF(D1440&lt;8,"LOW SAMPLE",IF(F1440&gt;H1440*(1+Assumptions!$B$10),"UNDERPAID",IF(F1440&lt;G1440*(1-Assumptions!$B$10),"OVERPAID","FAIR")))</f>
        <v>FAIR</v>
      </c>
      <c r="K1440" s="5" t="n">
        <v>41</v>
      </c>
    </row>
    <row r="1441" customFormat="false" ht="15" hidden="false" customHeight="false" outlineLevel="0" collapsed="false">
      <c r="A1441" s="5" t="n">
        <v>2023</v>
      </c>
      <c r="B1441" s="5" t="s">
        <v>106</v>
      </c>
      <c r="C1441" s="5" t="s">
        <v>112</v>
      </c>
      <c r="D1441" s="5" t="n">
        <v>17</v>
      </c>
      <c r="E1441" s="13" t="n">
        <v>1.84</v>
      </c>
      <c r="F1441" s="14" t="n">
        <f aca="false">E1441*Assumptions!$D$6</f>
        <v>275.314158581873</v>
      </c>
      <c r="G1441" s="14" t="n">
        <v>680</v>
      </c>
      <c r="H1441" s="14" t="n">
        <v>950</v>
      </c>
      <c r="I1441" s="14" t="n">
        <f aca="false">F1441-(G1441+H1441)/2</f>
        <v>-539.685841418127</v>
      </c>
      <c r="J1441" s="5" t="str">
        <f aca="false">IF(D1441&lt;8,"LOW SAMPLE",IF(F1441&gt;H1441*(1+Assumptions!$B$10),"UNDERPAID",IF(F1441&lt;G1441*(1-Assumptions!$B$10),"OVERPAID","FAIR")))</f>
        <v>OVERPAID</v>
      </c>
      <c r="K1441" s="5" t="n">
        <v>138</v>
      </c>
    </row>
    <row r="1442" customFormat="false" ht="15" hidden="false" customHeight="false" outlineLevel="0" collapsed="false">
      <c r="A1442" s="5" t="n">
        <v>2023</v>
      </c>
      <c r="B1442" s="5" t="s">
        <v>106</v>
      </c>
      <c r="C1442" s="5" t="s">
        <v>617</v>
      </c>
      <c r="D1442" s="5" t="n">
        <v>22</v>
      </c>
      <c r="E1442" s="13" t="n">
        <v>3.67</v>
      </c>
      <c r="F1442" s="14" t="n">
        <f aca="false">E1442*Assumptions!$D$6</f>
        <v>549.132044562757</v>
      </c>
      <c r="G1442" s="14" t="n">
        <v>380</v>
      </c>
      <c r="H1442" s="14" t="n">
        <v>500</v>
      </c>
      <c r="I1442" s="14" t="n">
        <f aca="false">F1442-(G1442+H1442)/2</f>
        <v>109.132044562757</v>
      </c>
      <c r="J1442" s="5" t="str">
        <f aca="false">IF(D1442&lt;8,"LOW SAMPLE",IF(F1442&gt;H1442*(1+Assumptions!$B$10),"UNDERPAID",IF(F1442&lt;G1442*(1-Assumptions!$B$10),"OVERPAID","FAIR")))</f>
        <v>FAIR</v>
      </c>
      <c r="K1442" s="5" t="n">
        <v>135</v>
      </c>
    </row>
    <row r="1443" customFormat="false" ht="15" hidden="false" customHeight="false" outlineLevel="0" collapsed="false">
      <c r="A1443" s="5" t="n">
        <v>2023</v>
      </c>
      <c r="B1443" s="5" t="s">
        <v>106</v>
      </c>
      <c r="C1443" s="5" t="s">
        <v>114</v>
      </c>
      <c r="D1443" s="5" t="n">
        <v>21</v>
      </c>
      <c r="E1443" s="13" t="n">
        <v>4.29</v>
      </c>
      <c r="F1443" s="14" t="n">
        <f aca="false">E1443*Assumptions!$D$6</f>
        <v>641.90094582404</v>
      </c>
      <c r="G1443" s="14" t="n">
        <v>680</v>
      </c>
      <c r="H1443" s="14" t="n">
        <v>950</v>
      </c>
      <c r="I1443" s="14" t="n">
        <f aca="false">F1443-(G1443+H1443)/2</f>
        <v>-173.09905417596</v>
      </c>
      <c r="J1443" s="5" t="str">
        <f aca="false">IF(D1443&lt;8,"LOW SAMPLE",IF(F1443&gt;H1443*(1+Assumptions!$B$10),"UNDERPAID",IF(F1443&lt;G1443*(1-Assumptions!$B$10),"OVERPAID","FAIR")))</f>
        <v>FAIR</v>
      </c>
      <c r="K1443" s="5" t="n">
        <v>86</v>
      </c>
    </row>
    <row r="1444" customFormat="false" ht="15" hidden="false" customHeight="false" outlineLevel="0" collapsed="false">
      <c r="A1444" s="5" t="n">
        <v>2023</v>
      </c>
      <c r="B1444" s="5" t="s">
        <v>106</v>
      </c>
      <c r="C1444" s="5" t="s">
        <v>735</v>
      </c>
      <c r="D1444" s="5" t="n">
        <v>1</v>
      </c>
      <c r="E1444" s="13" t="n">
        <v>0.02</v>
      </c>
      <c r="F1444" s="14" t="n">
        <f aca="false">E1444*Assumptions!$D$6</f>
        <v>2.99254520197688</v>
      </c>
      <c r="G1444" s="14" t="n">
        <v>140</v>
      </c>
      <c r="H1444" s="14" t="n">
        <v>250</v>
      </c>
      <c r="I1444" s="14" t="n">
        <f aca="false">F1444-(G1444+H1444)/2</f>
        <v>-192.007454798023</v>
      </c>
      <c r="J1444" s="5" t="str">
        <f aca="false">IF(D1444&lt;8,"LOW SAMPLE",IF(F1444&gt;H1444*(1+Assumptions!$B$10),"UNDERPAID",IF(F1444&lt;G1444*(1-Assumptions!$B$10),"OVERPAID","FAIR")))</f>
        <v>LOW SAMPLE</v>
      </c>
      <c r="K1444" s="5" t="n">
        <v>5</v>
      </c>
    </row>
    <row r="1445" customFormat="false" ht="15" hidden="false" customHeight="false" outlineLevel="0" collapsed="false">
      <c r="A1445" s="5" t="n">
        <v>2023</v>
      </c>
      <c r="B1445" s="5" t="s">
        <v>106</v>
      </c>
      <c r="C1445" s="5" t="s">
        <v>115</v>
      </c>
      <c r="D1445" s="5" t="n">
        <v>13</v>
      </c>
      <c r="E1445" s="13" t="n">
        <v>1.96</v>
      </c>
      <c r="F1445" s="14" t="n">
        <f aca="false">E1445*Assumptions!$D$6</f>
        <v>293.269429793734</v>
      </c>
      <c r="G1445" s="14" t="n">
        <v>380</v>
      </c>
      <c r="H1445" s="14" t="n">
        <v>500</v>
      </c>
      <c r="I1445" s="14" t="n">
        <f aca="false">F1445-(G1445+H1445)/2</f>
        <v>-146.730570206266</v>
      </c>
      <c r="J1445" s="5" t="str">
        <f aca="false">IF(D1445&lt;8,"LOW SAMPLE",IF(F1445&gt;H1445*(1+Assumptions!$B$10),"UNDERPAID",IF(F1445&lt;G1445*(1-Assumptions!$B$10),"OVERPAID","FAIR")))</f>
        <v>OVERPAID</v>
      </c>
      <c r="K1445" s="5" t="n">
        <v>124</v>
      </c>
    </row>
    <row r="1446" customFormat="false" ht="15" hidden="false" customHeight="false" outlineLevel="0" collapsed="false">
      <c r="A1446" s="5" t="n">
        <v>2023</v>
      </c>
      <c r="B1446" s="5" t="s">
        <v>106</v>
      </c>
      <c r="C1446" s="5" t="s">
        <v>117</v>
      </c>
      <c r="D1446" s="5" t="n">
        <v>16</v>
      </c>
      <c r="E1446" s="13" t="n">
        <v>2.76</v>
      </c>
      <c r="F1446" s="14" t="n">
        <f aca="false">E1446*Assumptions!$D$6</f>
        <v>412.971237872809</v>
      </c>
      <c r="G1446" s="14" t="n">
        <v>380</v>
      </c>
      <c r="H1446" s="14" t="n">
        <v>500</v>
      </c>
      <c r="I1446" s="14" t="n">
        <f aca="false">F1446-(G1446+H1446)/2</f>
        <v>-27.028762127191</v>
      </c>
      <c r="J1446" s="5" t="str">
        <f aca="false">IF(D1446&lt;8,"LOW SAMPLE",IF(F1446&gt;H1446*(1+Assumptions!$B$10),"UNDERPAID",IF(F1446&lt;G1446*(1-Assumptions!$B$10),"OVERPAID","FAIR")))</f>
        <v>FAIR</v>
      </c>
      <c r="K1446" s="5" t="n">
        <v>99</v>
      </c>
    </row>
    <row r="1447" customFormat="false" ht="15" hidden="false" customHeight="false" outlineLevel="0" collapsed="false">
      <c r="A1447" s="5" t="n">
        <v>2023</v>
      </c>
      <c r="B1447" s="5" t="s">
        <v>106</v>
      </c>
      <c r="C1447" s="5" t="s">
        <v>118</v>
      </c>
      <c r="D1447" s="5" t="n">
        <v>26</v>
      </c>
      <c r="E1447" s="13" t="n">
        <v>5.64</v>
      </c>
      <c r="F1447" s="14" t="n">
        <f aca="false">E1447*Assumptions!$D$6</f>
        <v>843.897746957479</v>
      </c>
      <c r="G1447" s="14" t="n">
        <v>500</v>
      </c>
      <c r="H1447" s="14" t="n">
        <v>680</v>
      </c>
      <c r="I1447" s="14" t="n">
        <f aca="false">F1447-(G1447+H1447)/2</f>
        <v>253.897746957479</v>
      </c>
      <c r="J1447" s="5" t="str">
        <f aca="false">IF(D1447&lt;8,"LOW SAMPLE",IF(F1447&gt;H1447*(1+Assumptions!$B$10),"UNDERPAID",IF(F1447&lt;G1447*(1-Assumptions!$B$10),"OVERPAID","FAIR")))</f>
        <v>UNDERPAID</v>
      </c>
      <c r="K1447" s="5" t="n">
        <v>133</v>
      </c>
    </row>
    <row r="1448" customFormat="false" ht="15" hidden="false" customHeight="false" outlineLevel="0" collapsed="false">
      <c r="A1448" s="5" t="n">
        <v>2023</v>
      </c>
      <c r="B1448" s="5" t="s">
        <v>106</v>
      </c>
      <c r="C1448" s="5" t="s">
        <v>736</v>
      </c>
      <c r="D1448" s="5" t="n">
        <v>21</v>
      </c>
      <c r="E1448" s="13" t="n">
        <v>2.46</v>
      </c>
      <c r="F1448" s="14" t="n">
        <f aca="false">E1448*Assumptions!$D$6</f>
        <v>368.083059843156</v>
      </c>
      <c r="G1448" s="14" t="n">
        <v>250</v>
      </c>
      <c r="H1448" s="14" t="n">
        <v>380</v>
      </c>
      <c r="I1448" s="14" t="n">
        <f aca="false">F1448-(G1448+H1448)/2</f>
        <v>53.0830598431559</v>
      </c>
      <c r="J1448" s="5" t="str">
        <f aca="false">IF(D1448&lt;8,"LOW SAMPLE",IF(F1448&gt;H1448*(1+Assumptions!$B$10),"UNDERPAID",IF(F1448&lt;G1448*(1-Assumptions!$B$10),"OVERPAID","FAIR")))</f>
        <v>FAIR</v>
      </c>
      <c r="K1448" s="5" t="n">
        <v>12</v>
      </c>
    </row>
    <row r="1449" customFormat="false" ht="15" hidden="false" customHeight="false" outlineLevel="0" collapsed="false">
      <c r="A1449" s="5" t="n">
        <v>2023</v>
      </c>
      <c r="B1449" s="5" t="s">
        <v>106</v>
      </c>
      <c r="C1449" s="5" t="s">
        <v>737</v>
      </c>
      <c r="D1449" s="5" t="n">
        <v>9</v>
      </c>
      <c r="E1449" s="13" t="n">
        <v>1.16</v>
      </c>
      <c r="F1449" s="14" t="n">
        <f aca="false">E1449*Assumptions!$D$6</f>
        <v>173.567621714659</v>
      </c>
      <c r="G1449" s="14" t="n">
        <v>140</v>
      </c>
      <c r="H1449" s="14" t="n">
        <v>250</v>
      </c>
      <c r="I1449" s="14" t="n">
        <f aca="false">F1449-(G1449+H1449)/2</f>
        <v>-21.4323782853411</v>
      </c>
      <c r="J1449" s="5" t="str">
        <f aca="false">IF(D1449&lt;8,"LOW SAMPLE",IF(F1449&gt;H1449*(1+Assumptions!$B$10),"UNDERPAID",IF(F1449&lt;G1449*(1-Assumptions!$B$10),"OVERPAID","FAIR")))</f>
        <v>FAIR</v>
      </c>
      <c r="K1449" s="5" t="n">
        <v>7</v>
      </c>
    </row>
    <row r="1450" customFormat="false" ht="15" hidden="false" customHeight="false" outlineLevel="0" collapsed="false">
      <c r="A1450" s="5" t="n">
        <v>2023</v>
      </c>
      <c r="B1450" s="5" t="s">
        <v>106</v>
      </c>
      <c r="C1450" s="5" t="s">
        <v>119</v>
      </c>
      <c r="D1450" s="5" t="n">
        <v>6</v>
      </c>
      <c r="E1450" s="13" t="n">
        <v>0.52</v>
      </c>
      <c r="F1450" s="14" t="n">
        <f aca="false">E1450*Assumptions!$D$6</f>
        <v>77.8061752513988</v>
      </c>
      <c r="G1450" s="14" t="n">
        <v>140</v>
      </c>
      <c r="H1450" s="14" t="n">
        <v>250</v>
      </c>
      <c r="I1450" s="14" t="n">
        <f aca="false">F1450-(G1450+H1450)/2</f>
        <v>-117.193824748601</v>
      </c>
      <c r="J1450" s="5" t="str">
        <f aca="false">IF(D1450&lt;8,"LOW SAMPLE",IF(F1450&gt;H1450*(1+Assumptions!$B$10),"UNDERPAID",IF(F1450&lt;G1450*(1-Assumptions!$B$10),"OVERPAID","FAIR")))</f>
        <v>LOW SAMPLE</v>
      </c>
      <c r="K1450" s="5" t="n">
        <v>11</v>
      </c>
    </row>
    <row r="1451" customFormat="false" ht="15" hidden="false" customHeight="false" outlineLevel="0" collapsed="false">
      <c r="A1451" s="5" t="n">
        <v>2023</v>
      </c>
      <c r="B1451" s="5" t="s">
        <v>106</v>
      </c>
      <c r="C1451" s="5" t="s">
        <v>120</v>
      </c>
      <c r="D1451" s="5" t="n">
        <v>12</v>
      </c>
      <c r="E1451" s="13" t="n">
        <v>1.71</v>
      </c>
      <c r="F1451" s="14" t="n">
        <f aca="false">E1451*Assumptions!$D$6</f>
        <v>255.862614769023</v>
      </c>
      <c r="G1451" s="14" t="n">
        <v>250</v>
      </c>
      <c r="H1451" s="14" t="n">
        <v>380</v>
      </c>
      <c r="I1451" s="14" t="n">
        <f aca="false">F1451-(G1451+H1451)/2</f>
        <v>-59.137385230977</v>
      </c>
      <c r="J1451" s="5" t="str">
        <f aca="false">IF(D1451&lt;8,"LOW SAMPLE",IF(F1451&gt;H1451*(1+Assumptions!$B$10),"UNDERPAID",IF(F1451&lt;G1451*(1-Assumptions!$B$10),"OVERPAID","FAIR")))</f>
        <v>FAIR</v>
      </c>
      <c r="K1451" s="5" t="n">
        <v>43</v>
      </c>
    </row>
    <row r="1452" customFormat="false" ht="15" hidden="false" customHeight="false" outlineLevel="0" collapsed="false">
      <c r="A1452" s="5" t="n">
        <v>2023</v>
      </c>
      <c r="B1452" s="5" t="s">
        <v>106</v>
      </c>
      <c r="C1452" s="5" t="s">
        <v>121</v>
      </c>
      <c r="D1452" s="5" t="n">
        <v>1</v>
      </c>
      <c r="E1452" s="13" t="n">
        <v>0.09</v>
      </c>
      <c r="F1452" s="14" t="n">
        <f aca="false">E1452*Assumptions!$D$6</f>
        <v>13.4664534088959</v>
      </c>
      <c r="G1452" s="14" t="n">
        <v>380</v>
      </c>
      <c r="H1452" s="14" t="n">
        <v>500</v>
      </c>
      <c r="I1452" s="14" t="n">
        <f aca="false">F1452-(G1452+H1452)/2</f>
        <v>-426.533546591104</v>
      </c>
      <c r="J1452" s="5" t="str">
        <f aca="false">IF(D1452&lt;8,"LOW SAMPLE",IF(F1452&gt;H1452*(1+Assumptions!$B$10),"UNDERPAID",IF(F1452&lt;G1452*(1-Assumptions!$B$10),"OVERPAID","FAIR")))</f>
        <v>LOW SAMPLE</v>
      </c>
      <c r="K1452" s="5" t="n">
        <v>126</v>
      </c>
    </row>
    <row r="1453" customFormat="false" ht="15" hidden="false" customHeight="false" outlineLevel="0" collapsed="false">
      <c r="A1453" s="5" t="n">
        <v>2023</v>
      </c>
      <c r="B1453" s="5" t="s">
        <v>106</v>
      </c>
      <c r="C1453" s="5" t="s">
        <v>836</v>
      </c>
      <c r="D1453" s="5" t="n">
        <v>7</v>
      </c>
      <c r="E1453" s="13" t="n">
        <v>0.55</v>
      </c>
      <c r="F1453" s="14" t="n">
        <f aca="false">E1453*Assumptions!$D$6</f>
        <v>82.2949930543641</v>
      </c>
      <c r="G1453" s="14" t="n">
        <v>250</v>
      </c>
      <c r="H1453" s="14" t="n">
        <v>380</v>
      </c>
      <c r="I1453" s="14" t="n">
        <f aca="false">F1453-(G1453+H1453)/2</f>
        <v>-232.705006945636</v>
      </c>
      <c r="J1453" s="5" t="str">
        <f aca="false">IF(D1453&lt;8,"LOW SAMPLE",IF(F1453&gt;H1453*(1+Assumptions!$B$10),"UNDERPAID",IF(F1453&lt;G1453*(1-Assumptions!$B$10),"OVERPAID","FAIR")))</f>
        <v>LOW SAMPLE</v>
      </c>
      <c r="K1453" s="5" t="n">
        <v>0</v>
      </c>
    </row>
    <row r="1454" customFormat="false" ht="15" hidden="false" customHeight="false" outlineLevel="0" collapsed="false">
      <c r="A1454" s="5" t="n">
        <v>2023</v>
      </c>
      <c r="B1454" s="5" t="s">
        <v>106</v>
      </c>
      <c r="C1454" s="5" t="s">
        <v>705</v>
      </c>
      <c r="D1454" s="5" t="n">
        <v>15</v>
      </c>
      <c r="E1454" s="13" t="n">
        <v>2.9</v>
      </c>
      <c r="F1454" s="14" t="n">
        <f aca="false">E1454*Assumptions!$D$6</f>
        <v>433.919054286647</v>
      </c>
      <c r="G1454" s="14" t="n">
        <v>380</v>
      </c>
      <c r="H1454" s="14" t="n">
        <v>500</v>
      </c>
      <c r="I1454" s="14" t="n">
        <f aca="false">F1454-(G1454+H1454)/2</f>
        <v>-6.08094571335283</v>
      </c>
      <c r="J1454" s="5" t="str">
        <f aca="false">IF(D1454&lt;8,"LOW SAMPLE",IF(F1454&gt;H1454*(1+Assumptions!$B$10),"UNDERPAID",IF(F1454&lt;G1454*(1-Assumptions!$B$10),"OVERPAID","FAIR")))</f>
        <v>FAIR</v>
      </c>
      <c r="K1454" s="5" t="n">
        <v>43</v>
      </c>
    </row>
    <row r="1455" customFormat="false" ht="15" hidden="false" customHeight="false" outlineLevel="0" collapsed="false">
      <c r="A1455" s="5" t="n">
        <v>2023</v>
      </c>
      <c r="B1455" s="5" t="s">
        <v>106</v>
      </c>
      <c r="C1455" s="5" t="s">
        <v>125</v>
      </c>
      <c r="D1455" s="5" t="n">
        <v>6</v>
      </c>
      <c r="E1455" s="13" t="n">
        <v>0.34</v>
      </c>
      <c r="F1455" s="14" t="n">
        <f aca="false">E1455*Assumptions!$D$6</f>
        <v>50.8732684336069</v>
      </c>
      <c r="G1455" s="14" t="n">
        <v>250</v>
      </c>
      <c r="H1455" s="14" t="n">
        <v>380</v>
      </c>
      <c r="I1455" s="14" t="n">
        <f aca="false">F1455-(G1455+H1455)/2</f>
        <v>-264.126731566393</v>
      </c>
      <c r="J1455" s="5" t="str">
        <f aca="false">IF(D1455&lt;8,"LOW SAMPLE",IF(F1455&gt;H1455*(1+Assumptions!$B$10),"UNDERPAID",IF(F1455&lt;G1455*(1-Assumptions!$B$10),"OVERPAID","FAIR")))</f>
        <v>LOW SAMPLE</v>
      </c>
      <c r="K1455" s="5" t="n">
        <v>60</v>
      </c>
    </row>
    <row r="1456" customFormat="false" ht="15" hidden="false" customHeight="false" outlineLevel="0" collapsed="false">
      <c r="A1456" s="5" t="n">
        <v>2023</v>
      </c>
      <c r="B1456" s="5" t="s">
        <v>106</v>
      </c>
      <c r="C1456" s="5" t="s">
        <v>128</v>
      </c>
      <c r="D1456" s="5" t="n">
        <v>18</v>
      </c>
      <c r="E1456" s="13" t="n">
        <v>2.48</v>
      </c>
      <c r="F1456" s="14" t="n">
        <f aca="false">E1456*Assumptions!$D$6</f>
        <v>371.075605045133</v>
      </c>
      <c r="G1456" s="14" t="n">
        <v>380</v>
      </c>
      <c r="H1456" s="14" t="n">
        <v>500</v>
      </c>
      <c r="I1456" s="14" t="n">
        <f aca="false">F1456-(G1456+H1456)/2</f>
        <v>-68.9243949548672</v>
      </c>
      <c r="J1456" s="5" t="str">
        <f aca="false">IF(D1456&lt;8,"LOW SAMPLE",IF(F1456&gt;H1456*(1+Assumptions!$B$10),"UNDERPAID",IF(F1456&lt;G1456*(1-Assumptions!$B$10),"OVERPAID","FAIR")))</f>
        <v>FAIR</v>
      </c>
      <c r="K1456" s="5" t="n">
        <v>41</v>
      </c>
    </row>
    <row r="1457" customFormat="false" ht="15" hidden="false" customHeight="false" outlineLevel="0" collapsed="false">
      <c r="A1457" s="5" t="n">
        <v>2023</v>
      </c>
      <c r="B1457" s="5" t="s">
        <v>106</v>
      </c>
      <c r="C1457" s="5" t="s">
        <v>129</v>
      </c>
      <c r="D1457" s="5" t="n">
        <v>17</v>
      </c>
      <c r="E1457" s="13" t="n">
        <v>2.36</v>
      </c>
      <c r="F1457" s="14" t="n">
        <f aca="false">E1457*Assumptions!$D$6</f>
        <v>353.120333833272</v>
      </c>
      <c r="G1457" s="14" t="n">
        <v>250</v>
      </c>
      <c r="H1457" s="14" t="n">
        <v>380</v>
      </c>
      <c r="I1457" s="14" t="n">
        <f aca="false">F1457-(G1457+H1457)/2</f>
        <v>38.1203338332715</v>
      </c>
      <c r="J1457" s="5" t="str">
        <f aca="false">IF(D1457&lt;8,"LOW SAMPLE",IF(F1457&gt;H1457*(1+Assumptions!$B$10),"UNDERPAID",IF(F1457&lt;G1457*(1-Assumptions!$B$10),"OVERPAID","FAIR")))</f>
        <v>FAIR</v>
      </c>
      <c r="K1457" s="5" t="n">
        <v>37</v>
      </c>
    </row>
    <row r="1458" customFormat="false" ht="15" hidden="false" customHeight="false" outlineLevel="0" collapsed="false">
      <c r="A1458" s="5" t="n">
        <v>2023</v>
      </c>
      <c r="B1458" s="5" t="s">
        <v>106</v>
      </c>
      <c r="C1458" s="5" t="s">
        <v>130</v>
      </c>
      <c r="D1458" s="5" t="n">
        <v>16</v>
      </c>
      <c r="E1458" s="13" t="n">
        <v>2.62</v>
      </c>
      <c r="F1458" s="14" t="n">
        <f aca="false">E1458*Assumptions!$D$6</f>
        <v>392.023421458971</v>
      </c>
      <c r="G1458" s="14" t="n">
        <v>380</v>
      </c>
      <c r="H1458" s="14" t="n">
        <v>500</v>
      </c>
      <c r="I1458" s="14" t="n">
        <f aca="false">F1458-(G1458+H1458)/2</f>
        <v>-47.9765785410291</v>
      </c>
      <c r="J1458" s="5" t="str">
        <f aca="false">IF(D1458&lt;8,"LOW SAMPLE",IF(F1458&gt;H1458*(1+Assumptions!$B$10),"UNDERPAID",IF(F1458&lt;G1458*(1-Assumptions!$B$10),"OVERPAID","FAIR")))</f>
        <v>FAIR</v>
      </c>
      <c r="K1458" s="5" t="n">
        <v>78</v>
      </c>
    </row>
    <row r="1459" customFormat="false" ht="15" hidden="false" customHeight="false" outlineLevel="0" collapsed="false">
      <c r="A1459" s="5" t="n">
        <v>2023</v>
      </c>
      <c r="B1459" s="5" t="s">
        <v>106</v>
      </c>
      <c r="C1459" s="5" t="s">
        <v>131</v>
      </c>
      <c r="D1459" s="5" t="n">
        <v>18</v>
      </c>
      <c r="E1459" s="13" t="n">
        <v>2.68</v>
      </c>
      <c r="F1459" s="14" t="n">
        <f aca="false">E1459*Assumptions!$D$6</f>
        <v>401.001057064902</v>
      </c>
      <c r="G1459" s="14" t="n">
        <v>250</v>
      </c>
      <c r="H1459" s="14" t="n">
        <v>380</v>
      </c>
      <c r="I1459" s="14" t="n">
        <f aca="false">F1459-(G1459+H1459)/2</f>
        <v>86.0010570649016</v>
      </c>
      <c r="J1459" s="5" t="str">
        <f aca="false">IF(D1459&lt;8,"LOW SAMPLE",IF(F1459&gt;H1459*(1+Assumptions!$B$10),"UNDERPAID",IF(F1459&lt;G1459*(1-Assumptions!$B$10),"OVERPAID","FAIR")))</f>
        <v>FAIR</v>
      </c>
      <c r="K1459" s="5" t="n">
        <v>31</v>
      </c>
    </row>
    <row r="1460" customFormat="false" ht="15" hidden="false" customHeight="false" outlineLevel="0" collapsed="false">
      <c r="A1460" s="5" t="n">
        <v>2023</v>
      </c>
      <c r="B1460" s="5" t="s">
        <v>106</v>
      </c>
      <c r="C1460" s="5" t="s">
        <v>133</v>
      </c>
      <c r="D1460" s="5" t="n">
        <v>22</v>
      </c>
      <c r="E1460" s="13" t="n">
        <v>4.3</v>
      </c>
      <c r="F1460" s="14" t="n">
        <f aca="false">E1460*Assumptions!$D$6</f>
        <v>643.397218425029</v>
      </c>
      <c r="G1460" s="14" t="n">
        <v>250</v>
      </c>
      <c r="H1460" s="14" t="n">
        <v>380</v>
      </c>
      <c r="I1460" s="14" t="n">
        <f aca="false">F1460-(G1460+H1460)/2</f>
        <v>328.397218425029</v>
      </c>
      <c r="J1460" s="5" t="str">
        <f aca="false">IF(D1460&lt;8,"LOW SAMPLE",IF(F1460&gt;H1460*(1+Assumptions!$B$10),"UNDERPAID",IF(F1460&lt;G1460*(1-Assumptions!$B$10),"OVERPAID","FAIR")))</f>
        <v>UNDERPAID</v>
      </c>
      <c r="K1460" s="5" t="n">
        <v>88</v>
      </c>
    </row>
    <row r="1461" customFormat="false" ht="15" hidden="false" customHeight="false" outlineLevel="0" collapsed="false">
      <c r="A1461" s="5" t="n">
        <v>2023</v>
      </c>
      <c r="B1461" s="5" t="s">
        <v>106</v>
      </c>
      <c r="C1461" s="5" t="s">
        <v>134</v>
      </c>
      <c r="D1461" s="5" t="n">
        <v>24</v>
      </c>
      <c r="E1461" s="13" t="n">
        <v>4.37</v>
      </c>
      <c r="F1461" s="14" t="n">
        <f aca="false">E1461*Assumptions!$D$6</f>
        <v>653.871126631948</v>
      </c>
      <c r="G1461" s="14" t="n">
        <v>380</v>
      </c>
      <c r="H1461" s="14" t="n">
        <v>500</v>
      </c>
      <c r="I1461" s="14" t="n">
        <f aca="false">F1461-(G1461+H1461)/2</f>
        <v>213.871126631948</v>
      </c>
      <c r="J1461" s="5" t="str">
        <f aca="false">IF(D1461&lt;8,"LOW SAMPLE",IF(F1461&gt;H1461*(1+Assumptions!$B$10),"UNDERPAID",IF(F1461&lt;G1461*(1-Assumptions!$B$10),"OVERPAID","FAIR")))</f>
        <v>UNDERPAID</v>
      </c>
      <c r="K1461" s="5" t="n">
        <v>86</v>
      </c>
    </row>
    <row r="1462" customFormat="false" ht="15" hidden="false" customHeight="false" outlineLevel="0" collapsed="false">
      <c r="A1462" s="5" t="n">
        <v>2023</v>
      </c>
      <c r="B1462" s="5" t="s">
        <v>106</v>
      </c>
      <c r="C1462" s="5" t="s">
        <v>837</v>
      </c>
      <c r="D1462" s="5" t="n">
        <v>19</v>
      </c>
      <c r="E1462" s="13" t="n">
        <v>2.39</v>
      </c>
      <c r="F1462" s="14" t="n">
        <f aca="false">E1462*Assumptions!$D$6</f>
        <v>357.609151636237</v>
      </c>
      <c r="G1462" s="14" t="n">
        <v>250</v>
      </c>
      <c r="H1462" s="14" t="n">
        <v>380</v>
      </c>
      <c r="I1462" s="14" t="n">
        <f aca="false">F1462-(G1462+H1462)/2</f>
        <v>42.6091516362368</v>
      </c>
      <c r="J1462" s="5" t="str">
        <f aca="false">IF(D1462&lt;8,"LOW SAMPLE",IF(F1462&gt;H1462*(1+Assumptions!$B$10),"UNDERPAID",IF(F1462&lt;G1462*(1-Assumptions!$B$10),"OVERPAID","FAIR")))</f>
        <v>FAIR</v>
      </c>
      <c r="K1462" s="5" t="n">
        <v>0</v>
      </c>
    </row>
    <row r="1463" customFormat="false" ht="15" hidden="false" customHeight="false" outlineLevel="0" collapsed="false">
      <c r="A1463" s="5" t="n">
        <v>2023</v>
      </c>
      <c r="B1463" s="5" t="s">
        <v>106</v>
      </c>
      <c r="C1463" s="5" t="s">
        <v>136</v>
      </c>
      <c r="D1463" s="5" t="n">
        <v>10</v>
      </c>
      <c r="E1463" s="13" t="n">
        <v>1.64</v>
      </c>
      <c r="F1463" s="14" t="n">
        <f aca="false">E1463*Assumptions!$D$6</f>
        <v>245.388706562104</v>
      </c>
      <c r="G1463" s="14" t="n">
        <v>250</v>
      </c>
      <c r="H1463" s="14" t="n">
        <v>380</v>
      </c>
      <c r="I1463" s="14" t="n">
        <f aca="false">F1463-(G1463+H1463)/2</f>
        <v>-69.6112934378961</v>
      </c>
      <c r="J1463" s="5" t="str">
        <f aca="false">IF(D1463&lt;8,"LOW SAMPLE",IF(F1463&gt;H1463*(1+Assumptions!$B$10),"UNDERPAID",IF(F1463&lt;G1463*(1-Assumptions!$B$10),"OVERPAID","FAIR")))</f>
        <v>FAIR</v>
      </c>
      <c r="K1463" s="5" t="n">
        <v>63</v>
      </c>
    </row>
    <row r="1464" customFormat="false" ht="15" hidden="false" customHeight="false" outlineLevel="0" collapsed="false">
      <c r="A1464" s="5" t="n">
        <v>2023</v>
      </c>
      <c r="B1464" s="5" t="s">
        <v>106</v>
      </c>
      <c r="C1464" s="5" t="s">
        <v>137</v>
      </c>
      <c r="D1464" s="5" t="n">
        <v>24</v>
      </c>
      <c r="E1464" s="13" t="n">
        <v>5.76</v>
      </c>
      <c r="F1464" s="14" t="n">
        <f aca="false">E1464*Assumptions!$D$6</f>
        <v>861.853018169341</v>
      </c>
      <c r="G1464" s="14" t="n">
        <v>950</v>
      </c>
      <c r="H1464" s="14" t="n">
        <v>1300</v>
      </c>
      <c r="I1464" s="14" t="n">
        <f aca="false">F1464-(G1464+H1464)/2</f>
        <v>-263.146981830659</v>
      </c>
      <c r="J1464" s="5" t="str">
        <f aca="false">IF(D1464&lt;8,"LOW SAMPLE",IF(F1464&gt;H1464*(1+Assumptions!$B$10),"UNDERPAID",IF(F1464&lt;G1464*(1-Assumptions!$B$10),"OVERPAID","FAIR")))</f>
        <v>FAIR</v>
      </c>
      <c r="K1464" s="5" t="n">
        <v>156</v>
      </c>
    </row>
    <row r="1465" customFormat="false" ht="15" hidden="false" customHeight="false" outlineLevel="0" collapsed="false">
      <c r="A1465" s="5" t="n">
        <v>2023</v>
      </c>
      <c r="B1465" s="5" t="s">
        <v>106</v>
      </c>
      <c r="C1465" s="5" t="s">
        <v>138</v>
      </c>
      <c r="D1465" s="5" t="n">
        <v>23</v>
      </c>
      <c r="E1465" s="13" t="n">
        <v>4.77</v>
      </c>
      <c r="F1465" s="14" t="n">
        <f aca="false">E1465*Assumptions!$D$6</f>
        <v>713.722030671485</v>
      </c>
      <c r="G1465" s="14" t="n">
        <v>500</v>
      </c>
      <c r="H1465" s="14" t="n">
        <v>680</v>
      </c>
      <c r="I1465" s="14" t="n">
        <f aca="false">F1465-(G1465+H1465)/2</f>
        <v>123.722030671485</v>
      </c>
      <c r="J1465" s="5" t="str">
        <f aca="false">IF(D1465&lt;8,"LOW SAMPLE",IF(F1465&gt;H1465*(1+Assumptions!$B$10),"UNDERPAID",IF(F1465&lt;G1465*(1-Assumptions!$B$10),"OVERPAID","FAIR")))</f>
        <v>FAIR</v>
      </c>
      <c r="K1465" s="5" t="n">
        <v>115</v>
      </c>
    </row>
    <row r="1466" customFormat="false" ht="15" hidden="false" customHeight="false" outlineLevel="0" collapsed="false">
      <c r="A1466" s="5" t="n">
        <v>2023</v>
      </c>
      <c r="B1466" s="5" t="s">
        <v>106</v>
      </c>
      <c r="C1466" s="5" t="s">
        <v>140</v>
      </c>
      <c r="D1466" s="5" t="n">
        <v>18</v>
      </c>
      <c r="E1466" s="13" t="n">
        <v>4.12</v>
      </c>
      <c r="F1466" s="14" t="n">
        <f aca="false">E1466*Assumptions!$D$6</f>
        <v>616.464311607237</v>
      </c>
      <c r="G1466" s="14" t="n">
        <v>680</v>
      </c>
      <c r="H1466" s="14" t="n">
        <v>950</v>
      </c>
      <c r="I1466" s="14" t="n">
        <f aca="false">F1466-(G1466+H1466)/2</f>
        <v>-198.535688392763</v>
      </c>
      <c r="J1466" s="5" t="str">
        <f aca="false">IF(D1466&lt;8,"LOW SAMPLE",IF(F1466&gt;H1466*(1+Assumptions!$B$10),"UNDERPAID",IF(F1466&lt;G1466*(1-Assumptions!$B$10),"OVERPAID","FAIR")))</f>
        <v>FAIR</v>
      </c>
      <c r="K1466" s="5" t="n">
        <v>81</v>
      </c>
    </row>
    <row r="1467" customFormat="false" ht="15" hidden="false" customHeight="false" outlineLevel="0" collapsed="false">
      <c r="A1467" s="5" t="n">
        <v>2023</v>
      </c>
      <c r="B1467" s="5" t="s">
        <v>106</v>
      </c>
      <c r="C1467" s="5" t="s">
        <v>141</v>
      </c>
      <c r="D1467" s="5" t="n">
        <v>19</v>
      </c>
      <c r="E1467" s="13" t="n">
        <v>3.95</v>
      </c>
      <c r="F1467" s="14" t="n">
        <f aca="false">E1467*Assumptions!$D$6</f>
        <v>591.027677390433</v>
      </c>
      <c r="G1467" s="14" t="n">
        <v>380</v>
      </c>
      <c r="H1467" s="14" t="n">
        <v>500</v>
      </c>
      <c r="I1467" s="14" t="n">
        <f aca="false">F1467-(G1467+H1467)/2</f>
        <v>151.027677390433</v>
      </c>
      <c r="J1467" s="5" t="str">
        <f aca="false">IF(D1467&lt;8,"LOW SAMPLE",IF(F1467&gt;H1467*(1+Assumptions!$B$10),"UNDERPAID",IF(F1467&lt;G1467*(1-Assumptions!$B$10),"OVERPAID","FAIR")))</f>
        <v>UNDERPAID</v>
      </c>
      <c r="K1467" s="5" t="n">
        <v>41</v>
      </c>
    </row>
    <row r="1468" customFormat="false" ht="15" hidden="false" customHeight="false" outlineLevel="0" collapsed="false">
      <c r="A1468" s="5" t="n">
        <v>2023</v>
      </c>
      <c r="B1468" s="5" t="s">
        <v>106</v>
      </c>
      <c r="C1468" s="5" t="s">
        <v>144</v>
      </c>
      <c r="D1468" s="5" t="n">
        <v>12</v>
      </c>
      <c r="E1468" s="13" t="n">
        <v>1.65</v>
      </c>
      <c r="F1468" s="14" t="n">
        <f aca="false">E1468*Assumptions!$D$6</f>
        <v>246.884979163092</v>
      </c>
      <c r="G1468" s="14" t="n">
        <v>380</v>
      </c>
      <c r="H1468" s="14" t="n">
        <v>500</v>
      </c>
      <c r="I1468" s="14" t="n">
        <f aca="false">F1468-(G1468+H1468)/2</f>
        <v>-193.115020836908</v>
      </c>
      <c r="J1468" s="5" t="str">
        <f aca="false">IF(D1468&lt;8,"LOW SAMPLE",IF(F1468&gt;H1468*(1+Assumptions!$B$10),"UNDERPAID",IF(F1468&lt;G1468*(1-Assumptions!$B$10),"OVERPAID","FAIR")))</f>
        <v>OVERPAID</v>
      </c>
      <c r="K1468" s="5" t="n">
        <v>95</v>
      </c>
    </row>
    <row r="1469" customFormat="false" ht="15" hidden="false" customHeight="false" outlineLevel="0" collapsed="false">
      <c r="A1469" s="5" t="n">
        <v>2023</v>
      </c>
      <c r="B1469" s="5" t="s">
        <v>146</v>
      </c>
      <c r="C1469" s="5" t="s">
        <v>741</v>
      </c>
      <c r="D1469" s="5" t="n">
        <v>15</v>
      </c>
      <c r="E1469" s="13" t="n">
        <v>2.32</v>
      </c>
      <c r="F1469" s="14" t="n">
        <f aca="false">E1469*Assumptions!$D$6</f>
        <v>347.135243429318</v>
      </c>
      <c r="G1469" s="14" t="n">
        <v>250</v>
      </c>
      <c r="H1469" s="14" t="n">
        <v>380</v>
      </c>
      <c r="I1469" s="14" t="n">
        <f aca="false">F1469-(G1469+H1469)/2</f>
        <v>32.1352434293177</v>
      </c>
      <c r="J1469" s="5" t="str">
        <f aca="false">IF(D1469&lt;8,"LOW SAMPLE",IF(F1469&gt;H1469*(1+Assumptions!$B$10),"UNDERPAID",IF(F1469&lt;G1469*(1-Assumptions!$B$10),"OVERPAID","FAIR")))</f>
        <v>FAIR</v>
      </c>
      <c r="K1469" s="5" t="n">
        <v>9</v>
      </c>
    </row>
    <row r="1470" customFormat="false" ht="15" hidden="false" customHeight="false" outlineLevel="0" collapsed="false">
      <c r="A1470" s="5" t="n">
        <v>2023</v>
      </c>
      <c r="B1470" s="5" t="s">
        <v>146</v>
      </c>
      <c r="C1470" s="5" t="s">
        <v>148</v>
      </c>
      <c r="D1470" s="5" t="n">
        <v>25</v>
      </c>
      <c r="E1470" s="13" t="n">
        <v>3.27</v>
      </c>
      <c r="F1470" s="14" t="n">
        <f aca="false">E1470*Assumptions!$D$6</f>
        <v>489.281140523219</v>
      </c>
      <c r="G1470" s="14" t="n">
        <v>380</v>
      </c>
      <c r="H1470" s="14" t="n">
        <v>500</v>
      </c>
      <c r="I1470" s="14" t="n">
        <f aca="false">F1470-(G1470+H1470)/2</f>
        <v>49.2811405232195</v>
      </c>
      <c r="J1470" s="5" t="str">
        <f aca="false">IF(D1470&lt;8,"LOW SAMPLE",IF(F1470&gt;H1470*(1+Assumptions!$B$10),"UNDERPAID",IF(F1470&lt;G1470*(1-Assumptions!$B$10),"OVERPAID","FAIR")))</f>
        <v>FAIR</v>
      </c>
      <c r="K1470" s="5" t="n">
        <v>35</v>
      </c>
    </row>
    <row r="1471" customFormat="false" ht="15" hidden="false" customHeight="false" outlineLevel="0" collapsed="false">
      <c r="A1471" s="5" t="n">
        <v>2023</v>
      </c>
      <c r="B1471" s="5" t="s">
        <v>146</v>
      </c>
      <c r="C1471" s="5" t="s">
        <v>39</v>
      </c>
      <c r="D1471" s="5" t="n">
        <v>16</v>
      </c>
      <c r="E1471" s="13" t="n">
        <v>2.67</v>
      </c>
      <c r="F1471" s="14" t="n">
        <f aca="false">E1471*Assumptions!$D$6</f>
        <v>399.504784463913</v>
      </c>
      <c r="G1471" s="14" t="n">
        <v>140</v>
      </c>
      <c r="H1471" s="14" t="n">
        <v>250</v>
      </c>
      <c r="I1471" s="14" t="n">
        <f aca="false">F1471-(G1471+H1471)/2</f>
        <v>204.504784463913</v>
      </c>
      <c r="J1471" s="5" t="str">
        <f aca="false">IF(D1471&lt;8,"LOW SAMPLE",IF(F1471&gt;H1471*(1+Assumptions!$B$10),"UNDERPAID",IF(F1471&lt;G1471*(1-Assumptions!$B$10),"OVERPAID","FAIR")))</f>
        <v>UNDERPAID</v>
      </c>
      <c r="K1471" s="5" t="n">
        <v>24</v>
      </c>
    </row>
    <row r="1472" customFormat="false" ht="15" hidden="false" customHeight="false" outlineLevel="0" collapsed="false">
      <c r="A1472" s="5" t="n">
        <v>2023</v>
      </c>
      <c r="B1472" s="5" t="s">
        <v>146</v>
      </c>
      <c r="C1472" s="5" t="s">
        <v>266</v>
      </c>
      <c r="D1472" s="5" t="n">
        <v>24</v>
      </c>
      <c r="E1472" s="13" t="n">
        <v>3.68</v>
      </c>
      <c r="F1472" s="14" t="n">
        <f aca="false">E1472*Assumptions!$D$6</f>
        <v>550.628317163746</v>
      </c>
      <c r="G1472" s="14" t="n">
        <v>250</v>
      </c>
      <c r="H1472" s="14" t="n">
        <v>380</v>
      </c>
      <c r="I1472" s="14" t="n">
        <f aca="false">F1472-(G1472+H1472)/2</f>
        <v>235.628317163745</v>
      </c>
      <c r="J1472" s="5" t="str">
        <f aca="false">IF(D1472&lt;8,"LOW SAMPLE",IF(F1472&gt;H1472*(1+Assumptions!$B$10),"UNDERPAID",IF(F1472&lt;G1472*(1-Assumptions!$B$10),"OVERPAID","FAIR")))</f>
        <v>UNDERPAID</v>
      </c>
      <c r="K1472" s="5" t="n">
        <v>41</v>
      </c>
    </row>
    <row r="1473" customFormat="false" ht="15" hidden="false" customHeight="false" outlineLevel="0" collapsed="false">
      <c r="A1473" s="5" t="n">
        <v>2023</v>
      </c>
      <c r="B1473" s="5" t="s">
        <v>146</v>
      </c>
      <c r="C1473" s="5" t="s">
        <v>149</v>
      </c>
      <c r="D1473" s="5" t="n">
        <v>25</v>
      </c>
      <c r="E1473" s="13" t="n">
        <v>4.8</v>
      </c>
      <c r="F1473" s="14" t="n">
        <f aca="false">E1473*Assumptions!$D$6</f>
        <v>718.210848474451</v>
      </c>
      <c r="G1473" s="14" t="n">
        <v>680</v>
      </c>
      <c r="H1473" s="14" t="n">
        <v>950</v>
      </c>
      <c r="I1473" s="14" t="n">
        <f aca="false">F1473-(G1473+H1473)/2</f>
        <v>-96.7891515255495</v>
      </c>
      <c r="J1473" s="5" t="str">
        <f aca="false">IF(D1473&lt;8,"LOW SAMPLE",IF(F1473&gt;H1473*(1+Assumptions!$B$10),"UNDERPAID",IF(F1473&lt;G1473*(1-Assumptions!$B$10),"OVERPAID","FAIR")))</f>
        <v>FAIR</v>
      </c>
      <c r="K1473" s="5" t="n">
        <v>161</v>
      </c>
    </row>
    <row r="1474" customFormat="false" ht="15" hidden="false" customHeight="false" outlineLevel="0" collapsed="false">
      <c r="A1474" s="5" t="n">
        <v>2023</v>
      </c>
      <c r="B1474" s="5" t="s">
        <v>146</v>
      </c>
      <c r="C1474" s="5" t="s">
        <v>152</v>
      </c>
      <c r="D1474" s="5" t="n">
        <v>24</v>
      </c>
      <c r="E1474" s="13" t="n">
        <v>4.73</v>
      </c>
      <c r="F1474" s="14" t="n">
        <f aca="false">E1474*Assumptions!$D$6</f>
        <v>707.736940267532</v>
      </c>
      <c r="G1474" s="14" t="n">
        <v>500</v>
      </c>
      <c r="H1474" s="14" t="n">
        <v>680</v>
      </c>
      <c r="I1474" s="14" t="n">
        <f aca="false">F1474-(G1474+H1474)/2</f>
        <v>117.736940267532</v>
      </c>
      <c r="J1474" s="5" t="str">
        <f aca="false">IF(D1474&lt;8,"LOW SAMPLE",IF(F1474&gt;H1474*(1+Assumptions!$B$10),"UNDERPAID",IF(F1474&lt;G1474*(1-Assumptions!$B$10),"OVERPAID","FAIR")))</f>
        <v>FAIR</v>
      </c>
      <c r="K1474" s="5" t="n">
        <v>102</v>
      </c>
    </row>
    <row r="1475" customFormat="false" ht="15" hidden="false" customHeight="false" outlineLevel="0" collapsed="false">
      <c r="A1475" s="5" t="n">
        <v>2023</v>
      </c>
      <c r="B1475" s="5" t="s">
        <v>146</v>
      </c>
      <c r="C1475" s="5" t="s">
        <v>78</v>
      </c>
      <c r="D1475" s="5" t="n">
        <v>14</v>
      </c>
      <c r="E1475" s="13" t="n">
        <v>2.54</v>
      </c>
      <c r="F1475" s="14" t="n">
        <f aca="false">E1475*Assumptions!$D$6</f>
        <v>380.053240651063</v>
      </c>
      <c r="G1475" s="14" t="n">
        <v>500</v>
      </c>
      <c r="H1475" s="14" t="n">
        <v>680</v>
      </c>
      <c r="I1475" s="14" t="n">
        <f aca="false">F1475-(G1475+H1475)/2</f>
        <v>-209.946759348937</v>
      </c>
      <c r="J1475" s="5" t="str">
        <f aca="false">IF(D1475&lt;8,"LOW SAMPLE",IF(F1475&gt;H1475*(1+Assumptions!$B$10),"UNDERPAID",IF(F1475&lt;G1475*(1-Assumptions!$B$10),"OVERPAID","FAIR")))</f>
        <v>OVERPAID</v>
      </c>
      <c r="K1475" s="5" t="n">
        <v>152</v>
      </c>
    </row>
    <row r="1476" customFormat="false" ht="15" hidden="false" customHeight="false" outlineLevel="0" collapsed="false">
      <c r="A1476" s="5" t="n">
        <v>2023</v>
      </c>
      <c r="B1476" s="5" t="s">
        <v>146</v>
      </c>
      <c r="C1476" s="5" t="s">
        <v>156</v>
      </c>
      <c r="D1476" s="5" t="n">
        <v>19</v>
      </c>
      <c r="E1476" s="13" t="n">
        <v>3.74</v>
      </c>
      <c r="F1476" s="14" t="n">
        <f aca="false">E1476*Assumptions!$D$6</f>
        <v>559.605952769676</v>
      </c>
      <c r="G1476" s="14" t="n">
        <v>500</v>
      </c>
      <c r="H1476" s="14" t="n">
        <v>680</v>
      </c>
      <c r="I1476" s="14" t="n">
        <f aca="false">F1476-(G1476+H1476)/2</f>
        <v>-30.394047230324</v>
      </c>
      <c r="J1476" s="5" t="str">
        <f aca="false">IF(D1476&lt;8,"LOW SAMPLE",IF(F1476&gt;H1476*(1+Assumptions!$B$10),"UNDERPAID",IF(F1476&lt;G1476*(1-Assumptions!$B$10),"OVERPAID","FAIR")))</f>
        <v>FAIR</v>
      </c>
      <c r="K1476" s="5" t="n">
        <v>53</v>
      </c>
    </row>
    <row r="1477" customFormat="false" ht="15" hidden="false" customHeight="false" outlineLevel="0" collapsed="false">
      <c r="A1477" s="5" t="n">
        <v>2023</v>
      </c>
      <c r="B1477" s="5" t="s">
        <v>146</v>
      </c>
      <c r="C1477" s="5" t="s">
        <v>157</v>
      </c>
      <c r="D1477" s="5" t="n">
        <v>24</v>
      </c>
      <c r="E1477" s="13" t="n">
        <v>5.9</v>
      </c>
      <c r="F1477" s="14" t="n">
        <f aca="false">E1477*Assumptions!$D$6</f>
        <v>882.800834583179</v>
      </c>
      <c r="G1477" s="14" t="n">
        <v>500</v>
      </c>
      <c r="H1477" s="14" t="n">
        <v>680</v>
      </c>
      <c r="I1477" s="14" t="n">
        <f aca="false">F1477-(G1477+H1477)/2</f>
        <v>292.800834583179</v>
      </c>
      <c r="J1477" s="5" t="str">
        <f aca="false">IF(D1477&lt;8,"LOW SAMPLE",IF(F1477&gt;H1477*(1+Assumptions!$B$10),"UNDERPAID",IF(F1477&lt;G1477*(1-Assumptions!$B$10),"OVERPAID","FAIR")))</f>
        <v>UNDERPAID</v>
      </c>
      <c r="K1477" s="5" t="n">
        <v>126</v>
      </c>
    </row>
    <row r="1478" customFormat="false" ht="15" hidden="false" customHeight="false" outlineLevel="0" collapsed="false">
      <c r="A1478" s="5" t="n">
        <v>2023</v>
      </c>
      <c r="B1478" s="5" t="s">
        <v>146</v>
      </c>
      <c r="C1478" s="5" t="s">
        <v>158</v>
      </c>
      <c r="D1478" s="5" t="n">
        <v>1</v>
      </c>
      <c r="E1478" s="13" t="n">
        <v>0.08</v>
      </c>
      <c r="F1478" s="14" t="n">
        <f aca="false">E1478*Assumptions!$D$6</f>
        <v>11.9701808079075</v>
      </c>
      <c r="G1478" s="14" t="n">
        <v>140</v>
      </c>
      <c r="H1478" s="14" t="n">
        <v>250</v>
      </c>
      <c r="I1478" s="14" t="n">
        <f aca="false">F1478-(G1478+H1478)/2</f>
        <v>-183.029819192093</v>
      </c>
      <c r="J1478" s="5" t="str">
        <f aca="false">IF(D1478&lt;8,"LOW SAMPLE",IF(F1478&gt;H1478*(1+Assumptions!$B$10),"UNDERPAID",IF(F1478&lt;G1478*(1-Assumptions!$B$10),"OVERPAID","FAIR")))</f>
        <v>LOW SAMPLE</v>
      </c>
      <c r="K1478" s="5" t="n">
        <v>11</v>
      </c>
    </row>
    <row r="1479" customFormat="false" ht="15" hidden="false" customHeight="false" outlineLevel="0" collapsed="false">
      <c r="A1479" s="5" t="n">
        <v>2023</v>
      </c>
      <c r="B1479" s="5" t="s">
        <v>146</v>
      </c>
      <c r="C1479" s="5" t="s">
        <v>838</v>
      </c>
      <c r="D1479" s="5" t="n">
        <v>4</v>
      </c>
      <c r="E1479" s="13" t="n">
        <v>0.4</v>
      </c>
      <c r="F1479" s="14" t="n">
        <f aca="false">E1479*Assumptions!$D$6</f>
        <v>59.8509040395376</v>
      </c>
      <c r="G1479" s="14" t="n">
        <v>250</v>
      </c>
      <c r="H1479" s="14" t="n">
        <v>380</v>
      </c>
      <c r="I1479" s="14" t="n">
        <f aca="false">F1479-(G1479+H1479)/2</f>
        <v>-255.149095960462</v>
      </c>
      <c r="J1479" s="5" t="str">
        <f aca="false">IF(D1479&lt;8,"LOW SAMPLE",IF(F1479&gt;H1479*(1+Assumptions!$B$10),"UNDERPAID",IF(F1479&lt;G1479*(1-Assumptions!$B$10),"OVERPAID","FAIR")))</f>
        <v>LOW SAMPLE</v>
      </c>
      <c r="K1479" s="5" t="n">
        <v>0</v>
      </c>
    </row>
    <row r="1480" customFormat="false" ht="15" hidden="false" customHeight="false" outlineLevel="0" collapsed="false">
      <c r="A1480" s="5" t="n">
        <v>2023</v>
      </c>
      <c r="B1480" s="5" t="s">
        <v>146</v>
      </c>
      <c r="C1480" s="5" t="s">
        <v>159</v>
      </c>
      <c r="D1480" s="5" t="n">
        <v>26</v>
      </c>
      <c r="E1480" s="13" t="n">
        <v>4.35</v>
      </c>
      <c r="F1480" s="14" t="n">
        <f aca="false">E1480*Assumptions!$D$6</f>
        <v>650.878581429971</v>
      </c>
      <c r="G1480" s="14" t="n">
        <v>380</v>
      </c>
      <c r="H1480" s="14" t="n">
        <v>500</v>
      </c>
      <c r="I1480" s="14" t="n">
        <f aca="false">F1480-(G1480+H1480)/2</f>
        <v>210.878581429971</v>
      </c>
      <c r="J1480" s="5" t="str">
        <f aca="false">IF(D1480&lt;8,"LOW SAMPLE",IF(F1480&gt;H1480*(1+Assumptions!$B$10),"UNDERPAID",IF(F1480&lt;G1480*(1-Assumptions!$B$10),"OVERPAID","FAIR")))</f>
        <v>UNDERPAID</v>
      </c>
      <c r="K1480" s="5" t="n">
        <v>59</v>
      </c>
    </row>
    <row r="1481" customFormat="false" ht="15" hidden="false" customHeight="false" outlineLevel="0" collapsed="false">
      <c r="A1481" s="5" t="n">
        <v>2023</v>
      </c>
      <c r="B1481" s="5" t="s">
        <v>146</v>
      </c>
      <c r="C1481" s="5" t="s">
        <v>160</v>
      </c>
      <c r="D1481" s="5" t="n">
        <v>26</v>
      </c>
      <c r="E1481" s="13" t="n">
        <v>5.22</v>
      </c>
      <c r="F1481" s="14" t="n">
        <f aca="false">E1481*Assumptions!$D$6</f>
        <v>781.054297715965</v>
      </c>
      <c r="G1481" s="14" t="n">
        <v>950</v>
      </c>
      <c r="H1481" s="14" t="n">
        <v>1300</v>
      </c>
      <c r="I1481" s="14" t="n">
        <f aca="false">F1481-(G1481+H1481)/2</f>
        <v>-343.945702284035</v>
      </c>
      <c r="J1481" s="5" t="str">
        <f aca="false">IF(D1481&lt;8,"LOW SAMPLE",IF(F1481&gt;H1481*(1+Assumptions!$B$10),"UNDERPAID",IF(F1481&lt;G1481*(1-Assumptions!$B$10),"OVERPAID","FAIR")))</f>
        <v>OVERPAID</v>
      </c>
      <c r="K1481" s="5" t="n">
        <v>182</v>
      </c>
    </row>
    <row r="1482" customFormat="false" ht="15" hidden="false" customHeight="false" outlineLevel="0" collapsed="false">
      <c r="A1482" s="5" t="n">
        <v>2023</v>
      </c>
      <c r="B1482" s="5" t="s">
        <v>146</v>
      </c>
      <c r="C1482" s="5" t="s">
        <v>161</v>
      </c>
      <c r="D1482" s="5" t="n">
        <v>14</v>
      </c>
      <c r="E1482" s="13" t="n">
        <v>1.7</v>
      </c>
      <c r="F1482" s="14" t="n">
        <f aca="false">E1482*Assumptions!$D$6</f>
        <v>254.366342168035</v>
      </c>
      <c r="G1482" s="14" t="n">
        <v>380</v>
      </c>
      <c r="H1482" s="14" t="n">
        <v>500</v>
      </c>
      <c r="I1482" s="14" t="n">
        <f aca="false">F1482-(G1482+H1482)/2</f>
        <v>-185.633657831965</v>
      </c>
      <c r="J1482" s="5" t="str">
        <f aca="false">IF(D1482&lt;8,"LOW SAMPLE",IF(F1482&gt;H1482*(1+Assumptions!$B$10),"UNDERPAID",IF(F1482&lt;G1482*(1-Assumptions!$B$10),"OVERPAID","FAIR")))</f>
        <v>OVERPAID</v>
      </c>
      <c r="K1482" s="5" t="n">
        <v>28</v>
      </c>
    </row>
    <row r="1483" customFormat="false" ht="15" hidden="false" customHeight="false" outlineLevel="0" collapsed="false">
      <c r="A1483" s="5" t="n">
        <v>2023</v>
      </c>
      <c r="B1483" s="5" t="s">
        <v>146</v>
      </c>
      <c r="C1483" s="5" t="s">
        <v>839</v>
      </c>
      <c r="D1483" s="5" t="n">
        <v>1</v>
      </c>
      <c r="E1483" s="13" t="n">
        <v>0.03</v>
      </c>
      <c r="F1483" s="14" t="n">
        <f aca="false">E1483*Assumptions!$D$6</f>
        <v>4.48881780296532</v>
      </c>
      <c r="G1483" s="14" t="n">
        <v>250</v>
      </c>
      <c r="H1483" s="14" t="n">
        <v>380</v>
      </c>
      <c r="I1483" s="14" t="n">
        <f aca="false">F1483-(G1483+H1483)/2</f>
        <v>-310.511182197035</v>
      </c>
      <c r="J1483" s="5" t="str">
        <f aca="false">IF(D1483&lt;8,"LOW SAMPLE",IF(F1483&gt;H1483*(1+Assumptions!$B$10),"UNDERPAID",IF(F1483&lt;G1483*(1-Assumptions!$B$10),"OVERPAID","FAIR")))</f>
        <v>LOW SAMPLE</v>
      </c>
      <c r="K1483" s="5" t="n">
        <v>0</v>
      </c>
    </row>
    <row r="1484" customFormat="false" ht="15" hidden="false" customHeight="false" outlineLevel="0" collapsed="false">
      <c r="A1484" s="5" t="n">
        <v>2023</v>
      </c>
      <c r="B1484" s="5" t="s">
        <v>146</v>
      </c>
      <c r="C1484" s="5" t="s">
        <v>163</v>
      </c>
      <c r="D1484" s="5" t="n">
        <v>24</v>
      </c>
      <c r="E1484" s="13" t="n">
        <v>4.64</v>
      </c>
      <c r="F1484" s="14" t="n">
        <f aca="false">E1484*Assumptions!$D$6</f>
        <v>694.270486858635</v>
      </c>
      <c r="G1484" s="14" t="n">
        <v>500</v>
      </c>
      <c r="H1484" s="14" t="n">
        <v>680</v>
      </c>
      <c r="I1484" s="14" t="n">
        <f aca="false">F1484-(G1484+H1484)/2</f>
        <v>104.270486858635</v>
      </c>
      <c r="J1484" s="5" t="str">
        <f aca="false">IF(D1484&lt;8,"LOW SAMPLE",IF(F1484&gt;H1484*(1+Assumptions!$B$10),"UNDERPAID",IF(F1484&lt;G1484*(1-Assumptions!$B$10),"OVERPAID","FAIR")))</f>
        <v>FAIR</v>
      </c>
      <c r="K1484" s="5" t="n">
        <v>103</v>
      </c>
    </row>
    <row r="1485" customFormat="false" ht="15" hidden="false" customHeight="false" outlineLevel="0" collapsed="false">
      <c r="A1485" s="5" t="n">
        <v>2023</v>
      </c>
      <c r="B1485" s="5" t="s">
        <v>146</v>
      </c>
      <c r="C1485" s="5" t="s">
        <v>165</v>
      </c>
      <c r="D1485" s="5" t="n">
        <v>14</v>
      </c>
      <c r="E1485" s="13" t="n">
        <v>2.53</v>
      </c>
      <c r="F1485" s="14" t="n">
        <f aca="false">E1485*Assumptions!$D$6</f>
        <v>378.556968050075</v>
      </c>
      <c r="G1485" s="14" t="n">
        <v>380</v>
      </c>
      <c r="H1485" s="14" t="n">
        <v>500</v>
      </c>
      <c r="I1485" s="14" t="n">
        <f aca="false">F1485-(G1485+H1485)/2</f>
        <v>-61.4430319499251</v>
      </c>
      <c r="J1485" s="5" t="str">
        <f aca="false">IF(D1485&lt;8,"LOW SAMPLE",IF(F1485&gt;H1485*(1+Assumptions!$B$10),"UNDERPAID",IF(F1485&lt;G1485*(1-Assumptions!$B$10),"OVERPAID","FAIR")))</f>
        <v>FAIR</v>
      </c>
      <c r="K1485" s="5" t="n">
        <v>141</v>
      </c>
    </row>
    <row r="1486" customFormat="false" ht="15" hidden="false" customHeight="false" outlineLevel="0" collapsed="false">
      <c r="A1486" s="5" t="n">
        <v>2023</v>
      </c>
      <c r="B1486" s="5" t="s">
        <v>146</v>
      </c>
      <c r="C1486" s="5" t="s">
        <v>166</v>
      </c>
      <c r="D1486" s="5" t="n">
        <v>23</v>
      </c>
      <c r="E1486" s="13" t="n">
        <v>4.03</v>
      </c>
      <c r="F1486" s="14" t="n">
        <f aca="false">E1486*Assumptions!$D$6</f>
        <v>602.997858198341</v>
      </c>
      <c r="G1486" s="14" t="n">
        <v>380</v>
      </c>
      <c r="H1486" s="14" t="n">
        <v>500</v>
      </c>
      <c r="I1486" s="14" t="n">
        <f aca="false">F1486-(G1486+H1486)/2</f>
        <v>162.997858198341</v>
      </c>
      <c r="J1486" s="5" t="str">
        <f aca="false">IF(D1486&lt;8,"LOW SAMPLE",IF(F1486&gt;H1486*(1+Assumptions!$B$10),"UNDERPAID",IF(F1486&lt;G1486*(1-Assumptions!$B$10),"OVERPAID","FAIR")))</f>
        <v>UNDERPAID</v>
      </c>
      <c r="K1486" s="5" t="n">
        <v>69</v>
      </c>
    </row>
    <row r="1487" customFormat="false" ht="15" hidden="false" customHeight="false" outlineLevel="0" collapsed="false">
      <c r="A1487" s="5" t="n">
        <v>2023</v>
      </c>
      <c r="B1487" s="5" t="s">
        <v>146</v>
      </c>
      <c r="C1487" s="5" t="s">
        <v>168</v>
      </c>
      <c r="D1487" s="5" t="n">
        <v>21</v>
      </c>
      <c r="E1487" s="13" t="n">
        <v>5.27</v>
      </c>
      <c r="F1487" s="14" t="n">
        <f aca="false">E1487*Assumptions!$D$6</f>
        <v>788.535660720907</v>
      </c>
      <c r="G1487" s="14" t="n">
        <v>500</v>
      </c>
      <c r="H1487" s="14" t="n">
        <v>680</v>
      </c>
      <c r="I1487" s="14" t="n">
        <f aca="false">F1487-(G1487+H1487)/2</f>
        <v>198.535660720907</v>
      </c>
      <c r="J1487" s="5" t="str">
        <f aca="false">IF(D1487&lt;8,"LOW SAMPLE",IF(F1487&gt;H1487*(1+Assumptions!$B$10),"UNDERPAID",IF(F1487&lt;G1487*(1-Assumptions!$B$10),"OVERPAID","FAIR")))</f>
        <v>UNDERPAID</v>
      </c>
      <c r="K1487" s="5" t="n">
        <v>137</v>
      </c>
    </row>
    <row r="1488" customFormat="false" ht="15" hidden="false" customHeight="false" outlineLevel="0" collapsed="false">
      <c r="A1488" s="5" t="n">
        <v>2023</v>
      </c>
      <c r="B1488" s="5" t="s">
        <v>146</v>
      </c>
      <c r="C1488" s="5" t="s">
        <v>743</v>
      </c>
      <c r="D1488" s="5" t="n">
        <v>1</v>
      </c>
      <c r="E1488" s="13" t="n">
        <v>0.04</v>
      </c>
      <c r="F1488" s="14" t="n">
        <f aca="false">E1488*Assumptions!$D$6</f>
        <v>5.98509040395375</v>
      </c>
      <c r="G1488" s="14" t="n">
        <v>140</v>
      </c>
      <c r="H1488" s="14" t="n">
        <v>250</v>
      </c>
      <c r="I1488" s="14" t="n">
        <f aca="false">F1488-(G1488+H1488)/2</f>
        <v>-189.014909596046</v>
      </c>
      <c r="J1488" s="5" t="str">
        <f aca="false">IF(D1488&lt;8,"LOW SAMPLE",IF(F1488&gt;H1488*(1+Assumptions!$B$10),"UNDERPAID",IF(F1488&lt;G1488*(1-Assumptions!$B$10),"OVERPAID","FAIR")))</f>
        <v>LOW SAMPLE</v>
      </c>
      <c r="K1488" s="5" t="n">
        <v>7</v>
      </c>
    </row>
    <row r="1489" customFormat="false" ht="15" hidden="false" customHeight="false" outlineLevel="0" collapsed="false">
      <c r="A1489" s="5" t="n">
        <v>2023</v>
      </c>
      <c r="B1489" s="5" t="s">
        <v>146</v>
      </c>
      <c r="C1489" s="5" t="s">
        <v>169</v>
      </c>
      <c r="D1489" s="5" t="n">
        <v>26</v>
      </c>
      <c r="E1489" s="13" t="n">
        <v>5.01</v>
      </c>
      <c r="F1489" s="14" t="n">
        <f aca="false">E1489*Assumptions!$D$6</f>
        <v>749.632573095208</v>
      </c>
      <c r="G1489" s="14" t="n">
        <v>500</v>
      </c>
      <c r="H1489" s="14" t="n">
        <v>680</v>
      </c>
      <c r="I1489" s="14" t="n">
        <f aca="false">F1489-(G1489+H1489)/2</f>
        <v>159.632573095208</v>
      </c>
      <c r="J1489" s="5" t="str">
        <f aca="false">IF(D1489&lt;8,"LOW SAMPLE",IF(F1489&gt;H1489*(1+Assumptions!$B$10),"UNDERPAID",IF(F1489&lt;G1489*(1-Assumptions!$B$10),"OVERPAID","FAIR")))</f>
        <v>FAIR</v>
      </c>
      <c r="K1489" s="5" t="n">
        <v>77</v>
      </c>
    </row>
    <row r="1490" customFormat="false" ht="15" hidden="false" customHeight="false" outlineLevel="0" collapsed="false">
      <c r="A1490" s="5" t="n">
        <v>2023</v>
      </c>
      <c r="B1490" s="5" t="s">
        <v>146</v>
      </c>
      <c r="C1490" s="5" t="s">
        <v>173</v>
      </c>
      <c r="D1490" s="5" t="n">
        <v>19</v>
      </c>
      <c r="E1490" s="13" t="n">
        <v>3.58</v>
      </c>
      <c r="F1490" s="14" t="n">
        <f aca="false">E1490*Assumptions!$D$6</f>
        <v>535.665591153861</v>
      </c>
      <c r="G1490" s="14" t="n">
        <v>380</v>
      </c>
      <c r="H1490" s="14" t="n">
        <v>500</v>
      </c>
      <c r="I1490" s="14" t="n">
        <f aca="false">F1490-(G1490+H1490)/2</f>
        <v>95.665591153861</v>
      </c>
      <c r="J1490" s="5" t="str">
        <f aca="false">IF(D1490&lt;8,"LOW SAMPLE",IF(F1490&gt;H1490*(1+Assumptions!$B$10),"UNDERPAID",IF(F1490&lt;G1490*(1-Assumptions!$B$10),"OVERPAID","FAIR")))</f>
        <v>FAIR</v>
      </c>
      <c r="K1490" s="5" t="n">
        <v>94</v>
      </c>
    </row>
    <row r="1491" customFormat="false" ht="15" hidden="false" customHeight="false" outlineLevel="0" collapsed="false">
      <c r="A1491" s="5" t="n">
        <v>2023</v>
      </c>
      <c r="B1491" s="5" t="s">
        <v>146</v>
      </c>
      <c r="C1491" s="5" t="s">
        <v>326</v>
      </c>
      <c r="D1491" s="5" t="n">
        <v>2</v>
      </c>
      <c r="E1491" s="13" t="n">
        <v>0.06</v>
      </c>
      <c r="F1491" s="14" t="n">
        <f aca="false">E1491*Assumptions!$D$6</f>
        <v>8.97763560593063</v>
      </c>
      <c r="G1491" s="14" t="n">
        <v>140</v>
      </c>
      <c r="H1491" s="14" t="n">
        <v>250</v>
      </c>
      <c r="I1491" s="14" t="n">
        <f aca="false">F1491-(G1491+H1491)/2</f>
        <v>-186.022364394069</v>
      </c>
      <c r="J1491" s="5" t="str">
        <f aca="false">IF(D1491&lt;8,"LOW SAMPLE",IF(F1491&gt;H1491*(1+Assumptions!$B$10),"UNDERPAID",IF(F1491&lt;G1491*(1-Assumptions!$B$10),"OVERPAID","FAIR")))</f>
        <v>LOW SAMPLE</v>
      </c>
      <c r="K1491" s="5" t="n">
        <v>7</v>
      </c>
    </row>
    <row r="1492" customFormat="false" ht="15" hidden="false" customHeight="false" outlineLevel="0" collapsed="false">
      <c r="A1492" s="5" t="n">
        <v>2023</v>
      </c>
      <c r="B1492" s="5" t="s">
        <v>146</v>
      </c>
      <c r="C1492" s="5" t="s">
        <v>175</v>
      </c>
      <c r="D1492" s="5" t="n">
        <v>24</v>
      </c>
      <c r="E1492" s="13" t="n">
        <v>3.87</v>
      </c>
      <c r="F1492" s="14" t="n">
        <f aca="false">E1492*Assumptions!$D$6</f>
        <v>579.057496582526</v>
      </c>
      <c r="G1492" s="14" t="n">
        <v>250</v>
      </c>
      <c r="H1492" s="14" t="n">
        <v>380</v>
      </c>
      <c r="I1492" s="14" t="n">
        <f aca="false">F1492-(G1492+H1492)/2</f>
        <v>264.057496582526</v>
      </c>
      <c r="J1492" s="5" t="str">
        <f aca="false">IF(D1492&lt;8,"LOW SAMPLE",IF(F1492&gt;H1492*(1+Assumptions!$B$10),"UNDERPAID",IF(F1492&lt;G1492*(1-Assumptions!$B$10),"OVERPAID","FAIR")))</f>
        <v>UNDERPAID</v>
      </c>
      <c r="K1492" s="5" t="n">
        <v>33</v>
      </c>
    </row>
    <row r="1493" customFormat="false" ht="15" hidden="false" customHeight="false" outlineLevel="0" collapsed="false">
      <c r="A1493" s="5" t="n">
        <v>2023</v>
      </c>
      <c r="B1493" s="5" t="s">
        <v>146</v>
      </c>
      <c r="C1493" s="5" t="s">
        <v>744</v>
      </c>
      <c r="D1493" s="5" t="n">
        <v>22</v>
      </c>
      <c r="E1493" s="13" t="n">
        <v>5.67</v>
      </c>
      <c r="F1493" s="14" t="n">
        <f aca="false">E1493*Assumptions!$D$6</f>
        <v>848.386564760445</v>
      </c>
      <c r="G1493" s="14" t="n">
        <v>500</v>
      </c>
      <c r="H1493" s="14" t="n">
        <v>680</v>
      </c>
      <c r="I1493" s="14" t="n">
        <f aca="false">F1493-(G1493+H1493)/2</f>
        <v>258.386564760445</v>
      </c>
      <c r="J1493" s="5" t="str">
        <f aca="false">IF(D1493&lt;8,"LOW SAMPLE",IF(F1493&gt;H1493*(1+Assumptions!$B$10),"UNDERPAID",IF(F1493&lt;G1493*(1-Assumptions!$B$10),"OVERPAID","FAIR")))</f>
        <v>UNDERPAID</v>
      </c>
      <c r="K1493" s="5" t="n">
        <v>25</v>
      </c>
    </row>
    <row r="1494" customFormat="false" ht="15" hidden="false" customHeight="false" outlineLevel="0" collapsed="false">
      <c r="A1494" s="5" t="n">
        <v>2023</v>
      </c>
      <c r="B1494" s="5" t="s">
        <v>146</v>
      </c>
      <c r="C1494" s="5" t="s">
        <v>368</v>
      </c>
      <c r="D1494" s="5" t="n">
        <v>23</v>
      </c>
      <c r="E1494" s="13" t="n">
        <v>2.54</v>
      </c>
      <c r="F1494" s="14" t="n">
        <f aca="false">E1494*Assumptions!$D$6</f>
        <v>380.053240651063</v>
      </c>
      <c r="G1494" s="14" t="n">
        <v>250</v>
      </c>
      <c r="H1494" s="14" t="n">
        <v>380</v>
      </c>
      <c r="I1494" s="14" t="n">
        <f aca="false">F1494-(G1494+H1494)/2</f>
        <v>65.0532406510634</v>
      </c>
      <c r="J1494" s="5" t="str">
        <f aca="false">IF(D1494&lt;8,"LOW SAMPLE",IF(F1494&gt;H1494*(1+Assumptions!$B$10),"UNDERPAID",IF(F1494&lt;G1494*(1-Assumptions!$B$10),"OVERPAID","FAIR")))</f>
        <v>FAIR</v>
      </c>
      <c r="K1494" s="5" t="n">
        <v>51</v>
      </c>
    </row>
    <row r="1495" customFormat="false" ht="15" hidden="false" customHeight="false" outlineLevel="0" collapsed="false">
      <c r="A1495" s="5" t="n">
        <v>2023</v>
      </c>
      <c r="B1495" s="5" t="s">
        <v>146</v>
      </c>
      <c r="C1495" s="5" t="s">
        <v>711</v>
      </c>
      <c r="D1495" s="5" t="n">
        <v>14</v>
      </c>
      <c r="E1495" s="13" t="n">
        <v>2.22</v>
      </c>
      <c r="F1495" s="14" t="n">
        <f aca="false">E1495*Assumptions!$D$6</f>
        <v>332.172517419433</v>
      </c>
      <c r="G1495" s="14" t="n">
        <v>380</v>
      </c>
      <c r="H1495" s="14" t="n">
        <v>500</v>
      </c>
      <c r="I1495" s="14" t="n">
        <f aca="false">F1495-(G1495+H1495)/2</f>
        <v>-107.827482580567</v>
      </c>
      <c r="J1495" s="5" t="str">
        <f aca="false">IF(D1495&lt;8,"LOW SAMPLE",IF(F1495&gt;H1495*(1+Assumptions!$B$10),"UNDERPAID",IF(F1495&lt;G1495*(1-Assumptions!$B$10),"OVERPAID","FAIR")))</f>
        <v>FAIR</v>
      </c>
      <c r="K1495" s="5" t="n">
        <v>81</v>
      </c>
    </row>
    <row r="1496" customFormat="false" ht="15" hidden="false" customHeight="false" outlineLevel="0" collapsed="false">
      <c r="A1496" s="5" t="n">
        <v>2023</v>
      </c>
      <c r="B1496" s="5" t="s">
        <v>146</v>
      </c>
      <c r="C1496" s="5" t="s">
        <v>745</v>
      </c>
      <c r="D1496" s="5" t="n">
        <v>5</v>
      </c>
      <c r="E1496" s="13" t="n">
        <v>0.32</v>
      </c>
      <c r="F1496" s="14" t="n">
        <f aca="false">E1496*Assumptions!$D$6</f>
        <v>47.88072323163</v>
      </c>
      <c r="G1496" s="14" t="n">
        <v>140</v>
      </c>
      <c r="H1496" s="14" t="n">
        <v>250</v>
      </c>
      <c r="I1496" s="14" t="n">
        <f aca="false">F1496-(G1496+H1496)/2</f>
        <v>-147.11927676837</v>
      </c>
      <c r="J1496" s="5" t="str">
        <f aca="false">IF(D1496&lt;8,"LOW SAMPLE",IF(F1496&gt;H1496*(1+Assumptions!$B$10),"UNDERPAID",IF(F1496&lt;G1496*(1-Assumptions!$B$10),"OVERPAID","FAIR")))</f>
        <v>LOW SAMPLE</v>
      </c>
      <c r="K1496" s="5" t="n">
        <v>6</v>
      </c>
    </row>
    <row r="1497" customFormat="false" ht="15" hidden="false" customHeight="false" outlineLevel="0" collapsed="false">
      <c r="A1497" s="5" t="n">
        <v>2023</v>
      </c>
      <c r="B1497" s="5" t="s">
        <v>146</v>
      </c>
      <c r="C1497" s="5" t="s">
        <v>177</v>
      </c>
      <c r="D1497" s="5" t="n">
        <v>25</v>
      </c>
      <c r="E1497" s="13" t="n">
        <v>5.21</v>
      </c>
      <c r="F1497" s="14" t="n">
        <f aca="false">E1497*Assumptions!$D$6</f>
        <v>779.558025114977</v>
      </c>
      <c r="G1497" s="14" t="n">
        <v>680</v>
      </c>
      <c r="H1497" s="14" t="n">
        <v>950</v>
      </c>
      <c r="I1497" s="14" t="n">
        <f aca="false">F1497-(G1497+H1497)/2</f>
        <v>-35.4419748850235</v>
      </c>
      <c r="J1497" s="5" t="str">
        <f aca="false">IF(D1497&lt;8,"LOW SAMPLE",IF(F1497&gt;H1497*(1+Assumptions!$B$10),"UNDERPAID",IF(F1497&lt;G1497*(1-Assumptions!$B$10),"OVERPAID","FAIR")))</f>
        <v>FAIR</v>
      </c>
      <c r="K1497" s="5" t="n">
        <v>166</v>
      </c>
    </row>
    <row r="1498" customFormat="false" ht="15" hidden="false" customHeight="false" outlineLevel="0" collapsed="false">
      <c r="A1498" s="5" t="n">
        <v>2023</v>
      </c>
      <c r="B1498" s="5" t="s">
        <v>146</v>
      </c>
      <c r="C1498" s="5" t="s">
        <v>178</v>
      </c>
      <c r="D1498" s="5" t="n">
        <v>20</v>
      </c>
      <c r="E1498" s="13" t="n">
        <v>3.89</v>
      </c>
      <c r="F1498" s="14" t="n">
        <f aca="false">E1498*Assumptions!$D$6</f>
        <v>582.050041784503</v>
      </c>
      <c r="G1498" s="14" t="n">
        <v>500</v>
      </c>
      <c r="H1498" s="14" t="n">
        <v>680</v>
      </c>
      <c r="I1498" s="14" t="n">
        <f aca="false">F1498-(G1498+H1498)/2</f>
        <v>-7.9499582154973</v>
      </c>
      <c r="J1498" s="5" t="str">
        <f aca="false">IF(D1498&lt;8,"LOW SAMPLE",IF(F1498&gt;H1498*(1+Assumptions!$B$10),"UNDERPAID",IF(F1498&lt;G1498*(1-Assumptions!$B$10),"OVERPAID","FAIR")))</f>
        <v>FAIR</v>
      </c>
      <c r="K1498" s="5" t="n">
        <v>162</v>
      </c>
    </row>
    <row r="1499" customFormat="false" ht="15" hidden="false" customHeight="false" outlineLevel="0" collapsed="false">
      <c r="A1499" s="5" t="n">
        <v>2023</v>
      </c>
      <c r="B1499" s="5" t="s">
        <v>146</v>
      </c>
      <c r="C1499" s="5" t="s">
        <v>179</v>
      </c>
      <c r="D1499" s="5" t="n">
        <v>23</v>
      </c>
      <c r="E1499" s="13" t="n">
        <v>4.66</v>
      </c>
      <c r="F1499" s="14" t="n">
        <f aca="false">E1499*Assumptions!$D$6</f>
        <v>697.263032060612</v>
      </c>
      <c r="G1499" s="14" t="n">
        <v>500</v>
      </c>
      <c r="H1499" s="14" t="n">
        <v>680</v>
      </c>
      <c r="I1499" s="14" t="n">
        <f aca="false">F1499-(G1499+H1499)/2</f>
        <v>107.263032060612</v>
      </c>
      <c r="J1499" s="5" t="str">
        <f aca="false">IF(D1499&lt;8,"LOW SAMPLE",IF(F1499&gt;H1499*(1+Assumptions!$B$10),"UNDERPAID",IF(F1499&lt;G1499*(1-Assumptions!$B$10),"OVERPAID","FAIR")))</f>
        <v>FAIR</v>
      </c>
      <c r="K1499" s="5" t="n">
        <v>140</v>
      </c>
    </row>
    <row r="1500" customFormat="false" ht="15" hidden="false" customHeight="false" outlineLevel="0" collapsed="false">
      <c r="A1500" s="5" t="n">
        <v>2023</v>
      </c>
      <c r="B1500" s="5" t="s">
        <v>146</v>
      </c>
      <c r="C1500" s="5" t="s">
        <v>413</v>
      </c>
      <c r="D1500" s="5" t="n">
        <v>26</v>
      </c>
      <c r="E1500" s="13" t="n">
        <v>5.6</v>
      </c>
      <c r="F1500" s="14" t="n">
        <f aca="false">E1500*Assumptions!$D$6</f>
        <v>837.912656553526</v>
      </c>
      <c r="G1500" s="14" t="n">
        <v>680</v>
      </c>
      <c r="H1500" s="14" t="n">
        <v>950</v>
      </c>
      <c r="I1500" s="14" t="n">
        <f aca="false">F1500-(G1500+H1500)/2</f>
        <v>22.9126565535256</v>
      </c>
      <c r="J1500" s="5" t="str">
        <f aca="false">IF(D1500&lt;8,"LOW SAMPLE",IF(F1500&gt;H1500*(1+Assumptions!$B$10),"UNDERPAID",IF(F1500&lt;G1500*(1-Assumptions!$B$10),"OVERPAID","FAIR")))</f>
        <v>FAIR</v>
      </c>
      <c r="K1500" s="5" t="n">
        <v>151</v>
      </c>
    </row>
    <row r="1501" customFormat="false" ht="15" hidden="false" customHeight="false" outlineLevel="0" collapsed="false">
      <c r="A1501" s="5" t="n">
        <v>2023</v>
      </c>
      <c r="B1501" s="5" t="s">
        <v>146</v>
      </c>
      <c r="C1501" s="5" t="s">
        <v>180</v>
      </c>
      <c r="D1501" s="5" t="n">
        <v>1</v>
      </c>
      <c r="E1501" s="13" t="n">
        <v>0.03</v>
      </c>
      <c r="F1501" s="14" t="n">
        <f aca="false">E1501*Assumptions!$D$6</f>
        <v>4.48881780296532</v>
      </c>
      <c r="G1501" s="14" t="n">
        <v>140</v>
      </c>
      <c r="H1501" s="14" t="n">
        <v>250</v>
      </c>
      <c r="I1501" s="14" t="n">
        <f aca="false">F1501-(G1501+H1501)/2</f>
        <v>-190.511182197035</v>
      </c>
      <c r="J1501" s="5" t="str">
        <f aca="false">IF(D1501&lt;8,"LOW SAMPLE",IF(F1501&gt;H1501*(1+Assumptions!$B$10),"UNDERPAID",IF(F1501&lt;G1501*(1-Assumptions!$B$10),"OVERPAID","FAIR")))</f>
        <v>LOW SAMPLE</v>
      </c>
      <c r="K1501" s="5" t="n">
        <v>7</v>
      </c>
    </row>
    <row r="1502" customFormat="false" ht="15" hidden="false" customHeight="false" outlineLevel="0" collapsed="false">
      <c r="A1502" s="5" t="n">
        <v>2023</v>
      </c>
      <c r="B1502" s="5" t="s">
        <v>146</v>
      </c>
      <c r="C1502" s="5" t="s">
        <v>181</v>
      </c>
      <c r="D1502" s="5" t="n">
        <v>1</v>
      </c>
      <c r="E1502" s="13" t="n">
        <v>0.07</v>
      </c>
      <c r="F1502" s="14" t="n">
        <f aca="false">E1502*Assumptions!$D$6</f>
        <v>10.4739082069191</v>
      </c>
      <c r="G1502" s="14" t="n">
        <v>140</v>
      </c>
      <c r="H1502" s="14" t="n">
        <v>250</v>
      </c>
      <c r="I1502" s="14" t="n">
        <f aca="false">F1502-(G1502+H1502)/2</f>
        <v>-184.526091793081</v>
      </c>
      <c r="J1502" s="5" t="str">
        <f aca="false">IF(D1502&lt;8,"LOW SAMPLE",IF(F1502&gt;H1502*(1+Assumptions!$B$10),"UNDERPAID",IF(F1502&lt;G1502*(1-Assumptions!$B$10),"OVERPAID","FAIR")))</f>
        <v>LOW SAMPLE</v>
      </c>
      <c r="K1502" s="5" t="n">
        <v>22</v>
      </c>
    </row>
    <row r="1503" customFormat="false" ht="15" hidden="false" customHeight="false" outlineLevel="0" collapsed="false">
      <c r="A1503" s="5" t="n">
        <v>2023</v>
      </c>
      <c r="B1503" s="5" t="s">
        <v>146</v>
      </c>
      <c r="C1503" s="5" t="s">
        <v>182</v>
      </c>
      <c r="D1503" s="5" t="n">
        <v>1</v>
      </c>
      <c r="E1503" s="13" t="n">
        <v>0.23</v>
      </c>
      <c r="F1503" s="14" t="n">
        <f aca="false">E1503*Assumptions!$D$6</f>
        <v>34.4142698227341</v>
      </c>
      <c r="G1503" s="14" t="n">
        <v>140</v>
      </c>
      <c r="H1503" s="14" t="n">
        <v>250</v>
      </c>
      <c r="I1503" s="14" t="n">
        <f aca="false">F1503-(G1503+H1503)/2</f>
        <v>-160.585730177266</v>
      </c>
      <c r="J1503" s="5" t="str">
        <f aca="false">IF(D1503&lt;8,"LOW SAMPLE",IF(F1503&gt;H1503*(1+Assumptions!$B$10),"UNDERPAID",IF(F1503&lt;G1503*(1-Assumptions!$B$10),"OVERPAID","FAIR")))</f>
        <v>LOW SAMPLE</v>
      </c>
      <c r="K1503" s="5" t="n">
        <v>17</v>
      </c>
    </row>
    <row r="1504" customFormat="false" ht="15" hidden="false" customHeight="false" outlineLevel="0" collapsed="false">
      <c r="A1504" s="5" t="n">
        <v>2023</v>
      </c>
      <c r="B1504" s="5" t="s">
        <v>146</v>
      </c>
      <c r="C1504" s="5" t="s">
        <v>184</v>
      </c>
      <c r="D1504" s="5" t="n">
        <v>23</v>
      </c>
      <c r="E1504" s="13" t="n">
        <v>3</v>
      </c>
      <c r="F1504" s="14" t="n">
        <f aca="false">E1504*Assumptions!$D$6</f>
        <v>448.881780296532</v>
      </c>
      <c r="G1504" s="14" t="n">
        <v>380</v>
      </c>
      <c r="H1504" s="14" t="n">
        <v>500</v>
      </c>
      <c r="I1504" s="14" t="n">
        <f aca="false">F1504-(G1504+H1504)/2</f>
        <v>8.88178029653159</v>
      </c>
      <c r="J1504" s="5" t="str">
        <f aca="false">IF(D1504&lt;8,"LOW SAMPLE",IF(F1504&gt;H1504*(1+Assumptions!$B$10),"UNDERPAID",IF(F1504&lt;G1504*(1-Assumptions!$B$10),"OVERPAID","FAIR")))</f>
        <v>FAIR</v>
      </c>
      <c r="K1504" s="5" t="n">
        <v>142</v>
      </c>
    </row>
    <row r="1505" customFormat="false" ht="15" hidden="false" customHeight="false" outlineLevel="0" collapsed="false">
      <c r="A1505" s="5" t="n">
        <v>2023</v>
      </c>
      <c r="B1505" s="5" t="s">
        <v>146</v>
      </c>
      <c r="C1505" s="5" t="s">
        <v>185</v>
      </c>
      <c r="D1505" s="5" t="n">
        <v>2</v>
      </c>
      <c r="E1505" s="13" t="n">
        <v>0.1</v>
      </c>
      <c r="F1505" s="14" t="n">
        <f aca="false">E1505*Assumptions!$D$6</f>
        <v>14.9627260098844</v>
      </c>
      <c r="G1505" s="14" t="n">
        <v>140</v>
      </c>
      <c r="H1505" s="14" t="n">
        <v>250</v>
      </c>
      <c r="I1505" s="14" t="n">
        <f aca="false">F1505-(G1505+H1505)/2</f>
        <v>-180.037273990116</v>
      </c>
      <c r="J1505" s="5" t="str">
        <f aca="false">IF(D1505&lt;8,"LOW SAMPLE",IF(F1505&gt;H1505*(1+Assumptions!$B$10),"UNDERPAID",IF(F1505&lt;G1505*(1-Assumptions!$B$10),"OVERPAID","FAIR")))</f>
        <v>LOW SAMPLE</v>
      </c>
      <c r="K1505" s="5" t="n">
        <v>3</v>
      </c>
    </row>
    <row r="1506" customFormat="false" ht="15" hidden="false" customHeight="false" outlineLevel="0" collapsed="false">
      <c r="A1506" s="5" t="n">
        <v>2023</v>
      </c>
      <c r="B1506" s="5" t="s">
        <v>186</v>
      </c>
      <c r="C1506" s="5" t="s">
        <v>840</v>
      </c>
      <c r="D1506" s="5" t="n">
        <v>10</v>
      </c>
      <c r="E1506" s="13" t="n">
        <v>0.98</v>
      </c>
      <c r="F1506" s="14" t="n">
        <f aca="false">E1506*Assumptions!$D$6</f>
        <v>146.634714896867</v>
      </c>
      <c r="G1506" s="14" t="n">
        <v>250</v>
      </c>
      <c r="H1506" s="14" t="n">
        <v>380</v>
      </c>
      <c r="I1506" s="14" t="n">
        <f aca="false">F1506-(G1506+H1506)/2</f>
        <v>-168.365285103133</v>
      </c>
      <c r="J1506" s="5" t="str">
        <f aca="false">IF(D1506&lt;8,"LOW SAMPLE",IF(F1506&gt;H1506*(1+Assumptions!$B$10),"UNDERPAID",IF(F1506&lt;G1506*(1-Assumptions!$B$10),"OVERPAID","FAIR")))</f>
        <v>OVERPAID</v>
      </c>
      <c r="K1506" s="5" t="n">
        <v>0</v>
      </c>
    </row>
    <row r="1507" customFormat="false" ht="15" hidden="false" customHeight="false" outlineLevel="0" collapsed="false">
      <c r="A1507" s="5" t="n">
        <v>2023</v>
      </c>
      <c r="B1507" s="5" t="s">
        <v>186</v>
      </c>
      <c r="C1507" s="5" t="s">
        <v>189</v>
      </c>
      <c r="D1507" s="5" t="n">
        <v>23</v>
      </c>
      <c r="E1507" s="13" t="n">
        <v>4.11</v>
      </c>
      <c r="F1507" s="14" t="n">
        <f aca="false">E1507*Assumptions!$D$6</f>
        <v>614.968039006248</v>
      </c>
      <c r="G1507" s="14" t="n">
        <v>500</v>
      </c>
      <c r="H1507" s="14" t="n">
        <v>680</v>
      </c>
      <c r="I1507" s="14" t="n">
        <f aca="false">F1507-(G1507+H1507)/2</f>
        <v>24.9680390062483</v>
      </c>
      <c r="J1507" s="5" t="str">
        <f aca="false">IF(D1507&lt;8,"LOW SAMPLE",IF(F1507&gt;H1507*(1+Assumptions!$B$10),"UNDERPAID",IF(F1507&lt;G1507*(1-Assumptions!$B$10),"OVERPAID","FAIR")))</f>
        <v>FAIR</v>
      </c>
      <c r="K1507" s="5" t="n">
        <v>111</v>
      </c>
    </row>
    <row r="1508" customFormat="false" ht="15" hidden="false" customHeight="false" outlineLevel="0" collapsed="false">
      <c r="A1508" s="5" t="n">
        <v>2023</v>
      </c>
      <c r="B1508" s="5" t="s">
        <v>186</v>
      </c>
      <c r="C1508" s="5" t="s">
        <v>190</v>
      </c>
      <c r="D1508" s="5" t="n">
        <v>20</v>
      </c>
      <c r="E1508" s="13" t="n">
        <v>3.48</v>
      </c>
      <c r="F1508" s="14" t="n">
        <f aca="false">E1508*Assumptions!$D$6</f>
        <v>520.702865143977</v>
      </c>
      <c r="G1508" s="14" t="n">
        <v>250</v>
      </c>
      <c r="H1508" s="14" t="n">
        <v>380</v>
      </c>
      <c r="I1508" s="14" t="n">
        <f aca="false">F1508-(G1508+H1508)/2</f>
        <v>205.702865143977</v>
      </c>
      <c r="J1508" s="5" t="str">
        <f aca="false">IF(D1508&lt;8,"LOW SAMPLE",IF(F1508&gt;H1508*(1+Assumptions!$B$10),"UNDERPAID",IF(F1508&lt;G1508*(1-Assumptions!$B$10),"OVERPAID","FAIR")))</f>
        <v>UNDERPAID</v>
      </c>
      <c r="K1508" s="5" t="n">
        <v>52</v>
      </c>
    </row>
    <row r="1509" customFormat="false" ht="15" hidden="false" customHeight="false" outlineLevel="0" collapsed="false">
      <c r="A1509" s="5" t="n">
        <v>2023</v>
      </c>
      <c r="B1509" s="5" t="s">
        <v>186</v>
      </c>
      <c r="C1509" s="5" t="s">
        <v>191</v>
      </c>
      <c r="D1509" s="5" t="n">
        <v>7</v>
      </c>
      <c r="E1509" s="13" t="n">
        <v>0.71</v>
      </c>
      <c r="F1509" s="14" t="n">
        <f aca="false">E1509*Assumptions!$D$6</f>
        <v>106.235354670179</v>
      </c>
      <c r="G1509" s="14" t="n">
        <v>500</v>
      </c>
      <c r="H1509" s="14" t="n">
        <v>680</v>
      </c>
      <c r="I1509" s="14" t="n">
        <f aca="false">F1509-(G1509+H1509)/2</f>
        <v>-483.764645329821</v>
      </c>
      <c r="J1509" s="5" t="str">
        <f aca="false">IF(D1509&lt;8,"LOW SAMPLE",IF(F1509&gt;H1509*(1+Assumptions!$B$10),"UNDERPAID",IF(F1509&lt;G1509*(1-Assumptions!$B$10),"OVERPAID","FAIR")))</f>
        <v>LOW SAMPLE</v>
      </c>
      <c r="K1509" s="5" t="n">
        <v>126</v>
      </c>
    </row>
    <row r="1510" customFormat="false" ht="15" hidden="false" customHeight="false" outlineLevel="0" collapsed="false">
      <c r="A1510" s="5" t="n">
        <v>2023</v>
      </c>
      <c r="B1510" s="5" t="s">
        <v>186</v>
      </c>
      <c r="C1510" s="5" t="s">
        <v>192</v>
      </c>
      <c r="D1510" s="5" t="n">
        <v>23</v>
      </c>
      <c r="E1510" s="13" t="n">
        <v>4.09</v>
      </c>
      <c r="F1510" s="14" t="n">
        <f aca="false">E1510*Assumptions!$D$6</f>
        <v>611.975493804271</v>
      </c>
      <c r="G1510" s="14" t="n">
        <v>380</v>
      </c>
      <c r="H1510" s="14" t="n">
        <v>500</v>
      </c>
      <c r="I1510" s="14" t="n">
        <f aca="false">F1510-(G1510+H1510)/2</f>
        <v>171.975493804271</v>
      </c>
      <c r="J1510" s="5" t="str">
        <f aca="false">IF(D1510&lt;8,"LOW SAMPLE",IF(F1510&gt;H1510*(1+Assumptions!$B$10),"UNDERPAID",IF(F1510&lt;G1510*(1-Assumptions!$B$10),"OVERPAID","FAIR")))</f>
        <v>UNDERPAID</v>
      </c>
      <c r="K1510" s="5" t="n">
        <v>39</v>
      </c>
    </row>
    <row r="1511" customFormat="false" ht="15" hidden="false" customHeight="false" outlineLevel="0" collapsed="false">
      <c r="A1511" s="5" t="n">
        <v>2023</v>
      </c>
      <c r="B1511" s="5" t="s">
        <v>186</v>
      </c>
      <c r="C1511" s="5" t="s">
        <v>747</v>
      </c>
      <c r="D1511" s="5" t="n">
        <v>18</v>
      </c>
      <c r="E1511" s="13" t="n">
        <v>3.4</v>
      </c>
      <c r="F1511" s="14" t="n">
        <f aca="false">E1511*Assumptions!$D$6</f>
        <v>508.732684336069</v>
      </c>
      <c r="G1511" s="14" t="n">
        <v>380</v>
      </c>
      <c r="H1511" s="14" t="n">
        <v>500</v>
      </c>
      <c r="I1511" s="14" t="n">
        <f aca="false">F1511-(G1511+H1511)/2</f>
        <v>68.7326843360691</v>
      </c>
      <c r="J1511" s="5" t="str">
        <f aca="false">IF(D1511&lt;8,"LOW SAMPLE",IF(F1511&gt;H1511*(1+Assumptions!$B$10),"UNDERPAID",IF(F1511&lt;G1511*(1-Assumptions!$B$10),"OVERPAID","FAIR")))</f>
        <v>FAIR</v>
      </c>
      <c r="K1511" s="5" t="n">
        <v>17</v>
      </c>
    </row>
    <row r="1512" customFormat="false" ht="15" hidden="false" customHeight="false" outlineLevel="0" collapsed="false">
      <c r="A1512" s="5" t="n">
        <v>2023</v>
      </c>
      <c r="B1512" s="5" t="s">
        <v>186</v>
      </c>
      <c r="C1512" s="5" t="s">
        <v>193</v>
      </c>
      <c r="D1512" s="5" t="n">
        <v>22</v>
      </c>
      <c r="E1512" s="13" t="n">
        <v>3.58</v>
      </c>
      <c r="F1512" s="14" t="n">
        <f aca="false">E1512*Assumptions!$D$6</f>
        <v>535.665591153861</v>
      </c>
      <c r="G1512" s="14" t="n">
        <v>140</v>
      </c>
      <c r="H1512" s="14" t="n">
        <v>250</v>
      </c>
      <c r="I1512" s="14" t="n">
        <f aca="false">F1512-(G1512+H1512)/2</f>
        <v>340.665591153861</v>
      </c>
      <c r="J1512" s="5" t="str">
        <f aca="false">IF(D1512&lt;8,"LOW SAMPLE",IF(F1512&gt;H1512*(1+Assumptions!$B$10),"UNDERPAID",IF(F1512&lt;G1512*(1-Assumptions!$B$10),"OVERPAID","FAIR")))</f>
        <v>UNDERPAID</v>
      </c>
      <c r="K1512" s="5" t="n">
        <v>29</v>
      </c>
    </row>
    <row r="1513" customFormat="false" ht="15" hidden="false" customHeight="false" outlineLevel="0" collapsed="false">
      <c r="A1513" s="5" t="n">
        <v>2023</v>
      </c>
      <c r="B1513" s="5" t="s">
        <v>186</v>
      </c>
      <c r="C1513" s="5" t="s">
        <v>196</v>
      </c>
      <c r="D1513" s="5" t="n">
        <v>18</v>
      </c>
      <c r="E1513" s="13" t="n">
        <v>5.48</v>
      </c>
      <c r="F1513" s="14" t="n">
        <f aca="false">E1513*Assumptions!$D$6</f>
        <v>819.957385341665</v>
      </c>
      <c r="G1513" s="14" t="n">
        <v>680</v>
      </c>
      <c r="H1513" s="14" t="n">
        <v>950</v>
      </c>
      <c r="I1513" s="14" t="n">
        <f aca="false">F1513-(G1513+H1513)/2</f>
        <v>4.95738534166446</v>
      </c>
      <c r="J1513" s="5" t="str">
        <f aca="false">IF(D1513&lt;8,"LOW SAMPLE",IF(F1513&gt;H1513*(1+Assumptions!$B$10),"UNDERPAID",IF(F1513&lt;G1513*(1-Assumptions!$B$10),"OVERPAID","FAIR")))</f>
        <v>FAIR</v>
      </c>
      <c r="K1513" s="5" t="n">
        <v>132</v>
      </c>
    </row>
    <row r="1514" customFormat="false" ht="15" hidden="false" customHeight="false" outlineLevel="0" collapsed="false">
      <c r="A1514" s="5" t="n">
        <v>2023</v>
      </c>
      <c r="B1514" s="5" t="s">
        <v>186</v>
      </c>
      <c r="C1514" s="5" t="s">
        <v>200</v>
      </c>
      <c r="D1514" s="5" t="n">
        <v>12</v>
      </c>
      <c r="E1514" s="13" t="n">
        <v>2.36</v>
      </c>
      <c r="F1514" s="14" t="n">
        <f aca="false">E1514*Assumptions!$D$6</f>
        <v>353.120333833272</v>
      </c>
      <c r="G1514" s="14" t="n">
        <v>500</v>
      </c>
      <c r="H1514" s="14" t="n">
        <v>680</v>
      </c>
      <c r="I1514" s="14" t="n">
        <f aca="false">F1514-(G1514+H1514)/2</f>
        <v>-236.879666166729</v>
      </c>
      <c r="J1514" s="5" t="str">
        <f aca="false">IF(D1514&lt;8,"LOW SAMPLE",IF(F1514&gt;H1514*(1+Assumptions!$B$10),"UNDERPAID",IF(F1514&lt;G1514*(1-Assumptions!$B$10),"OVERPAID","FAIR")))</f>
        <v>OVERPAID</v>
      </c>
      <c r="K1514" s="5" t="n">
        <v>149</v>
      </c>
    </row>
    <row r="1515" customFormat="false" ht="15" hidden="false" customHeight="false" outlineLevel="0" collapsed="false">
      <c r="A1515" s="5" t="n">
        <v>2023</v>
      </c>
      <c r="B1515" s="5" t="s">
        <v>186</v>
      </c>
      <c r="C1515" s="5" t="s">
        <v>201</v>
      </c>
      <c r="D1515" s="5" t="n">
        <v>22</v>
      </c>
      <c r="E1515" s="13" t="n">
        <v>3.34</v>
      </c>
      <c r="F1515" s="14" t="n">
        <f aca="false">E1515*Assumptions!$D$6</f>
        <v>499.755048730138</v>
      </c>
      <c r="G1515" s="14" t="n">
        <v>380</v>
      </c>
      <c r="H1515" s="14" t="n">
        <v>500</v>
      </c>
      <c r="I1515" s="14" t="n">
        <f aca="false">F1515-(G1515+H1515)/2</f>
        <v>59.7550487301385</v>
      </c>
      <c r="J1515" s="5" t="str">
        <f aca="false">IF(D1515&lt;8,"LOW SAMPLE",IF(F1515&gt;H1515*(1+Assumptions!$B$10),"UNDERPAID",IF(F1515&lt;G1515*(1-Assumptions!$B$10),"OVERPAID","FAIR")))</f>
        <v>FAIR</v>
      </c>
      <c r="K1515" s="5" t="n">
        <v>129</v>
      </c>
    </row>
    <row r="1516" customFormat="false" ht="15" hidden="false" customHeight="false" outlineLevel="0" collapsed="false">
      <c r="A1516" s="5" t="n">
        <v>2023</v>
      </c>
      <c r="B1516" s="5" t="s">
        <v>186</v>
      </c>
      <c r="C1516" s="5" t="s">
        <v>841</v>
      </c>
      <c r="D1516" s="5" t="n">
        <v>4</v>
      </c>
      <c r="E1516" s="13" t="n">
        <v>0.43</v>
      </c>
      <c r="F1516" s="14" t="n">
        <f aca="false">E1516*Assumptions!$D$6</f>
        <v>64.3397218425029</v>
      </c>
      <c r="G1516" s="14" t="n">
        <v>250</v>
      </c>
      <c r="H1516" s="14" t="n">
        <v>380</v>
      </c>
      <c r="I1516" s="14" t="n">
        <f aca="false">F1516-(G1516+H1516)/2</f>
        <v>-250.660278157497</v>
      </c>
      <c r="J1516" s="5" t="str">
        <f aca="false">IF(D1516&lt;8,"LOW SAMPLE",IF(F1516&gt;H1516*(1+Assumptions!$B$10),"UNDERPAID",IF(F1516&lt;G1516*(1-Assumptions!$B$10),"OVERPAID","FAIR")))</f>
        <v>LOW SAMPLE</v>
      </c>
      <c r="K1516" s="5" t="n">
        <v>0</v>
      </c>
    </row>
    <row r="1517" customFormat="false" ht="15" hidden="false" customHeight="false" outlineLevel="0" collapsed="false">
      <c r="A1517" s="5" t="n">
        <v>2023</v>
      </c>
      <c r="B1517" s="5" t="s">
        <v>186</v>
      </c>
      <c r="C1517" s="5" t="s">
        <v>202</v>
      </c>
      <c r="D1517" s="5" t="n">
        <v>5</v>
      </c>
      <c r="E1517" s="13" t="n">
        <v>0.64</v>
      </c>
      <c r="F1517" s="14" t="n">
        <f aca="false">E1517*Assumptions!$D$6</f>
        <v>95.7614464632601</v>
      </c>
      <c r="G1517" s="14" t="n">
        <v>250</v>
      </c>
      <c r="H1517" s="14" t="n">
        <v>380</v>
      </c>
      <c r="I1517" s="14" t="n">
        <f aca="false">F1517-(G1517+H1517)/2</f>
        <v>-219.23855353674</v>
      </c>
      <c r="J1517" s="5" t="str">
        <f aca="false">IF(D1517&lt;8,"LOW SAMPLE",IF(F1517&gt;H1517*(1+Assumptions!$B$10),"UNDERPAID",IF(F1517&lt;G1517*(1-Assumptions!$B$10),"OVERPAID","FAIR")))</f>
        <v>LOW SAMPLE</v>
      </c>
      <c r="K1517" s="5" t="n">
        <v>27</v>
      </c>
    </row>
    <row r="1518" customFormat="false" ht="15" hidden="false" customHeight="false" outlineLevel="0" collapsed="false">
      <c r="A1518" s="5" t="n">
        <v>2023</v>
      </c>
      <c r="B1518" s="5" t="s">
        <v>186</v>
      </c>
      <c r="C1518" s="5" t="s">
        <v>48</v>
      </c>
      <c r="D1518" s="5" t="n">
        <v>17</v>
      </c>
      <c r="E1518" s="13" t="n">
        <v>1.98</v>
      </c>
      <c r="F1518" s="14" t="n">
        <f aca="false">E1518*Assumptions!$D$6</f>
        <v>296.261974995711</v>
      </c>
      <c r="G1518" s="14" t="n">
        <v>380</v>
      </c>
      <c r="H1518" s="14" t="n">
        <v>500</v>
      </c>
      <c r="I1518" s="14" t="n">
        <f aca="false">F1518-(G1518+H1518)/2</f>
        <v>-143.738025004289</v>
      </c>
      <c r="J1518" s="5" t="str">
        <f aca="false">IF(D1518&lt;8,"LOW SAMPLE",IF(F1518&gt;H1518*(1+Assumptions!$B$10),"UNDERPAID",IF(F1518&lt;G1518*(1-Assumptions!$B$10),"OVERPAID","FAIR")))</f>
        <v>OVERPAID</v>
      </c>
      <c r="K1518" s="5" t="n">
        <v>131</v>
      </c>
    </row>
    <row r="1519" customFormat="false" ht="15" hidden="false" customHeight="false" outlineLevel="0" collapsed="false">
      <c r="A1519" s="5" t="n">
        <v>2023</v>
      </c>
      <c r="B1519" s="5" t="s">
        <v>186</v>
      </c>
      <c r="C1519" s="5" t="s">
        <v>203</v>
      </c>
      <c r="D1519" s="5" t="n">
        <v>17</v>
      </c>
      <c r="E1519" s="13" t="n">
        <v>3.66</v>
      </c>
      <c r="F1519" s="14" t="n">
        <f aca="false">E1519*Assumptions!$D$6</f>
        <v>547.635771961769</v>
      </c>
      <c r="G1519" s="14" t="n">
        <v>500</v>
      </c>
      <c r="H1519" s="14" t="n">
        <v>680</v>
      </c>
      <c r="I1519" s="14" t="n">
        <f aca="false">F1519-(G1519+H1519)/2</f>
        <v>-42.3642280382314</v>
      </c>
      <c r="J1519" s="5" t="str">
        <f aca="false">IF(D1519&lt;8,"LOW SAMPLE",IF(F1519&gt;H1519*(1+Assumptions!$B$10),"UNDERPAID",IF(F1519&lt;G1519*(1-Assumptions!$B$10),"OVERPAID","FAIR")))</f>
        <v>FAIR</v>
      </c>
      <c r="K1519" s="5" t="n">
        <v>144</v>
      </c>
    </row>
    <row r="1520" customFormat="false" ht="15" hidden="false" customHeight="false" outlineLevel="0" collapsed="false">
      <c r="A1520" s="5" t="n">
        <v>2023</v>
      </c>
      <c r="B1520" s="5" t="s">
        <v>186</v>
      </c>
      <c r="C1520" s="5" t="s">
        <v>205</v>
      </c>
      <c r="D1520" s="5" t="n">
        <v>19</v>
      </c>
      <c r="E1520" s="13" t="n">
        <v>2.93</v>
      </c>
      <c r="F1520" s="14" t="n">
        <f aca="false">E1520*Assumptions!$D$6</f>
        <v>438.407872089613</v>
      </c>
      <c r="G1520" s="14" t="n">
        <v>380</v>
      </c>
      <c r="H1520" s="14" t="n">
        <v>500</v>
      </c>
      <c r="I1520" s="14" t="n">
        <f aca="false">F1520-(G1520+H1520)/2</f>
        <v>-1.59212791038743</v>
      </c>
      <c r="J1520" s="5" t="str">
        <f aca="false">IF(D1520&lt;8,"LOW SAMPLE",IF(F1520&gt;H1520*(1+Assumptions!$B$10),"UNDERPAID",IF(F1520&lt;G1520*(1-Assumptions!$B$10),"OVERPAID","FAIR")))</f>
        <v>FAIR</v>
      </c>
      <c r="K1520" s="5" t="n">
        <v>91</v>
      </c>
    </row>
    <row r="1521" customFormat="false" ht="15" hidden="false" customHeight="false" outlineLevel="0" collapsed="false">
      <c r="A1521" s="5" t="n">
        <v>2023</v>
      </c>
      <c r="B1521" s="5" t="s">
        <v>186</v>
      </c>
      <c r="C1521" s="5" t="s">
        <v>206</v>
      </c>
      <c r="D1521" s="5" t="n">
        <v>17</v>
      </c>
      <c r="E1521" s="13" t="n">
        <v>3.12</v>
      </c>
      <c r="F1521" s="14" t="n">
        <f aca="false">E1521*Assumptions!$D$6</f>
        <v>466.837051508393</v>
      </c>
      <c r="G1521" s="14" t="n">
        <v>500</v>
      </c>
      <c r="H1521" s="14" t="n">
        <v>680</v>
      </c>
      <c r="I1521" s="14" t="n">
        <f aca="false">F1521-(G1521+H1521)/2</f>
        <v>-123.162948491607</v>
      </c>
      <c r="J1521" s="5" t="str">
        <f aca="false">IF(D1521&lt;8,"LOW SAMPLE",IF(F1521&gt;H1521*(1+Assumptions!$B$10),"UNDERPAID",IF(F1521&lt;G1521*(1-Assumptions!$B$10),"OVERPAID","FAIR")))</f>
        <v>FAIR</v>
      </c>
      <c r="K1521" s="5" t="n">
        <v>68</v>
      </c>
    </row>
    <row r="1522" customFormat="false" ht="15" hidden="false" customHeight="false" outlineLevel="0" collapsed="false">
      <c r="A1522" s="5" t="n">
        <v>2023</v>
      </c>
      <c r="B1522" s="5" t="s">
        <v>186</v>
      </c>
      <c r="C1522" s="5" t="s">
        <v>207</v>
      </c>
      <c r="D1522" s="5" t="n">
        <v>21</v>
      </c>
      <c r="E1522" s="13" t="n">
        <v>4.31</v>
      </c>
      <c r="F1522" s="14" t="n">
        <f aca="false">E1522*Assumptions!$D$6</f>
        <v>644.893491026017</v>
      </c>
      <c r="G1522" s="14" t="n">
        <v>380</v>
      </c>
      <c r="H1522" s="14" t="n">
        <v>500</v>
      </c>
      <c r="I1522" s="14" t="n">
        <f aca="false">F1522-(G1522+H1522)/2</f>
        <v>204.893491026017</v>
      </c>
      <c r="J1522" s="5" t="str">
        <f aca="false">IF(D1522&lt;8,"LOW SAMPLE",IF(F1522&gt;H1522*(1+Assumptions!$B$10),"UNDERPAID",IF(F1522&lt;G1522*(1-Assumptions!$B$10),"OVERPAID","FAIR")))</f>
        <v>UNDERPAID</v>
      </c>
      <c r="K1522" s="5" t="n">
        <v>34</v>
      </c>
    </row>
    <row r="1523" customFormat="false" ht="15" hidden="false" customHeight="false" outlineLevel="0" collapsed="false">
      <c r="A1523" s="5" t="n">
        <v>2023</v>
      </c>
      <c r="B1523" s="5" t="s">
        <v>186</v>
      </c>
      <c r="C1523" s="5" t="s">
        <v>748</v>
      </c>
      <c r="D1523" s="5" t="n">
        <v>21</v>
      </c>
      <c r="E1523" s="13" t="n">
        <v>2.81</v>
      </c>
      <c r="F1523" s="14" t="n">
        <f aca="false">E1523*Assumptions!$D$6</f>
        <v>420.452600877751</v>
      </c>
      <c r="G1523" s="14" t="n">
        <v>140</v>
      </c>
      <c r="H1523" s="14" t="n">
        <v>250</v>
      </c>
      <c r="I1523" s="14" t="n">
        <f aca="false">F1523-(G1523+H1523)/2</f>
        <v>225.452600877751</v>
      </c>
      <c r="J1523" s="5" t="str">
        <f aca="false">IF(D1523&lt;8,"LOW SAMPLE",IF(F1523&gt;H1523*(1+Assumptions!$B$10),"UNDERPAID",IF(F1523&lt;G1523*(1-Assumptions!$B$10),"OVERPAID","FAIR")))</f>
        <v>UNDERPAID</v>
      </c>
      <c r="K1523" s="5" t="n">
        <v>2</v>
      </c>
    </row>
    <row r="1524" customFormat="false" ht="15" hidden="false" customHeight="false" outlineLevel="0" collapsed="false">
      <c r="A1524" s="5" t="n">
        <v>2023</v>
      </c>
      <c r="B1524" s="5" t="s">
        <v>186</v>
      </c>
      <c r="C1524" s="5" t="s">
        <v>749</v>
      </c>
      <c r="D1524" s="5" t="n">
        <v>4</v>
      </c>
      <c r="E1524" s="13" t="n">
        <v>0.49</v>
      </c>
      <c r="F1524" s="14" t="n">
        <f aca="false">E1524*Assumptions!$D$6</f>
        <v>73.3173574484335</v>
      </c>
      <c r="G1524" s="14" t="n">
        <v>140</v>
      </c>
      <c r="H1524" s="14" t="n">
        <v>250</v>
      </c>
      <c r="I1524" s="14" t="n">
        <f aca="false">F1524-(G1524+H1524)/2</f>
        <v>-121.682642551567</v>
      </c>
      <c r="J1524" s="5" t="str">
        <f aca="false">IF(D1524&lt;8,"LOW SAMPLE",IF(F1524&gt;H1524*(1+Assumptions!$B$10),"UNDERPAID",IF(F1524&lt;G1524*(1-Assumptions!$B$10),"OVERPAID","FAIR")))</f>
        <v>LOW SAMPLE</v>
      </c>
      <c r="K1524" s="5" t="n">
        <v>4</v>
      </c>
    </row>
    <row r="1525" customFormat="false" ht="15" hidden="false" customHeight="false" outlineLevel="0" collapsed="false">
      <c r="A1525" s="5" t="n">
        <v>2023</v>
      </c>
      <c r="B1525" s="5" t="s">
        <v>186</v>
      </c>
      <c r="C1525" s="5" t="s">
        <v>208</v>
      </c>
      <c r="D1525" s="5" t="n">
        <v>23</v>
      </c>
      <c r="E1525" s="13" t="n">
        <v>5.77</v>
      </c>
      <c r="F1525" s="14" t="n">
        <f aca="false">E1525*Assumptions!$D$6</f>
        <v>863.349290770329</v>
      </c>
      <c r="G1525" s="14" t="n">
        <v>380</v>
      </c>
      <c r="H1525" s="14" t="n">
        <v>500</v>
      </c>
      <c r="I1525" s="14" t="n">
        <f aca="false">F1525-(G1525+H1525)/2</f>
        <v>423.349290770329</v>
      </c>
      <c r="J1525" s="5" t="str">
        <f aca="false">IF(D1525&lt;8,"LOW SAMPLE",IF(F1525&gt;H1525*(1+Assumptions!$B$10),"UNDERPAID",IF(F1525&lt;G1525*(1-Assumptions!$B$10),"OVERPAID","FAIR")))</f>
        <v>UNDERPAID</v>
      </c>
      <c r="K1525" s="5" t="n">
        <v>107</v>
      </c>
    </row>
    <row r="1526" customFormat="false" ht="15" hidden="false" customHeight="false" outlineLevel="0" collapsed="false">
      <c r="A1526" s="5" t="n">
        <v>2023</v>
      </c>
      <c r="B1526" s="5" t="s">
        <v>186</v>
      </c>
      <c r="C1526" s="5" t="s">
        <v>210</v>
      </c>
      <c r="D1526" s="5" t="n">
        <v>23</v>
      </c>
      <c r="E1526" s="13" t="n">
        <v>4.53</v>
      </c>
      <c r="F1526" s="14" t="n">
        <f aca="false">E1526*Assumptions!$D$6</f>
        <v>677.811488247763</v>
      </c>
      <c r="G1526" s="14" t="n">
        <v>380</v>
      </c>
      <c r="H1526" s="14" t="n">
        <v>500</v>
      </c>
      <c r="I1526" s="14" t="n">
        <f aca="false">F1526-(G1526+H1526)/2</f>
        <v>237.811488247763</v>
      </c>
      <c r="J1526" s="5" t="str">
        <f aca="false">IF(D1526&lt;8,"LOW SAMPLE",IF(F1526&gt;H1526*(1+Assumptions!$B$10),"UNDERPAID",IF(F1526&lt;G1526*(1-Assumptions!$B$10),"OVERPAID","FAIR")))</f>
        <v>UNDERPAID</v>
      </c>
      <c r="K1526" s="5" t="n">
        <v>80</v>
      </c>
    </row>
    <row r="1527" customFormat="false" ht="15" hidden="false" customHeight="false" outlineLevel="0" collapsed="false">
      <c r="A1527" s="5" t="n">
        <v>2023</v>
      </c>
      <c r="B1527" s="5" t="s">
        <v>186</v>
      </c>
      <c r="C1527" s="5" t="s">
        <v>750</v>
      </c>
      <c r="D1527" s="5" t="n">
        <v>8</v>
      </c>
      <c r="E1527" s="13" t="n">
        <v>0.69</v>
      </c>
      <c r="F1527" s="14" t="n">
        <f aca="false">E1527*Assumptions!$D$6</f>
        <v>103.242809468202</v>
      </c>
      <c r="G1527" s="14" t="n">
        <v>140</v>
      </c>
      <c r="H1527" s="14" t="n">
        <v>250</v>
      </c>
      <c r="I1527" s="14" t="n">
        <f aca="false">F1527-(G1527+H1527)/2</f>
        <v>-91.7571905317978</v>
      </c>
      <c r="J1527" s="5" t="str">
        <f aca="false">IF(D1527&lt;8,"LOW SAMPLE",IF(F1527&gt;H1527*(1+Assumptions!$B$10),"UNDERPAID",IF(F1527&lt;G1527*(1-Assumptions!$B$10),"OVERPAID","FAIR")))</f>
        <v>OVERPAID</v>
      </c>
      <c r="K1527" s="5" t="n">
        <v>8</v>
      </c>
    </row>
    <row r="1528" customFormat="false" ht="15" hidden="false" customHeight="false" outlineLevel="0" collapsed="false">
      <c r="A1528" s="5" t="n">
        <v>2023</v>
      </c>
      <c r="B1528" s="5" t="s">
        <v>186</v>
      </c>
      <c r="C1528" s="5" t="s">
        <v>211</v>
      </c>
      <c r="D1528" s="5" t="n">
        <v>13</v>
      </c>
      <c r="E1528" s="13" t="n">
        <v>1.82</v>
      </c>
      <c r="F1528" s="14" t="n">
        <f aca="false">E1528*Assumptions!$D$6</f>
        <v>272.321613379896</v>
      </c>
      <c r="G1528" s="14" t="n">
        <v>380</v>
      </c>
      <c r="H1528" s="14" t="n">
        <v>500</v>
      </c>
      <c r="I1528" s="14" t="n">
        <f aca="false">F1528-(G1528+H1528)/2</f>
        <v>-167.678386620104</v>
      </c>
      <c r="J1528" s="5" t="str">
        <f aca="false">IF(D1528&lt;8,"LOW SAMPLE",IF(F1528&gt;H1528*(1+Assumptions!$B$10),"UNDERPAID",IF(F1528&lt;G1528*(1-Assumptions!$B$10),"OVERPAID","FAIR")))</f>
        <v>OVERPAID</v>
      </c>
      <c r="K1528" s="5" t="n">
        <v>83</v>
      </c>
    </row>
    <row r="1529" customFormat="false" ht="15" hidden="false" customHeight="false" outlineLevel="0" collapsed="false">
      <c r="A1529" s="5" t="n">
        <v>2023</v>
      </c>
      <c r="B1529" s="5" t="s">
        <v>186</v>
      </c>
      <c r="C1529" s="5" t="s">
        <v>752</v>
      </c>
      <c r="D1529" s="5" t="n">
        <v>23</v>
      </c>
      <c r="E1529" s="13" t="n">
        <v>5.1</v>
      </c>
      <c r="F1529" s="14" t="n">
        <f aca="false">E1529*Assumptions!$D$6</f>
        <v>763.099026504104</v>
      </c>
      <c r="G1529" s="14" t="n">
        <v>500</v>
      </c>
      <c r="H1529" s="14" t="n">
        <v>680</v>
      </c>
      <c r="I1529" s="14" t="n">
        <f aca="false">F1529-(G1529+H1529)/2</f>
        <v>173.099026504104</v>
      </c>
      <c r="J1529" s="5" t="str">
        <f aca="false">IF(D1529&lt;8,"LOW SAMPLE",IF(F1529&gt;H1529*(1+Assumptions!$B$10),"UNDERPAID",IF(F1529&lt;G1529*(1-Assumptions!$B$10),"OVERPAID","FAIR")))</f>
        <v>FAIR</v>
      </c>
      <c r="K1529" s="5" t="n">
        <v>21</v>
      </c>
    </row>
    <row r="1530" customFormat="false" ht="15" hidden="false" customHeight="false" outlineLevel="0" collapsed="false">
      <c r="A1530" s="5" t="n">
        <v>2023</v>
      </c>
      <c r="B1530" s="5" t="s">
        <v>186</v>
      </c>
      <c r="C1530" s="5" t="s">
        <v>213</v>
      </c>
      <c r="D1530" s="5" t="n">
        <v>8</v>
      </c>
      <c r="E1530" s="13" t="n">
        <v>1.34</v>
      </c>
      <c r="F1530" s="14" t="n">
        <f aca="false">E1530*Assumptions!$D$6</f>
        <v>200.500528532451</v>
      </c>
      <c r="G1530" s="14" t="n">
        <v>140</v>
      </c>
      <c r="H1530" s="14" t="n">
        <v>250</v>
      </c>
      <c r="I1530" s="14" t="n">
        <f aca="false">F1530-(G1530+H1530)/2</f>
        <v>5.5005285324508</v>
      </c>
      <c r="J1530" s="5" t="str">
        <f aca="false">IF(D1530&lt;8,"LOW SAMPLE",IF(F1530&gt;H1530*(1+Assumptions!$B$10),"UNDERPAID",IF(F1530&lt;G1530*(1-Assumptions!$B$10),"OVERPAID","FAIR")))</f>
        <v>FAIR</v>
      </c>
      <c r="K1530" s="5" t="n">
        <v>6</v>
      </c>
    </row>
    <row r="1531" customFormat="false" ht="15" hidden="false" customHeight="false" outlineLevel="0" collapsed="false">
      <c r="A1531" s="5" t="n">
        <v>2023</v>
      </c>
      <c r="B1531" s="5" t="s">
        <v>186</v>
      </c>
      <c r="C1531" s="5" t="s">
        <v>214</v>
      </c>
      <c r="D1531" s="5" t="n">
        <v>16</v>
      </c>
      <c r="E1531" s="13" t="n">
        <v>2.32</v>
      </c>
      <c r="F1531" s="14" t="n">
        <f aca="false">E1531*Assumptions!$D$6</f>
        <v>347.135243429318</v>
      </c>
      <c r="G1531" s="14" t="n">
        <v>500</v>
      </c>
      <c r="H1531" s="14" t="n">
        <v>680</v>
      </c>
      <c r="I1531" s="14" t="n">
        <f aca="false">F1531-(G1531+H1531)/2</f>
        <v>-242.864756570682</v>
      </c>
      <c r="J1531" s="5" t="str">
        <f aca="false">IF(D1531&lt;8,"LOW SAMPLE",IF(F1531&gt;H1531*(1+Assumptions!$B$10),"UNDERPAID",IF(F1531&lt;G1531*(1-Assumptions!$B$10),"OVERPAID","FAIR")))</f>
        <v>OVERPAID</v>
      </c>
      <c r="K1531" s="5" t="n">
        <v>64</v>
      </c>
    </row>
    <row r="1532" customFormat="false" ht="15" hidden="false" customHeight="false" outlineLevel="0" collapsed="false">
      <c r="A1532" s="5" t="n">
        <v>2023</v>
      </c>
      <c r="B1532" s="5" t="s">
        <v>186</v>
      </c>
      <c r="C1532" s="5" t="s">
        <v>215</v>
      </c>
      <c r="D1532" s="5" t="n">
        <v>6</v>
      </c>
      <c r="E1532" s="13" t="n">
        <v>0.72</v>
      </c>
      <c r="F1532" s="14" t="n">
        <f aca="false">E1532*Assumptions!$D$6</f>
        <v>107.731627271168</v>
      </c>
      <c r="G1532" s="14" t="n">
        <v>140</v>
      </c>
      <c r="H1532" s="14" t="n">
        <v>250</v>
      </c>
      <c r="I1532" s="14" t="n">
        <f aca="false">F1532-(G1532+H1532)/2</f>
        <v>-87.2683727288324</v>
      </c>
      <c r="J1532" s="5" t="str">
        <f aca="false">IF(D1532&lt;8,"LOW SAMPLE",IF(F1532&gt;H1532*(1+Assumptions!$B$10),"UNDERPAID",IF(F1532&lt;G1532*(1-Assumptions!$B$10),"OVERPAID","FAIR")))</f>
        <v>LOW SAMPLE</v>
      </c>
      <c r="K1532" s="5" t="n">
        <v>27</v>
      </c>
    </row>
    <row r="1533" customFormat="false" ht="15" hidden="false" customHeight="false" outlineLevel="0" collapsed="false">
      <c r="A1533" s="5" t="n">
        <v>2023</v>
      </c>
      <c r="B1533" s="5" t="s">
        <v>186</v>
      </c>
      <c r="C1533" s="5" t="s">
        <v>217</v>
      </c>
      <c r="D1533" s="5" t="n">
        <v>10</v>
      </c>
      <c r="E1533" s="13" t="n">
        <v>2.11</v>
      </c>
      <c r="F1533" s="14" t="n">
        <f aca="false">E1533*Assumptions!$D$6</f>
        <v>315.713518808561</v>
      </c>
      <c r="G1533" s="14" t="n">
        <v>680</v>
      </c>
      <c r="H1533" s="14" t="n">
        <v>950</v>
      </c>
      <c r="I1533" s="14" t="n">
        <f aca="false">F1533-(G1533+H1533)/2</f>
        <v>-499.286481191439</v>
      </c>
      <c r="J1533" s="5" t="str">
        <f aca="false">IF(D1533&lt;8,"LOW SAMPLE",IF(F1533&gt;H1533*(1+Assumptions!$B$10),"UNDERPAID",IF(F1533&lt;G1533*(1-Assumptions!$B$10),"OVERPAID","FAIR")))</f>
        <v>OVERPAID</v>
      </c>
      <c r="K1533" s="5" t="n">
        <v>109</v>
      </c>
    </row>
    <row r="1534" customFormat="false" ht="15" hidden="false" customHeight="false" outlineLevel="0" collapsed="false">
      <c r="A1534" s="5" t="n">
        <v>2023</v>
      </c>
      <c r="B1534" s="5" t="s">
        <v>186</v>
      </c>
      <c r="C1534" s="5" t="s">
        <v>218</v>
      </c>
      <c r="D1534" s="5" t="n">
        <v>14</v>
      </c>
      <c r="E1534" s="13" t="n">
        <v>3.23</v>
      </c>
      <c r="F1534" s="14" t="n">
        <f aca="false">E1534*Assumptions!$D$6</f>
        <v>483.296050119266</v>
      </c>
      <c r="G1534" s="14" t="n">
        <v>500</v>
      </c>
      <c r="H1534" s="14" t="n">
        <v>680</v>
      </c>
      <c r="I1534" s="14" t="n">
        <f aca="false">F1534-(G1534+H1534)/2</f>
        <v>-106.703949880734</v>
      </c>
      <c r="J1534" s="5" t="str">
        <f aca="false">IF(D1534&lt;8,"LOW SAMPLE",IF(F1534&gt;H1534*(1+Assumptions!$B$10),"UNDERPAID",IF(F1534&lt;G1534*(1-Assumptions!$B$10),"OVERPAID","FAIR")))</f>
        <v>FAIR</v>
      </c>
      <c r="K1534" s="5" t="n">
        <v>43</v>
      </c>
    </row>
    <row r="1535" customFormat="false" ht="15" hidden="false" customHeight="false" outlineLevel="0" collapsed="false">
      <c r="A1535" s="5" t="n">
        <v>2023</v>
      </c>
      <c r="B1535" s="5" t="s">
        <v>186</v>
      </c>
      <c r="C1535" s="5" t="s">
        <v>219</v>
      </c>
      <c r="D1535" s="5" t="n">
        <v>22</v>
      </c>
      <c r="E1535" s="13" t="n">
        <v>3.09</v>
      </c>
      <c r="F1535" s="14" t="n">
        <f aca="false">E1535*Assumptions!$D$6</f>
        <v>462.348233705428</v>
      </c>
      <c r="G1535" s="14" t="n">
        <v>250</v>
      </c>
      <c r="H1535" s="14" t="n">
        <v>380</v>
      </c>
      <c r="I1535" s="14" t="n">
        <f aca="false">F1535-(G1535+H1535)/2</f>
        <v>147.348233705428</v>
      </c>
      <c r="J1535" s="5" t="str">
        <f aca="false">IF(D1535&lt;8,"LOW SAMPLE",IF(F1535&gt;H1535*(1+Assumptions!$B$10),"UNDERPAID",IF(F1535&lt;G1535*(1-Assumptions!$B$10),"OVERPAID","FAIR")))</f>
        <v>UNDERPAID</v>
      </c>
      <c r="K1535" s="5" t="n">
        <v>27</v>
      </c>
    </row>
    <row r="1536" customFormat="false" ht="15" hidden="false" customHeight="false" outlineLevel="0" collapsed="false">
      <c r="A1536" s="5" t="n">
        <v>2023</v>
      </c>
      <c r="B1536" s="5" t="s">
        <v>186</v>
      </c>
      <c r="C1536" s="5" t="s">
        <v>447</v>
      </c>
      <c r="D1536" s="5" t="n">
        <v>16</v>
      </c>
      <c r="E1536" s="13" t="n">
        <v>2.33</v>
      </c>
      <c r="F1536" s="14" t="n">
        <f aca="false">E1536*Assumptions!$D$6</f>
        <v>348.631516030306</v>
      </c>
      <c r="G1536" s="14" t="n">
        <v>250</v>
      </c>
      <c r="H1536" s="14" t="n">
        <v>380</v>
      </c>
      <c r="I1536" s="14" t="n">
        <f aca="false">F1536-(G1536+H1536)/2</f>
        <v>33.6315160303062</v>
      </c>
      <c r="J1536" s="5" t="str">
        <f aca="false">IF(D1536&lt;8,"LOW SAMPLE",IF(F1536&gt;H1536*(1+Assumptions!$B$10),"UNDERPAID",IF(F1536&lt;G1536*(1-Assumptions!$B$10),"OVERPAID","FAIR")))</f>
        <v>FAIR</v>
      </c>
      <c r="K1536" s="5" t="n">
        <v>59</v>
      </c>
    </row>
    <row r="1537" customFormat="false" ht="15" hidden="false" customHeight="false" outlineLevel="0" collapsed="false">
      <c r="A1537" s="5" t="n">
        <v>2023</v>
      </c>
      <c r="B1537" s="5" t="s">
        <v>186</v>
      </c>
      <c r="C1537" s="5" t="s">
        <v>143</v>
      </c>
      <c r="D1537" s="5" t="n">
        <v>10</v>
      </c>
      <c r="E1537" s="13" t="n">
        <v>2.09</v>
      </c>
      <c r="F1537" s="14" t="n">
        <f aca="false">E1537*Assumptions!$D$6</f>
        <v>312.720973606584</v>
      </c>
      <c r="G1537" s="14" t="n">
        <v>380</v>
      </c>
      <c r="H1537" s="14" t="n">
        <v>500</v>
      </c>
      <c r="I1537" s="14" t="n">
        <f aca="false">F1537-(G1537+H1537)/2</f>
        <v>-127.279026393416</v>
      </c>
      <c r="J1537" s="5" t="str">
        <f aca="false">IF(D1537&lt;8,"LOW SAMPLE",IF(F1537&gt;H1537*(1+Assumptions!$B$10),"UNDERPAID",IF(F1537&lt;G1537*(1-Assumptions!$B$10),"OVERPAID","FAIR")))</f>
        <v>OVERPAID</v>
      </c>
      <c r="K1537" s="5" t="n">
        <v>57</v>
      </c>
    </row>
    <row r="1538" customFormat="false" ht="15" hidden="false" customHeight="false" outlineLevel="0" collapsed="false">
      <c r="A1538" s="5" t="n">
        <v>2023</v>
      </c>
      <c r="B1538" s="5" t="s">
        <v>186</v>
      </c>
      <c r="C1538" s="5" t="s">
        <v>221</v>
      </c>
      <c r="D1538" s="5" t="n">
        <v>15</v>
      </c>
      <c r="E1538" s="13" t="n">
        <v>2.02</v>
      </c>
      <c r="F1538" s="14" t="n">
        <f aca="false">E1538*Assumptions!$D$6</f>
        <v>302.247065399665</v>
      </c>
      <c r="G1538" s="14" t="n">
        <v>380</v>
      </c>
      <c r="H1538" s="14" t="n">
        <v>500</v>
      </c>
      <c r="I1538" s="14" t="n">
        <f aca="false">F1538-(G1538+H1538)/2</f>
        <v>-137.752934600335</v>
      </c>
      <c r="J1538" s="5" t="str">
        <f aca="false">IF(D1538&lt;8,"LOW SAMPLE",IF(F1538&gt;H1538*(1+Assumptions!$B$10),"UNDERPAID",IF(F1538&lt;G1538*(1-Assumptions!$B$10),"OVERPAID","FAIR")))</f>
        <v>OVERPAID</v>
      </c>
      <c r="K1538" s="5" t="n">
        <v>50</v>
      </c>
    </row>
    <row r="1539" customFormat="false" ht="15" hidden="false" customHeight="false" outlineLevel="0" collapsed="false">
      <c r="A1539" s="5" t="n">
        <v>2023</v>
      </c>
      <c r="B1539" s="5" t="s">
        <v>186</v>
      </c>
      <c r="C1539" s="5" t="s">
        <v>222</v>
      </c>
      <c r="D1539" s="5" t="n">
        <v>22</v>
      </c>
      <c r="E1539" s="13" t="n">
        <v>6.12</v>
      </c>
      <c r="F1539" s="14" t="n">
        <f aca="false">E1539*Assumptions!$D$6</f>
        <v>915.718831804924</v>
      </c>
      <c r="G1539" s="14" t="n">
        <v>680</v>
      </c>
      <c r="H1539" s="14" t="n">
        <v>950</v>
      </c>
      <c r="I1539" s="14" t="n">
        <f aca="false">F1539-(G1539+H1539)/2</f>
        <v>100.718831804924</v>
      </c>
      <c r="J1539" s="5" t="str">
        <f aca="false">IF(D1539&lt;8,"LOW SAMPLE",IF(F1539&gt;H1539*(1+Assumptions!$B$10),"UNDERPAID",IF(F1539&lt;G1539*(1-Assumptions!$B$10),"OVERPAID","FAIR")))</f>
        <v>FAIR</v>
      </c>
      <c r="K1539" s="5" t="n">
        <v>164</v>
      </c>
    </row>
    <row r="1540" customFormat="false" ht="15" hidden="false" customHeight="false" outlineLevel="0" collapsed="false">
      <c r="A1540" s="5" t="n">
        <v>2023</v>
      </c>
      <c r="B1540" s="5" t="s">
        <v>224</v>
      </c>
      <c r="C1540" s="5" t="s">
        <v>226</v>
      </c>
      <c r="D1540" s="5" t="n">
        <v>23</v>
      </c>
      <c r="E1540" s="13" t="n">
        <v>3.66</v>
      </c>
      <c r="F1540" s="14" t="n">
        <f aca="false">E1540*Assumptions!$D$6</f>
        <v>547.635771961769</v>
      </c>
      <c r="G1540" s="14" t="n">
        <v>380</v>
      </c>
      <c r="H1540" s="14" t="n">
        <v>500</v>
      </c>
      <c r="I1540" s="14" t="n">
        <f aca="false">F1540-(G1540+H1540)/2</f>
        <v>107.635771961769</v>
      </c>
      <c r="J1540" s="5" t="str">
        <f aca="false">IF(D1540&lt;8,"LOW SAMPLE",IF(F1540&gt;H1540*(1+Assumptions!$B$10),"UNDERPAID",IF(F1540&lt;G1540*(1-Assumptions!$B$10),"OVERPAID","FAIR")))</f>
        <v>FAIR</v>
      </c>
      <c r="K1540" s="5" t="n">
        <v>84</v>
      </c>
    </row>
    <row r="1541" customFormat="false" ht="15" hidden="false" customHeight="false" outlineLevel="0" collapsed="false">
      <c r="A1541" s="5" t="n">
        <v>2023</v>
      </c>
      <c r="B1541" s="5" t="s">
        <v>224</v>
      </c>
      <c r="C1541" s="5" t="s">
        <v>227</v>
      </c>
      <c r="D1541" s="5" t="n">
        <v>23</v>
      </c>
      <c r="E1541" s="13" t="n">
        <v>6.05</v>
      </c>
      <c r="F1541" s="14" t="n">
        <f aca="false">E1541*Assumptions!$D$6</f>
        <v>905.244923598005</v>
      </c>
      <c r="G1541" s="14" t="n">
        <v>680</v>
      </c>
      <c r="H1541" s="14" t="n">
        <v>950</v>
      </c>
      <c r="I1541" s="14" t="n">
        <f aca="false">F1541-(G1541+H1541)/2</f>
        <v>90.2449235980054</v>
      </c>
      <c r="J1541" s="5" t="str">
        <f aca="false">IF(D1541&lt;8,"LOW SAMPLE",IF(F1541&gt;H1541*(1+Assumptions!$B$10),"UNDERPAID",IF(F1541&lt;G1541*(1-Assumptions!$B$10),"OVERPAID","FAIR")))</f>
        <v>FAIR</v>
      </c>
      <c r="K1541" s="5" t="n">
        <v>100</v>
      </c>
    </row>
    <row r="1542" customFormat="false" ht="15" hidden="false" customHeight="false" outlineLevel="0" collapsed="false">
      <c r="A1542" s="5" t="n">
        <v>2023</v>
      </c>
      <c r="B1542" s="5" t="s">
        <v>224</v>
      </c>
      <c r="C1542" s="5" t="s">
        <v>228</v>
      </c>
      <c r="D1542" s="5" t="n">
        <v>14</v>
      </c>
      <c r="E1542" s="13" t="n">
        <v>2.01</v>
      </c>
      <c r="F1542" s="14" t="n">
        <f aca="false">E1542*Assumptions!$D$6</f>
        <v>300.750792798676</v>
      </c>
      <c r="G1542" s="14" t="n">
        <v>250</v>
      </c>
      <c r="H1542" s="14" t="n">
        <v>380</v>
      </c>
      <c r="I1542" s="14" t="n">
        <f aca="false">F1542-(G1542+H1542)/2</f>
        <v>-14.2492072013239</v>
      </c>
      <c r="J1542" s="5" t="str">
        <f aca="false">IF(D1542&lt;8,"LOW SAMPLE",IF(F1542&gt;H1542*(1+Assumptions!$B$10),"UNDERPAID",IF(F1542&lt;G1542*(1-Assumptions!$B$10),"OVERPAID","FAIR")))</f>
        <v>FAIR</v>
      </c>
      <c r="K1542" s="5" t="n">
        <v>61</v>
      </c>
    </row>
    <row r="1543" customFormat="false" ht="15" hidden="false" customHeight="false" outlineLevel="0" collapsed="false">
      <c r="A1543" s="5" t="n">
        <v>2023</v>
      </c>
      <c r="B1543" s="5" t="s">
        <v>224</v>
      </c>
      <c r="C1543" s="5" t="s">
        <v>230</v>
      </c>
      <c r="D1543" s="5" t="n">
        <v>14</v>
      </c>
      <c r="E1543" s="13" t="n">
        <v>1.4</v>
      </c>
      <c r="F1543" s="14" t="n">
        <f aca="false">E1543*Assumptions!$D$6</f>
        <v>209.478164138381</v>
      </c>
      <c r="G1543" s="14" t="n">
        <v>250</v>
      </c>
      <c r="H1543" s="14" t="n">
        <v>380</v>
      </c>
      <c r="I1543" s="14" t="n">
        <f aca="false">F1543-(G1543+H1543)/2</f>
        <v>-105.521835861619</v>
      </c>
      <c r="J1543" s="5" t="str">
        <f aca="false">IF(D1543&lt;8,"LOW SAMPLE",IF(F1543&gt;H1543*(1+Assumptions!$B$10),"UNDERPAID",IF(F1543&lt;G1543*(1-Assumptions!$B$10),"OVERPAID","FAIR")))</f>
        <v>OVERPAID</v>
      </c>
      <c r="K1543" s="5" t="n">
        <v>31</v>
      </c>
    </row>
    <row r="1544" customFormat="false" ht="15" hidden="false" customHeight="false" outlineLevel="0" collapsed="false">
      <c r="A1544" s="5" t="n">
        <v>2023</v>
      </c>
      <c r="B1544" s="5" t="s">
        <v>224</v>
      </c>
      <c r="C1544" s="5" t="s">
        <v>231</v>
      </c>
      <c r="D1544" s="5" t="n">
        <v>20</v>
      </c>
      <c r="E1544" s="13" t="n">
        <v>4.74</v>
      </c>
      <c r="F1544" s="14" t="n">
        <f aca="false">E1544*Assumptions!$D$6</f>
        <v>709.23321286852</v>
      </c>
      <c r="G1544" s="14" t="n">
        <v>500</v>
      </c>
      <c r="H1544" s="14" t="n">
        <v>680</v>
      </c>
      <c r="I1544" s="14" t="n">
        <f aca="false">F1544-(G1544+H1544)/2</f>
        <v>119.23321286852</v>
      </c>
      <c r="J1544" s="5" t="str">
        <f aca="false">IF(D1544&lt;8,"LOW SAMPLE",IF(F1544&gt;H1544*(1+Assumptions!$B$10),"UNDERPAID",IF(F1544&lt;G1544*(1-Assumptions!$B$10),"OVERPAID","FAIR")))</f>
        <v>FAIR</v>
      </c>
      <c r="K1544" s="5" t="n">
        <v>82</v>
      </c>
    </row>
    <row r="1545" customFormat="false" ht="15" hidden="false" customHeight="false" outlineLevel="0" collapsed="false">
      <c r="A1545" s="5" t="n">
        <v>2023</v>
      </c>
      <c r="B1545" s="5" t="s">
        <v>224</v>
      </c>
      <c r="C1545" s="5" t="s">
        <v>233</v>
      </c>
      <c r="D1545" s="5" t="n">
        <v>22</v>
      </c>
      <c r="E1545" s="13" t="n">
        <v>6.83</v>
      </c>
      <c r="F1545" s="14" t="n">
        <f aca="false">E1545*Assumptions!$D$6</f>
        <v>1021.9541864751</v>
      </c>
      <c r="G1545" s="14" t="n">
        <v>500</v>
      </c>
      <c r="H1545" s="14" t="n">
        <v>680</v>
      </c>
      <c r="I1545" s="14" t="n">
        <f aca="false">F1545-(G1545+H1545)/2</f>
        <v>431.954186475104</v>
      </c>
      <c r="J1545" s="5" t="str">
        <f aca="false">IF(D1545&lt;8,"LOW SAMPLE",IF(F1545&gt;H1545*(1+Assumptions!$B$10),"UNDERPAID",IF(F1545&lt;G1545*(1-Assumptions!$B$10),"OVERPAID","FAIR")))</f>
        <v>UNDERPAID</v>
      </c>
      <c r="K1545" s="5" t="n">
        <v>58</v>
      </c>
    </row>
    <row r="1546" customFormat="false" ht="15" hidden="false" customHeight="false" outlineLevel="0" collapsed="false">
      <c r="A1546" s="5" t="n">
        <v>2023</v>
      </c>
      <c r="B1546" s="5" t="s">
        <v>224</v>
      </c>
      <c r="C1546" s="5" t="s">
        <v>842</v>
      </c>
      <c r="D1546" s="5" t="n">
        <v>9</v>
      </c>
      <c r="E1546" s="13" t="n">
        <v>1.64</v>
      </c>
      <c r="F1546" s="14" t="n">
        <f aca="false">E1546*Assumptions!$D$6</f>
        <v>245.388706562104</v>
      </c>
      <c r="G1546" s="14" t="n">
        <v>250</v>
      </c>
      <c r="H1546" s="14" t="n">
        <v>380</v>
      </c>
      <c r="I1546" s="14" t="n">
        <f aca="false">F1546-(G1546+H1546)/2</f>
        <v>-69.6112934378961</v>
      </c>
      <c r="J1546" s="5" t="str">
        <f aca="false">IF(D1546&lt;8,"LOW SAMPLE",IF(F1546&gt;H1546*(1+Assumptions!$B$10),"UNDERPAID",IF(F1546&lt;G1546*(1-Assumptions!$B$10),"OVERPAID","FAIR")))</f>
        <v>FAIR</v>
      </c>
      <c r="K1546" s="5" t="n">
        <v>19</v>
      </c>
    </row>
    <row r="1547" customFormat="false" ht="15" hidden="false" customHeight="false" outlineLevel="0" collapsed="false">
      <c r="A1547" s="5" t="n">
        <v>2023</v>
      </c>
      <c r="B1547" s="5" t="s">
        <v>224</v>
      </c>
      <c r="C1547" s="5" t="s">
        <v>237</v>
      </c>
      <c r="D1547" s="5" t="n">
        <v>20</v>
      </c>
      <c r="E1547" s="13" t="n">
        <v>2.77</v>
      </c>
      <c r="F1547" s="14" t="n">
        <f aca="false">E1547*Assumptions!$D$6</f>
        <v>414.467510473798</v>
      </c>
      <c r="G1547" s="14" t="n">
        <v>250</v>
      </c>
      <c r="H1547" s="14" t="n">
        <v>380</v>
      </c>
      <c r="I1547" s="14" t="n">
        <f aca="false">F1547-(G1547+H1547)/2</f>
        <v>99.4675104737975</v>
      </c>
      <c r="J1547" s="5" t="str">
        <f aca="false">IF(D1547&lt;8,"LOW SAMPLE",IF(F1547&gt;H1547*(1+Assumptions!$B$10),"UNDERPAID",IF(F1547&lt;G1547*(1-Assumptions!$B$10),"OVERPAID","FAIR")))</f>
        <v>FAIR</v>
      </c>
      <c r="K1547" s="5" t="n">
        <v>81</v>
      </c>
    </row>
    <row r="1548" customFormat="false" ht="15" hidden="false" customHeight="false" outlineLevel="0" collapsed="false">
      <c r="A1548" s="5" t="n">
        <v>2023</v>
      </c>
      <c r="B1548" s="5" t="s">
        <v>224</v>
      </c>
      <c r="C1548" s="5" t="s">
        <v>843</v>
      </c>
      <c r="D1548" s="5" t="n">
        <v>2</v>
      </c>
      <c r="E1548" s="13" t="n">
        <v>0.1</v>
      </c>
      <c r="F1548" s="14" t="n">
        <f aca="false">E1548*Assumptions!$D$6</f>
        <v>14.9627260098844</v>
      </c>
      <c r="G1548" s="14" t="n">
        <v>250</v>
      </c>
      <c r="H1548" s="14" t="n">
        <v>380</v>
      </c>
      <c r="I1548" s="14" t="n">
        <f aca="false">F1548-(G1548+H1548)/2</f>
        <v>-300.037273990116</v>
      </c>
      <c r="J1548" s="5" t="str">
        <f aca="false">IF(D1548&lt;8,"LOW SAMPLE",IF(F1548&gt;H1548*(1+Assumptions!$B$10),"UNDERPAID",IF(F1548&lt;G1548*(1-Assumptions!$B$10),"OVERPAID","FAIR")))</f>
        <v>LOW SAMPLE</v>
      </c>
      <c r="K1548" s="5" t="n">
        <v>0</v>
      </c>
    </row>
    <row r="1549" customFormat="false" ht="15" hidden="false" customHeight="false" outlineLevel="0" collapsed="false">
      <c r="A1549" s="5" t="n">
        <v>2023</v>
      </c>
      <c r="B1549" s="5" t="s">
        <v>224</v>
      </c>
      <c r="C1549" s="5" t="s">
        <v>239</v>
      </c>
      <c r="D1549" s="5" t="n">
        <v>22</v>
      </c>
      <c r="E1549" s="13" t="n">
        <v>4.84</v>
      </c>
      <c r="F1549" s="14" t="n">
        <f aca="false">E1549*Assumptions!$D$6</f>
        <v>724.195938878404</v>
      </c>
      <c r="G1549" s="14" t="n">
        <v>380</v>
      </c>
      <c r="H1549" s="14" t="n">
        <v>500</v>
      </c>
      <c r="I1549" s="14" t="n">
        <f aca="false">F1549-(G1549+H1549)/2</f>
        <v>284.195938878404</v>
      </c>
      <c r="J1549" s="5" t="str">
        <f aca="false">IF(D1549&lt;8,"LOW SAMPLE",IF(F1549&gt;H1549*(1+Assumptions!$B$10),"UNDERPAID",IF(F1549&lt;G1549*(1-Assumptions!$B$10),"OVERPAID","FAIR")))</f>
        <v>UNDERPAID</v>
      </c>
      <c r="K1549" s="5" t="n">
        <v>35</v>
      </c>
    </row>
    <row r="1550" customFormat="false" ht="15" hidden="false" customHeight="false" outlineLevel="0" collapsed="false">
      <c r="A1550" s="5" t="n">
        <v>2023</v>
      </c>
      <c r="B1550" s="5" t="s">
        <v>224</v>
      </c>
      <c r="C1550" s="5" t="s">
        <v>240</v>
      </c>
      <c r="D1550" s="5" t="n">
        <v>3</v>
      </c>
      <c r="E1550" s="13" t="n">
        <v>0.36</v>
      </c>
      <c r="F1550" s="14" t="n">
        <f aca="false">E1550*Assumptions!$D$6</f>
        <v>53.8658136355838</v>
      </c>
      <c r="G1550" s="14" t="n">
        <v>250</v>
      </c>
      <c r="H1550" s="14" t="n">
        <v>380</v>
      </c>
      <c r="I1550" s="14" t="n">
        <f aca="false">F1550-(G1550+H1550)/2</f>
        <v>-261.134186364416</v>
      </c>
      <c r="J1550" s="5" t="str">
        <f aca="false">IF(D1550&lt;8,"LOW SAMPLE",IF(F1550&gt;H1550*(1+Assumptions!$B$10),"UNDERPAID",IF(F1550&lt;G1550*(1-Assumptions!$B$10),"OVERPAID","FAIR")))</f>
        <v>LOW SAMPLE</v>
      </c>
      <c r="K1550" s="5" t="n">
        <v>23</v>
      </c>
    </row>
    <row r="1551" customFormat="false" ht="15" hidden="false" customHeight="false" outlineLevel="0" collapsed="false">
      <c r="A1551" s="5" t="n">
        <v>2023</v>
      </c>
      <c r="B1551" s="5" t="s">
        <v>224</v>
      </c>
      <c r="C1551" s="5" t="s">
        <v>395</v>
      </c>
      <c r="D1551" s="5" t="n">
        <v>21</v>
      </c>
      <c r="E1551" s="13" t="n">
        <v>3.97</v>
      </c>
      <c r="F1551" s="14" t="n">
        <f aca="false">E1551*Assumptions!$D$6</f>
        <v>594.02022259241</v>
      </c>
      <c r="G1551" s="14" t="n">
        <v>680</v>
      </c>
      <c r="H1551" s="14" t="n">
        <v>950</v>
      </c>
      <c r="I1551" s="14" t="n">
        <f aca="false">F1551-(G1551+H1551)/2</f>
        <v>-220.97977740759</v>
      </c>
      <c r="J1551" s="5" t="str">
        <f aca="false">IF(D1551&lt;8,"LOW SAMPLE",IF(F1551&gt;H1551*(1+Assumptions!$B$10),"UNDERPAID",IF(F1551&lt;G1551*(1-Assumptions!$B$10),"OVERPAID","FAIR")))</f>
        <v>FAIR</v>
      </c>
      <c r="K1551" s="5" t="n">
        <v>99</v>
      </c>
    </row>
    <row r="1552" customFormat="false" ht="15" hidden="false" customHeight="false" outlineLevel="0" collapsed="false">
      <c r="A1552" s="5" t="n">
        <v>2023</v>
      </c>
      <c r="B1552" s="5" t="s">
        <v>224</v>
      </c>
      <c r="C1552" s="5" t="s">
        <v>241</v>
      </c>
      <c r="D1552" s="5" t="n">
        <v>20</v>
      </c>
      <c r="E1552" s="13" t="n">
        <v>3.46</v>
      </c>
      <c r="F1552" s="14" t="n">
        <f aca="false">E1552*Assumptions!$D$6</f>
        <v>517.710319942</v>
      </c>
      <c r="G1552" s="14" t="n">
        <v>500</v>
      </c>
      <c r="H1552" s="14" t="n">
        <v>680</v>
      </c>
      <c r="I1552" s="14" t="n">
        <f aca="false">F1552-(G1552+H1552)/2</f>
        <v>-72.2896800580003</v>
      </c>
      <c r="J1552" s="5" t="str">
        <f aca="false">IF(D1552&lt;8,"LOW SAMPLE",IF(F1552&gt;H1552*(1+Assumptions!$B$10),"UNDERPAID",IF(F1552&lt;G1552*(1-Assumptions!$B$10),"OVERPAID","FAIR")))</f>
        <v>FAIR</v>
      </c>
      <c r="K1552" s="5" t="n">
        <v>122</v>
      </c>
    </row>
    <row r="1553" customFormat="false" ht="15" hidden="false" customHeight="false" outlineLevel="0" collapsed="false">
      <c r="A1553" s="5" t="n">
        <v>2023</v>
      </c>
      <c r="B1553" s="5" t="s">
        <v>224</v>
      </c>
      <c r="C1553" s="5" t="s">
        <v>242</v>
      </c>
      <c r="D1553" s="5" t="n">
        <v>4</v>
      </c>
      <c r="E1553" s="13" t="n">
        <v>0.54</v>
      </c>
      <c r="F1553" s="14" t="n">
        <f aca="false">E1553*Assumptions!$D$6</f>
        <v>80.7987204533757</v>
      </c>
      <c r="G1553" s="14" t="n">
        <v>250</v>
      </c>
      <c r="H1553" s="14" t="n">
        <v>380</v>
      </c>
      <c r="I1553" s="14" t="n">
        <f aca="false">F1553-(G1553+H1553)/2</f>
        <v>-234.201279546624</v>
      </c>
      <c r="J1553" s="5" t="str">
        <f aca="false">IF(D1553&lt;8,"LOW SAMPLE",IF(F1553&gt;H1553*(1+Assumptions!$B$10),"UNDERPAID",IF(F1553&lt;G1553*(1-Assumptions!$B$10),"OVERPAID","FAIR")))</f>
        <v>LOW SAMPLE</v>
      </c>
      <c r="K1553" s="5" t="n">
        <v>87</v>
      </c>
    </row>
    <row r="1554" customFormat="false" ht="15" hidden="false" customHeight="false" outlineLevel="0" collapsed="false">
      <c r="A1554" s="5" t="n">
        <v>2023</v>
      </c>
      <c r="B1554" s="5" t="s">
        <v>224</v>
      </c>
      <c r="C1554" s="5" t="s">
        <v>318</v>
      </c>
      <c r="D1554" s="5" t="n">
        <v>23</v>
      </c>
      <c r="E1554" s="13" t="n">
        <v>4.03</v>
      </c>
      <c r="F1554" s="14" t="n">
        <f aca="false">E1554*Assumptions!$D$6</f>
        <v>602.997858198341</v>
      </c>
      <c r="G1554" s="14" t="n">
        <v>380</v>
      </c>
      <c r="H1554" s="14" t="n">
        <v>500</v>
      </c>
      <c r="I1554" s="14" t="n">
        <f aca="false">F1554-(G1554+H1554)/2</f>
        <v>162.997858198341</v>
      </c>
      <c r="J1554" s="5" t="str">
        <f aca="false">IF(D1554&lt;8,"LOW SAMPLE",IF(F1554&gt;H1554*(1+Assumptions!$B$10),"UNDERPAID",IF(F1554&lt;G1554*(1-Assumptions!$B$10),"OVERPAID","FAIR")))</f>
        <v>UNDERPAID</v>
      </c>
      <c r="K1554" s="5" t="n">
        <v>56</v>
      </c>
    </row>
    <row r="1555" customFormat="false" ht="15" hidden="false" customHeight="false" outlineLevel="0" collapsed="false">
      <c r="A1555" s="5" t="n">
        <v>2023</v>
      </c>
      <c r="B1555" s="5" t="s">
        <v>224</v>
      </c>
      <c r="C1555" s="5" t="s">
        <v>361</v>
      </c>
      <c r="D1555" s="5" t="n">
        <v>5</v>
      </c>
      <c r="E1555" s="13" t="n">
        <v>0.49</v>
      </c>
      <c r="F1555" s="14" t="n">
        <f aca="false">E1555*Assumptions!$D$6</f>
        <v>73.3173574484335</v>
      </c>
      <c r="G1555" s="14" t="n">
        <v>250</v>
      </c>
      <c r="H1555" s="14" t="n">
        <v>380</v>
      </c>
      <c r="I1555" s="14" t="n">
        <f aca="false">F1555-(G1555+H1555)/2</f>
        <v>-241.682642551567</v>
      </c>
      <c r="J1555" s="5" t="str">
        <f aca="false">IF(D1555&lt;8,"LOW SAMPLE",IF(F1555&gt;H1555*(1+Assumptions!$B$10),"UNDERPAID",IF(F1555&lt;G1555*(1-Assumptions!$B$10),"OVERPAID","FAIR")))</f>
        <v>LOW SAMPLE</v>
      </c>
      <c r="K1555" s="5" t="n">
        <v>36</v>
      </c>
    </row>
    <row r="1556" customFormat="false" ht="15" hidden="false" customHeight="false" outlineLevel="0" collapsed="false">
      <c r="A1556" s="5" t="n">
        <v>2023</v>
      </c>
      <c r="B1556" s="5" t="s">
        <v>224</v>
      </c>
      <c r="C1556" s="5" t="s">
        <v>244</v>
      </c>
      <c r="D1556" s="5" t="n">
        <v>17</v>
      </c>
      <c r="E1556" s="13" t="n">
        <v>2.96</v>
      </c>
      <c r="F1556" s="14" t="n">
        <f aca="false">E1556*Assumptions!$D$6</f>
        <v>442.896689892578</v>
      </c>
      <c r="G1556" s="14" t="n">
        <v>140</v>
      </c>
      <c r="H1556" s="14" t="n">
        <v>250</v>
      </c>
      <c r="I1556" s="14" t="n">
        <f aca="false">F1556-(G1556+H1556)/2</f>
        <v>247.896689892578</v>
      </c>
      <c r="J1556" s="5" t="str">
        <f aca="false">IF(D1556&lt;8,"LOW SAMPLE",IF(F1556&gt;H1556*(1+Assumptions!$B$10),"UNDERPAID",IF(F1556&lt;G1556*(1-Assumptions!$B$10),"OVERPAID","FAIR")))</f>
        <v>UNDERPAID</v>
      </c>
      <c r="K1556" s="5" t="n">
        <v>19</v>
      </c>
    </row>
    <row r="1557" customFormat="false" ht="15" hidden="false" customHeight="false" outlineLevel="0" collapsed="false">
      <c r="A1557" s="5" t="n">
        <v>2023</v>
      </c>
      <c r="B1557" s="5" t="s">
        <v>224</v>
      </c>
      <c r="C1557" s="5" t="s">
        <v>754</v>
      </c>
      <c r="D1557" s="5" t="n">
        <v>22</v>
      </c>
      <c r="E1557" s="13" t="n">
        <v>3.79</v>
      </c>
      <c r="F1557" s="14" t="n">
        <f aca="false">E1557*Assumptions!$D$6</f>
        <v>567.087315774618</v>
      </c>
      <c r="G1557" s="14" t="n">
        <v>140</v>
      </c>
      <c r="H1557" s="14" t="n">
        <v>250</v>
      </c>
      <c r="I1557" s="14" t="n">
        <f aca="false">F1557-(G1557+H1557)/2</f>
        <v>372.087315774618</v>
      </c>
      <c r="J1557" s="5" t="str">
        <f aca="false">IF(D1557&lt;8,"LOW SAMPLE",IF(F1557&gt;H1557*(1+Assumptions!$B$10),"UNDERPAID",IF(F1557&lt;G1557*(1-Assumptions!$B$10),"OVERPAID","FAIR")))</f>
        <v>UNDERPAID</v>
      </c>
      <c r="K1557" s="5" t="n">
        <v>3</v>
      </c>
    </row>
    <row r="1558" customFormat="false" ht="15" hidden="false" customHeight="false" outlineLevel="0" collapsed="false">
      <c r="A1558" s="5" t="n">
        <v>2023</v>
      </c>
      <c r="B1558" s="5" t="s">
        <v>224</v>
      </c>
      <c r="C1558" s="5" t="s">
        <v>844</v>
      </c>
      <c r="D1558" s="5" t="n">
        <v>4</v>
      </c>
      <c r="E1558" s="13" t="n">
        <v>0.38</v>
      </c>
      <c r="F1558" s="14" t="n">
        <f aca="false">E1558*Assumptions!$D$6</f>
        <v>56.8583588375607</v>
      </c>
      <c r="G1558" s="14" t="n">
        <v>250</v>
      </c>
      <c r="H1558" s="14" t="n">
        <v>380</v>
      </c>
      <c r="I1558" s="14" t="n">
        <f aca="false">F1558-(G1558+H1558)/2</f>
        <v>-258.141641162439</v>
      </c>
      <c r="J1558" s="5" t="str">
        <f aca="false">IF(D1558&lt;8,"LOW SAMPLE",IF(F1558&gt;H1558*(1+Assumptions!$B$10),"UNDERPAID",IF(F1558&lt;G1558*(1-Assumptions!$B$10),"OVERPAID","FAIR")))</f>
        <v>LOW SAMPLE</v>
      </c>
      <c r="K1558" s="5" t="n">
        <v>0</v>
      </c>
    </row>
    <row r="1559" customFormat="false" ht="15" hidden="false" customHeight="false" outlineLevel="0" collapsed="false">
      <c r="A1559" s="5" t="n">
        <v>2023</v>
      </c>
      <c r="B1559" s="5" t="s">
        <v>224</v>
      </c>
      <c r="C1559" s="5" t="s">
        <v>245</v>
      </c>
      <c r="D1559" s="5" t="n">
        <v>23</v>
      </c>
      <c r="E1559" s="13" t="n">
        <v>4.98</v>
      </c>
      <c r="F1559" s="14" t="n">
        <f aca="false">E1559*Assumptions!$D$6</f>
        <v>745.143755292243</v>
      </c>
      <c r="G1559" s="14" t="n">
        <v>500</v>
      </c>
      <c r="H1559" s="14" t="n">
        <v>680</v>
      </c>
      <c r="I1559" s="14" t="n">
        <f aca="false">F1559-(G1559+H1559)/2</f>
        <v>155.143755292243</v>
      </c>
      <c r="J1559" s="5" t="str">
        <f aca="false">IF(D1559&lt;8,"LOW SAMPLE",IF(F1559&gt;H1559*(1+Assumptions!$B$10),"UNDERPAID",IF(F1559&lt;G1559*(1-Assumptions!$B$10),"OVERPAID","FAIR")))</f>
        <v>FAIR</v>
      </c>
      <c r="K1559" s="5" t="n">
        <v>67</v>
      </c>
    </row>
    <row r="1560" customFormat="false" ht="15" hidden="false" customHeight="false" outlineLevel="0" collapsed="false">
      <c r="A1560" s="5" t="n">
        <v>2023</v>
      </c>
      <c r="B1560" s="5" t="s">
        <v>224</v>
      </c>
      <c r="C1560" s="5" t="s">
        <v>246</v>
      </c>
      <c r="D1560" s="5" t="n">
        <v>16</v>
      </c>
      <c r="E1560" s="13" t="n">
        <v>2.22</v>
      </c>
      <c r="F1560" s="14" t="n">
        <f aca="false">E1560*Assumptions!$D$6</f>
        <v>332.172517419433</v>
      </c>
      <c r="G1560" s="14" t="n">
        <v>140</v>
      </c>
      <c r="H1560" s="14" t="n">
        <v>250</v>
      </c>
      <c r="I1560" s="14" t="n">
        <f aca="false">F1560-(G1560+H1560)/2</f>
        <v>137.172517419433</v>
      </c>
      <c r="J1560" s="5" t="str">
        <f aca="false">IF(D1560&lt;8,"LOW SAMPLE",IF(F1560&gt;H1560*(1+Assumptions!$B$10),"UNDERPAID",IF(F1560&lt;G1560*(1-Assumptions!$B$10),"OVERPAID","FAIR")))</f>
        <v>UNDERPAID</v>
      </c>
      <c r="K1560" s="5" t="n">
        <v>27</v>
      </c>
    </row>
    <row r="1561" customFormat="false" ht="15" hidden="false" customHeight="false" outlineLevel="0" collapsed="false">
      <c r="A1561" s="5" t="n">
        <v>2023</v>
      </c>
      <c r="B1561" s="5" t="s">
        <v>224</v>
      </c>
      <c r="C1561" s="5" t="s">
        <v>440</v>
      </c>
      <c r="D1561" s="5" t="n">
        <v>23</v>
      </c>
      <c r="E1561" s="13" t="n">
        <v>5.76</v>
      </c>
      <c r="F1561" s="14" t="n">
        <f aca="false">E1561*Assumptions!$D$6</f>
        <v>861.853018169341</v>
      </c>
      <c r="G1561" s="14" t="n">
        <v>500</v>
      </c>
      <c r="H1561" s="14" t="n">
        <v>680</v>
      </c>
      <c r="I1561" s="14" t="n">
        <f aca="false">F1561-(G1561+H1561)/2</f>
        <v>271.853018169341</v>
      </c>
      <c r="J1561" s="5" t="str">
        <f aca="false">IF(D1561&lt;8,"LOW SAMPLE",IF(F1561&gt;H1561*(1+Assumptions!$B$10),"UNDERPAID",IF(F1561&lt;G1561*(1-Assumptions!$B$10),"OVERPAID","FAIR")))</f>
        <v>UNDERPAID</v>
      </c>
      <c r="K1561" s="5" t="n">
        <v>52</v>
      </c>
    </row>
    <row r="1562" customFormat="false" ht="15" hidden="false" customHeight="false" outlineLevel="0" collapsed="false">
      <c r="A1562" s="5" t="n">
        <v>2023</v>
      </c>
      <c r="B1562" s="5" t="s">
        <v>224</v>
      </c>
      <c r="C1562" s="5" t="s">
        <v>248</v>
      </c>
      <c r="D1562" s="5" t="n">
        <v>23</v>
      </c>
      <c r="E1562" s="13" t="n">
        <v>5.45</v>
      </c>
      <c r="F1562" s="14" t="n">
        <f aca="false">E1562*Assumptions!$D$6</f>
        <v>815.468567538699</v>
      </c>
      <c r="G1562" s="14" t="n">
        <v>680</v>
      </c>
      <c r="H1562" s="14" t="n">
        <v>950</v>
      </c>
      <c r="I1562" s="14" t="n">
        <f aca="false">F1562-(G1562+H1562)/2</f>
        <v>0.468567538699062</v>
      </c>
      <c r="J1562" s="5" t="str">
        <f aca="false">IF(D1562&lt;8,"LOW SAMPLE",IF(F1562&gt;H1562*(1+Assumptions!$B$10),"UNDERPAID",IF(F1562&lt;G1562*(1-Assumptions!$B$10),"OVERPAID","FAIR")))</f>
        <v>FAIR</v>
      </c>
      <c r="K1562" s="5" t="n">
        <v>109</v>
      </c>
    </row>
    <row r="1563" customFormat="false" ht="15" hidden="false" customHeight="false" outlineLevel="0" collapsed="false">
      <c r="A1563" s="5" t="n">
        <v>2023</v>
      </c>
      <c r="B1563" s="5" t="s">
        <v>224</v>
      </c>
      <c r="C1563" s="5" t="s">
        <v>845</v>
      </c>
      <c r="D1563" s="5" t="n">
        <v>18</v>
      </c>
      <c r="E1563" s="13" t="n">
        <v>2.14</v>
      </c>
      <c r="F1563" s="14" t="n">
        <f aca="false">E1563*Assumptions!$D$6</f>
        <v>320.202336611526</v>
      </c>
      <c r="G1563" s="14" t="n">
        <v>250</v>
      </c>
      <c r="H1563" s="14" t="n">
        <v>380</v>
      </c>
      <c r="I1563" s="14" t="n">
        <f aca="false">F1563-(G1563+H1563)/2</f>
        <v>5.20233661152588</v>
      </c>
      <c r="J1563" s="5" t="str">
        <f aca="false">IF(D1563&lt;8,"LOW SAMPLE",IF(F1563&gt;H1563*(1+Assumptions!$B$10),"UNDERPAID",IF(F1563&lt;G1563*(1-Assumptions!$B$10),"OVERPAID","FAIR")))</f>
        <v>FAIR</v>
      </c>
      <c r="K1563" s="5" t="n">
        <v>0</v>
      </c>
    </row>
    <row r="1564" customFormat="false" ht="15" hidden="false" customHeight="false" outlineLevel="0" collapsed="false">
      <c r="A1564" s="5" t="n">
        <v>2023</v>
      </c>
      <c r="B1564" s="5" t="s">
        <v>224</v>
      </c>
      <c r="C1564" s="5" t="s">
        <v>249</v>
      </c>
      <c r="D1564" s="5" t="n">
        <v>4</v>
      </c>
      <c r="E1564" s="13" t="n">
        <v>0.44</v>
      </c>
      <c r="F1564" s="14" t="n">
        <f aca="false">E1564*Assumptions!$D$6</f>
        <v>65.8359944434913</v>
      </c>
      <c r="G1564" s="14" t="n">
        <v>380</v>
      </c>
      <c r="H1564" s="14" t="n">
        <v>500</v>
      </c>
      <c r="I1564" s="14" t="n">
        <f aca="false">F1564-(G1564+H1564)/2</f>
        <v>-374.164005556509</v>
      </c>
      <c r="J1564" s="5" t="str">
        <f aca="false">IF(D1564&lt;8,"LOW SAMPLE",IF(F1564&gt;H1564*(1+Assumptions!$B$10),"UNDERPAID",IF(F1564&lt;G1564*(1-Assumptions!$B$10),"OVERPAID","FAIR")))</f>
        <v>LOW SAMPLE</v>
      </c>
      <c r="K1564" s="5" t="n">
        <v>103</v>
      </c>
    </row>
    <row r="1565" customFormat="false" ht="15" hidden="false" customHeight="false" outlineLevel="0" collapsed="false">
      <c r="A1565" s="5" t="n">
        <v>2023</v>
      </c>
      <c r="B1565" s="5" t="s">
        <v>224</v>
      </c>
      <c r="C1565" s="5" t="s">
        <v>250</v>
      </c>
      <c r="D1565" s="5" t="n">
        <v>19</v>
      </c>
      <c r="E1565" s="13" t="n">
        <v>3.4</v>
      </c>
      <c r="F1565" s="14" t="n">
        <f aca="false">E1565*Assumptions!$D$6</f>
        <v>508.732684336069</v>
      </c>
      <c r="G1565" s="14" t="n">
        <v>250</v>
      </c>
      <c r="H1565" s="14" t="n">
        <v>380</v>
      </c>
      <c r="I1565" s="14" t="n">
        <f aca="false">F1565-(G1565+H1565)/2</f>
        <v>193.732684336069</v>
      </c>
      <c r="J1565" s="5" t="str">
        <f aca="false">IF(D1565&lt;8,"LOW SAMPLE",IF(F1565&gt;H1565*(1+Assumptions!$B$10),"UNDERPAID",IF(F1565&lt;G1565*(1-Assumptions!$B$10),"OVERPAID","FAIR")))</f>
        <v>UNDERPAID</v>
      </c>
      <c r="K1565" s="5" t="n">
        <v>39</v>
      </c>
    </row>
    <row r="1566" customFormat="false" ht="15" hidden="false" customHeight="false" outlineLevel="0" collapsed="false">
      <c r="A1566" s="5" t="n">
        <v>2023</v>
      </c>
      <c r="B1566" s="5" t="s">
        <v>224</v>
      </c>
      <c r="C1566" s="5" t="s">
        <v>251</v>
      </c>
      <c r="D1566" s="5" t="n">
        <v>20</v>
      </c>
      <c r="E1566" s="13" t="n">
        <v>3.24</v>
      </c>
      <c r="F1566" s="14" t="n">
        <f aca="false">E1566*Assumptions!$D$6</f>
        <v>484.792322720254</v>
      </c>
      <c r="G1566" s="14" t="n">
        <v>380</v>
      </c>
      <c r="H1566" s="14" t="n">
        <v>500</v>
      </c>
      <c r="I1566" s="14" t="n">
        <f aca="false">F1566-(G1566+H1566)/2</f>
        <v>44.7923227202542</v>
      </c>
      <c r="J1566" s="5" t="str">
        <f aca="false">IF(D1566&lt;8,"LOW SAMPLE",IF(F1566&gt;H1566*(1+Assumptions!$B$10),"UNDERPAID",IF(F1566&lt;G1566*(1-Assumptions!$B$10),"OVERPAID","FAIR")))</f>
        <v>FAIR</v>
      </c>
      <c r="K1566" s="5" t="n">
        <v>152</v>
      </c>
    </row>
    <row r="1567" customFormat="false" ht="15" hidden="false" customHeight="false" outlineLevel="0" collapsed="false">
      <c r="A1567" s="5" t="n">
        <v>2023</v>
      </c>
      <c r="B1567" s="5" t="s">
        <v>224</v>
      </c>
      <c r="C1567" s="5" t="s">
        <v>253</v>
      </c>
      <c r="D1567" s="5" t="n">
        <v>9</v>
      </c>
      <c r="E1567" s="13" t="n">
        <v>1.46</v>
      </c>
      <c r="F1567" s="14" t="n">
        <f aca="false">E1567*Assumptions!$D$6</f>
        <v>218.455799744312</v>
      </c>
      <c r="G1567" s="14" t="n">
        <v>380</v>
      </c>
      <c r="H1567" s="14" t="n">
        <v>500</v>
      </c>
      <c r="I1567" s="14" t="n">
        <f aca="false">F1567-(G1567+H1567)/2</f>
        <v>-221.544200255688</v>
      </c>
      <c r="J1567" s="5" t="str">
        <f aca="false">IF(D1567&lt;8,"LOW SAMPLE",IF(F1567&gt;H1567*(1+Assumptions!$B$10),"UNDERPAID",IF(F1567&lt;G1567*(1-Assumptions!$B$10),"OVERPAID","FAIR")))</f>
        <v>OVERPAID</v>
      </c>
      <c r="K1567" s="5" t="n">
        <v>117</v>
      </c>
    </row>
    <row r="1568" customFormat="false" ht="15" hidden="false" customHeight="false" outlineLevel="0" collapsed="false">
      <c r="A1568" s="5" t="n">
        <v>2023</v>
      </c>
      <c r="B1568" s="5" t="s">
        <v>224</v>
      </c>
      <c r="C1568" s="5" t="s">
        <v>755</v>
      </c>
      <c r="D1568" s="5" t="n">
        <v>10</v>
      </c>
      <c r="E1568" s="13" t="n">
        <v>1.06</v>
      </c>
      <c r="F1568" s="14" t="n">
        <f aca="false">E1568*Assumptions!$D$6</f>
        <v>158.604895704775</v>
      </c>
      <c r="G1568" s="14" t="n">
        <v>250</v>
      </c>
      <c r="H1568" s="14" t="n">
        <v>380</v>
      </c>
      <c r="I1568" s="14" t="n">
        <f aca="false">F1568-(G1568+H1568)/2</f>
        <v>-156.395104295226</v>
      </c>
      <c r="J1568" s="5" t="str">
        <f aca="false">IF(D1568&lt;8,"LOW SAMPLE",IF(F1568&gt;H1568*(1+Assumptions!$B$10),"UNDERPAID",IF(F1568&lt;G1568*(1-Assumptions!$B$10),"OVERPAID","FAIR")))</f>
        <v>OVERPAID</v>
      </c>
      <c r="K1568" s="5" t="n">
        <v>12</v>
      </c>
    </row>
    <row r="1569" customFormat="false" ht="15" hidden="false" customHeight="false" outlineLevel="0" collapsed="false">
      <c r="A1569" s="5" t="n">
        <v>2023</v>
      </c>
      <c r="B1569" s="5" t="s">
        <v>224</v>
      </c>
      <c r="C1569" s="5" t="s">
        <v>254</v>
      </c>
      <c r="D1569" s="5" t="n">
        <v>4</v>
      </c>
      <c r="E1569" s="13" t="n">
        <v>0.52</v>
      </c>
      <c r="F1569" s="14" t="n">
        <f aca="false">E1569*Assumptions!$D$6</f>
        <v>77.8061752513988</v>
      </c>
      <c r="G1569" s="14" t="n">
        <v>380</v>
      </c>
      <c r="H1569" s="14" t="n">
        <v>500</v>
      </c>
      <c r="I1569" s="14" t="n">
        <f aca="false">F1569-(G1569+H1569)/2</f>
        <v>-362.193824748601</v>
      </c>
      <c r="J1569" s="5" t="str">
        <f aca="false">IF(D1569&lt;8,"LOW SAMPLE",IF(F1569&gt;H1569*(1+Assumptions!$B$10),"UNDERPAID",IF(F1569&lt;G1569*(1-Assumptions!$B$10),"OVERPAID","FAIR")))</f>
        <v>LOW SAMPLE</v>
      </c>
      <c r="K1569" s="5" t="n">
        <v>132</v>
      </c>
    </row>
    <row r="1570" customFormat="false" ht="15" hidden="false" customHeight="false" outlineLevel="0" collapsed="false">
      <c r="A1570" s="5" t="n">
        <v>2023</v>
      </c>
      <c r="B1570" s="5" t="s">
        <v>224</v>
      </c>
      <c r="C1570" s="5" t="s">
        <v>756</v>
      </c>
      <c r="D1570" s="5" t="n">
        <v>14</v>
      </c>
      <c r="E1570" s="13" t="n">
        <v>1.62</v>
      </c>
      <c r="F1570" s="14" t="n">
        <f aca="false">E1570*Assumptions!$D$6</f>
        <v>242.396161360127</v>
      </c>
      <c r="G1570" s="14" t="n">
        <v>140</v>
      </c>
      <c r="H1570" s="14" t="n">
        <v>250</v>
      </c>
      <c r="I1570" s="14" t="n">
        <f aca="false">F1570-(G1570+H1570)/2</f>
        <v>47.3961613601271</v>
      </c>
      <c r="J1570" s="5" t="str">
        <f aca="false">IF(D1570&lt;8,"LOW SAMPLE",IF(F1570&gt;H1570*(1+Assumptions!$B$10),"UNDERPAID",IF(F1570&lt;G1570*(1-Assumptions!$B$10),"OVERPAID","FAIR")))</f>
        <v>FAIR</v>
      </c>
      <c r="K1570" s="5" t="n">
        <v>5</v>
      </c>
    </row>
    <row r="1571" customFormat="false" ht="15" hidden="false" customHeight="false" outlineLevel="0" collapsed="false">
      <c r="A1571" s="5" t="n">
        <v>2023</v>
      </c>
      <c r="B1571" s="5" t="s">
        <v>224</v>
      </c>
      <c r="C1571" s="5" t="s">
        <v>257</v>
      </c>
      <c r="D1571" s="5" t="n">
        <v>14</v>
      </c>
      <c r="E1571" s="13" t="n">
        <v>1.81</v>
      </c>
      <c r="F1571" s="14" t="n">
        <f aca="false">E1571*Assumptions!$D$6</f>
        <v>270.825340778907</v>
      </c>
      <c r="G1571" s="14" t="n">
        <v>140</v>
      </c>
      <c r="H1571" s="14" t="n">
        <v>250</v>
      </c>
      <c r="I1571" s="14" t="n">
        <f aca="false">F1571-(G1571+H1571)/2</f>
        <v>75.8253407789074</v>
      </c>
      <c r="J1571" s="5" t="str">
        <f aca="false">IF(D1571&lt;8,"LOW SAMPLE",IF(F1571&gt;H1571*(1+Assumptions!$B$10),"UNDERPAID",IF(F1571&lt;G1571*(1-Assumptions!$B$10),"OVERPAID","FAIR")))</f>
        <v>FAIR</v>
      </c>
      <c r="K1571" s="5" t="n">
        <v>4</v>
      </c>
    </row>
    <row r="1572" customFormat="false" ht="15" hidden="false" customHeight="false" outlineLevel="0" collapsed="false">
      <c r="A1572" s="5" t="n">
        <v>2023</v>
      </c>
      <c r="B1572" s="5" t="s">
        <v>224</v>
      </c>
      <c r="C1572" s="5" t="s">
        <v>258</v>
      </c>
      <c r="D1572" s="5" t="n">
        <v>22</v>
      </c>
      <c r="E1572" s="13" t="n">
        <v>4.03</v>
      </c>
      <c r="F1572" s="14" t="n">
        <f aca="false">E1572*Assumptions!$D$6</f>
        <v>602.997858198341</v>
      </c>
      <c r="G1572" s="14" t="n">
        <v>380</v>
      </c>
      <c r="H1572" s="14" t="n">
        <v>500</v>
      </c>
      <c r="I1572" s="14" t="n">
        <f aca="false">F1572-(G1572+H1572)/2</f>
        <v>162.997858198341</v>
      </c>
      <c r="J1572" s="5" t="str">
        <f aca="false">IF(D1572&lt;8,"LOW SAMPLE",IF(F1572&gt;H1572*(1+Assumptions!$B$10),"UNDERPAID",IF(F1572&lt;G1572*(1-Assumptions!$B$10),"OVERPAID","FAIR")))</f>
        <v>UNDERPAID</v>
      </c>
      <c r="K1572" s="5" t="n">
        <v>46</v>
      </c>
    </row>
    <row r="1573" customFormat="false" ht="15" hidden="false" customHeight="false" outlineLevel="0" collapsed="false">
      <c r="A1573" s="5" t="n">
        <v>2023</v>
      </c>
      <c r="B1573" s="5" t="s">
        <v>224</v>
      </c>
      <c r="C1573" s="5" t="s">
        <v>259</v>
      </c>
      <c r="D1573" s="5" t="n">
        <v>15</v>
      </c>
      <c r="E1573" s="13" t="n">
        <v>3.98</v>
      </c>
      <c r="F1573" s="14" t="n">
        <f aca="false">E1573*Assumptions!$D$6</f>
        <v>595.516495193399</v>
      </c>
      <c r="G1573" s="14" t="n">
        <v>680</v>
      </c>
      <c r="H1573" s="14" t="n">
        <v>950</v>
      </c>
      <c r="I1573" s="14" t="n">
        <f aca="false">F1573-(G1573+H1573)/2</f>
        <v>-219.483504806601</v>
      </c>
      <c r="J1573" s="5" t="str">
        <f aca="false">IF(D1573&lt;8,"LOW SAMPLE",IF(F1573&gt;H1573*(1+Assumptions!$B$10),"UNDERPAID",IF(F1573&lt;G1573*(1-Assumptions!$B$10),"OVERPAID","FAIR")))</f>
        <v>FAIR</v>
      </c>
      <c r="K1573" s="5" t="n">
        <v>83</v>
      </c>
    </row>
    <row r="1574" customFormat="false" ht="15" hidden="false" customHeight="false" outlineLevel="0" collapsed="false">
      <c r="A1574" s="5" t="n">
        <v>2023</v>
      </c>
      <c r="B1574" s="5" t="s">
        <v>224</v>
      </c>
      <c r="C1574" s="5" t="s">
        <v>846</v>
      </c>
      <c r="D1574" s="5" t="n">
        <v>2</v>
      </c>
      <c r="E1574" s="13" t="n">
        <v>0.41</v>
      </c>
      <c r="F1574" s="14" t="n">
        <f aca="false">E1574*Assumptions!$D$6</f>
        <v>61.347176640526</v>
      </c>
      <c r="G1574" s="14" t="n">
        <v>250</v>
      </c>
      <c r="H1574" s="14" t="n">
        <v>380</v>
      </c>
      <c r="I1574" s="14" t="n">
        <f aca="false">F1574-(G1574+H1574)/2</f>
        <v>-253.652823359474</v>
      </c>
      <c r="J1574" s="5" t="str">
        <f aca="false">IF(D1574&lt;8,"LOW SAMPLE",IF(F1574&gt;H1574*(1+Assumptions!$B$10),"UNDERPAID",IF(F1574&lt;G1574*(1-Assumptions!$B$10),"OVERPAID","FAIR")))</f>
        <v>LOW SAMPLE</v>
      </c>
      <c r="K1574" s="5" t="n">
        <v>0</v>
      </c>
    </row>
    <row r="1575" customFormat="false" ht="15" hidden="false" customHeight="false" outlineLevel="0" collapsed="false">
      <c r="A1575" s="5" t="n">
        <v>2023</v>
      </c>
      <c r="B1575" s="5" t="s">
        <v>224</v>
      </c>
      <c r="C1575" s="5" t="s">
        <v>376</v>
      </c>
      <c r="D1575" s="5" t="n">
        <v>5</v>
      </c>
      <c r="E1575" s="13" t="n">
        <v>0.97</v>
      </c>
      <c r="F1575" s="14" t="n">
        <f aca="false">E1575*Assumptions!$D$6</f>
        <v>145.138442295879</v>
      </c>
      <c r="G1575" s="14" t="n">
        <v>380</v>
      </c>
      <c r="H1575" s="14" t="n">
        <v>500</v>
      </c>
      <c r="I1575" s="14" t="n">
        <f aca="false">F1575-(G1575+H1575)/2</f>
        <v>-294.861557704121</v>
      </c>
      <c r="J1575" s="5" t="str">
        <f aca="false">IF(D1575&lt;8,"LOW SAMPLE",IF(F1575&gt;H1575*(1+Assumptions!$B$10),"UNDERPAID",IF(F1575&lt;G1575*(1-Assumptions!$B$10),"OVERPAID","FAIR")))</f>
        <v>LOW SAMPLE</v>
      </c>
      <c r="K1575" s="5" t="n">
        <v>49</v>
      </c>
    </row>
    <row r="1576" customFormat="false" ht="15" hidden="false" customHeight="false" outlineLevel="0" collapsed="false">
      <c r="A1576" s="5" t="n">
        <v>2023</v>
      </c>
      <c r="B1576" s="5" t="s">
        <v>264</v>
      </c>
      <c r="C1576" s="5" t="s">
        <v>847</v>
      </c>
      <c r="D1576" s="5" t="n">
        <v>12</v>
      </c>
      <c r="E1576" s="13" t="n">
        <v>0.84</v>
      </c>
      <c r="F1576" s="14" t="n">
        <f aca="false">E1576*Assumptions!$D$6</f>
        <v>125.686898483029</v>
      </c>
      <c r="G1576" s="14" t="n">
        <v>250</v>
      </c>
      <c r="H1576" s="14" t="n">
        <v>380</v>
      </c>
      <c r="I1576" s="14" t="n">
        <f aca="false">F1576-(G1576+H1576)/2</f>
        <v>-189.313101516971</v>
      </c>
      <c r="J1576" s="5" t="str">
        <f aca="false">IF(D1576&lt;8,"LOW SAMPLE",IF(F1576&gt;H1576*(1+Assumptions!$B$10),"UNDERPAID",IF(F1576&lt;G1576*(1-Assumptions!$B$10),"OVERPAID","FAIR")))</f>
        <v>OVERPAID</v>
      </c>
      <c r="K1576" s="5" t="n">
        <v>0</v>
      </c>
    </row>
    <row r="1577" customFormat="false" ht="15" hidden="false" customHeight="false" outlineLevel="0" collapsed="false">
      <c r="A1577" s="5" t="n">
        <v>2023</v>
      </c>
      <c r="B1577" s="5" t="s">
        <v>264</v>
      </c>
      <c r="C1577" s="5" t="s">
        <v>265</v>
      </c>
      <c r="D1577" s="5" t="n">
        <v>5</v>
      </c>
      <c r="E1577" s="13" t="n">
        <v>0.35</v>
      </c>
      <c r="F1577" s="14" t="n">
        <f aca="false">E1577*Assumptions!$D$6</f>
        <v>52.3695410345954</v>
      </c>
      <c r="G1577" s="14" t="n">
        <v>250</v>
      </c>
      <c r="H1577" s="14" t="n">
        <v>380</v>
      </c>
      <c r="I1577" s="14" t="n">
        <f aca="false">F1577-(G1577+H1577)/2</f>
        <v>-262.630458965405</v>
      </c>
      <c r="J1577" s="5" t="str">
        <f aca="false">IF(D1577&lt;8,"LOW SAMPLE",IF(F1577&gt;H1577*(1+Assumptions!$B$10),"UNDERPAID",IF(F1577&lt;G1577*(1-Assumptions!$B$10),"OVERPAID","FAIR")))</f>
        <v>LOW SAMPLE</v>
      </c>
      <c r="K1577" s="5" t="n">
        <v>94</v>
      </c>
    </row>
    <row r="1578" customFormat="false" ht="15" hidden="false" customHeight="false" outlineLevel="0" collapsed="false">
      <c r="A1578" s="5" t="n">
        <v>2023</v>
      </c>
      <c r="B1578" s="5" t="s">
        <v>264</v>
      </c>
      <c r="C1578" s="5" t="s">
        <v>267</v>
      </c>
      <c r="D1578" s="5" t="n">
        <v>20</v>
      </c>
      <c r="E1578" s="13" t="n">
        <v>3.94</v>
      </c>
      <c r="F1578" s="14" t="n">
        <f aca="false">E1578*Assumptions!$D$6</f>
        <v>589.531404789445</v>
      </c>
      <c r="G1578" s="14" t="n">
        <v>380</v>
      </c>
      <c r="H1578" s="14" t="n">
        <v>500</v>
      </c>
      <c r="I1578" s="14" t="n">
        <f aca="false">F1578-(G1578+H1578)/2</f>
        <v>149.531404789445</v>
      </c>
      <c r="J1578" s="5" t="str">
        <f aca="false">IF(D1578&lt;8,"LOW SAMPLE",IF(F1578&gt;H1578*(1+Assumptions!$B$10),"UNDERPAID",IF(F1578&lt;G1578*(1-Assumptions!$B$10),"OVERPAID","FAIR")))</f>
        <v>UNDERPAID</v>
      </c>
      <c r="K1578" s="5" t="n">
        <v>62</v>
      </c>
    </row>
    <row r="1579" customFormat="false" ht="15" hidden="false" customHeight="false" outlineLevel="0" collapsed="false">
      <c r="A1579" s="5" t="n">
        <v>2023</v>
      </c>
      <c r="B1579" s="5" t="s">
        <v>264</v>
      </c>
      <c r="C1579" s="5" t="s">
        <v>268</v>
      </c>
      <c r="D1579" s="5" t="n">
        <v>25</v>
      </c>
      <c r="E1579" s="13" t="n">
        <v>4.55</v>
      </c>
      <c r="F1579" s="14" t="n">
        <f aca="false">E1579*Assumptions!$D$6</f>
        <v>680.80403344974</v>
      </c>
      <c r="G1579" s="14" t="n">
        <v>500</v>
      </c>
      <c r="H1579" s="14" t="n">
        <v>680</v>
      </c>
      <c r="I1579" s="14" t="n">
        <f aca="false">F1579-(G1579+H1579)/2</f>
        <v>90.8040334497396</v>
      </c>
      <c r="J1579" s="5" t="str">
        <f aca="false">IF(D1579&lt;8,"LOW SAMPLE",IF(F1579&gt;H1579*(1+Assumptions!$B$10),"UNDERPAID",IF(F1579&lt;G1579*(1-Assumptions!$B$10),"OVERPAID","FAIR")))</f>
        <v>FAIR</v>
      </c>
      <c r="K1579" s="5" t="n">
        <v>149</v>
      </c>
    </row>
    <row r="1580" customFormat="false" ht="15" hidden="false" customHeight="false" outlineLevel="0" collapsed="false">
      <c r="A1580" s="5" t="n">
        <v>2023</v>
      </c>
      <c r="B1580" s="5" t="s">
        <v>264</v>
      </c>
      <c r="C1580" s="5" t="s">
        <v>154</v>
      </c>
      <c r="D1580" s="5" t="n">
        <v>19</v>
      </c>
      <c r="E1580" s="13" t="n">
        <v>2.88</v>
      </c>
      <c r="F1580" s="14" t="n">
        <f aca="false">E1580*Assumptions!$D$6</f>
        <v>430.92650908467</v>
      </c>
      <c r="G1580" s="14" t="n">
        <v>250</v>
      </c>
      <c r="H1580" s="14" t="n">
        <v>380</v>
      </c>
      <c r="I1580" s="14" t="n">
        <f aca="false">F1580-(G1580+H1580)/2</f>
        <v>115.92650908467</v>
      </c>
      <c r="J1580" s="5" t="str">
        <f aca="false">IF(D1580&lt;8,"LOW SAMPLE",IF(F1580&gt;H1580*(1+Assumptions!$B$10),"UNDERPAID",IF(F1580&lt;G1580*(1-Assumptions!$B$10),"OVERPAID","FAIR")))</f>
        <v>FAIR</v>
      </c>
      <c r="K1580" s="5" t="n">
        <v>80</v>
      </c>
    </row>
    <row r="1581" customFormat="false" ht="15" hidden="false" customHeight="false" outlineLevel="0" collapsed="false">
      <c r="A1581" s="5" t="n">
        <v>2023</v>
      </c>
      <c r="B1581" s="5" t="s">
        <v>264</v>
      </c>
      <c r="C1581" s="5" t="s">
        <v>848</v>
      </c>
      <c r="D1581" s="5" t="n">
        <v>2</v>
      </c>
      <c r="E1581" s="13" t="n">
        <v>0.19</v>
      </c>
      <c r="F1581" s="14" t="n">
        <f aca="false">E1581*Assumptions!$D$6</f>
        <v>28.4291794187803</v>
      </c>
      <c r="G1581" s="14" t="n">
        <v>250</v>
      </c>
      <c r="H1581" s="14" t="n">
        <v>380</v>
      </c>
      <c r="I1581" s="14" t="n">
        <f aca="false">F1581-(G1581+H1581)/2</f>
        <v>-286.57082058122</v>
      </c>
      <c r="J1581" s="5" t="str">
        <f aca="false">IF(D1581&lt;8,"LOW SAMPLE",IF(F1581&gt;H1581*(1+Assumptions!$B$10),"UNDERPAID",IF(F1581&lt;G1581*(1-Assumptions!$B$10),"OVERPAID","FAIR")))</f>
        <v>LOW SAMPLE</v>
      </c>
      <c r="K1581" s="5" t="n">
        <v>0</v>
      </c>
    </row>
    <row r="1582" customFormat="false" ht="15" hidden="false" customHeight="false" outlineLevel="0" collapsed="false">
      <c r="A1582" s="5" t="n">
        <v>2023</v>
      </c>
      <c r="B1582" s="5" t="s">
        <v>264</v>
      </c>
      <c r="C1582" s="5" t="s">
        <v>269</v>
      </c>
      <c r="D1582" s="5" t="n">
        <v>26</v>
      </c>
      <c r="E1582" s="13" t="n">
        <v>4.21</v>
      </c>
      <c r="F1582" s="14" t="n">
        <f aca="false">E1582*Assumptions!$D$6</f>
        <v>629.930765016133</v>
      </c>
      <c r="G1582" s="14" t="n">
        <v>250</v>
      </c>
      <c r="H1582" s="14" t="n">
        <v>380</v>
      </c>
      <c r="I1582" s="14" t="n">
        <f aca="false">F1582-(G1582+H1582)/2</f>
        <v>314.930765016133</v>
      </c>
      <c r="J1582" s="5" t="str">
        <f aca="false">IF(D1582&lt;8,"LOW SAMPLE",IF(F1582&gt;H1582*(1+Assumptions!$B$10),"UNDERPAID",IF(F1582&lt;G1582*(1-Assumptions!$B$10),"OVERPAID","FAIR")))</f>
        <v>UNDERPAID</v>
      </c>
      <c r="K1582" s="5" t="n">
        <v>42</v>
      </c>
    </row>
    <row r="1583" customFormat="false" ht="15" hidden="false" customHeight="false" outlineLevel="0" collapsed="false">
      <c r="A1583" s="5" t="n">
        <v>2023</v>
      </c>
      <c r="B1583" s="5" t="s">
        <v>264</v>
      </c>
      <c r="C1583" s="5" t="s">
        <v>270</v>
      </c>
      <c r="D1583" s="5" t="n">
        <v>3</v>
      </c>
      <c r="E1583" s="13" t="n">
        <v>0.15</v>
      </c>
      <c r="F1583" s="14" t="n">
        <f aca="false">E1583*Assumptions!$D$6</f>
        <v>22.4440890148266</v>
      </c>
      <c r="G1583" s="14" t="n">
        <v>140</v>
      </c>
      <c r="H1583" s="14" t="n">
        <v>250</v>
      </c>
      <c r="I1583" s="14" t="n">
        <f aca="false">F1583-(G1583+H1583)/2</f>
        <v>-172.555910985173</v>
      </c>
      <c r="J1583" s="5" t="str">
        <f aca="false">IF(D1583&lt;8,"LOW SAMPLE",IF(F1583&gt;H1583*(1+Assumptions!$B$10),"UNDERPAID",IF(F1583&lt;G1583*(1-Assumptions!$B$10),"OVERPAID","FAIR")))</f>
        <v>LOW SAMPLE</v>
      </c>
      <c r="K1583" s="5" t="n">
        <v>6</v>
      </c>
    </row>
    <row r="1584" customFormat="false" ht="15" hidden="false" customHeight="false" outlineLevel="0" collapsed="false">
      <c r="A1584" s="5" t="n">
        <v>2023</v>
      </c>
      <c r="B1584" s="5" t="s">
        <v>264</v>
      </c>
      <c r="C1584" s="5" t="s">
        <v>758</v>
      </c>
      <c r="D1584" s="5" t="n">
        <v>4</v>
      </c>
      <c r="E1584" s="13" t="n">
        <v>0.4</v>
      </c>
      <c r="F1584" s="14" t="n">
        <f aca="false">E1584*Assumptions!$D$6</f>
        <v>59.8509040395376</v>
      </c>
      <c r="G1584" s="14" t="n">
        <v>140</v>
      </c>
      <c r="H1584" s="14" t="n">
        <v>250</v>
      </c>
      <c r="I1584" s="14" t="n">
        <f aca="false">F1584-(G1584+H1584)/2</f>
        <v>-135.149095960462</v>
      </c>
      <c r="J1584" s="5" t="str">
        <f aca="false">IF(D1584&lt;8,"LOW SAMPLE",IF(F1584&gt;H1584*(1+Assumptions!$B$10),"UNDERPAID",IF(F1584&lt;G1584*(1-Assumptions!$B$10),"OVERPAID","FAIR")))</f>
        <v>LOW SAMPLE</v>
      </c>
      <c r="K1584" s="5" t="n">
        <v>4</v>
      </c>
    </row>
    <row r="1585" customFormat="false" ht="15" hidden="false" customHeight="false" outlineLevel="0" collapsed="false">
      <c r="A1585" s="5" t="n">
        <v>2023</v>
      </c>
      <c r="B1585" s="5" t="s">
        <v>264</v>
      </c>
      <c r="C1585" s="5" t="s">
        <v>271</v>
      </c>
      <c r="D1585" s="5" t="n">
        <v>23</v>
      </c>
      <c r="E1585" s="13" t="n">
        <v>2.95</v>
      </c>
      <c r="F1585" s="14" t="n">
        <f aca="false">E1585*Assumptions!$D$6</f>
        <v>441.400417291589</v>
      </c>
      <c r="G1585" s="14" t="n">
        <v>250</v>
      </c>
      <c r="H1585" s="14" t="n">
        <v>380</v>
      </c>
      <c r="I1585" s="14" t="n">
        <f aca="false">F1585-(G1585+H1585)/2</f>
        <v>126.400417291589</v>
      </c>
      <c r="J1585" s="5" t="str">
        <f aca="false">IF(D1585&lt;8,"LOW SAMPLE",IF(F1585&gt;H1585*(1+Assumptions!$B$10),"UNDERPAID",IF(F1585&lt;G1585*(1-Assumptions!$B$10),"OVERPAID","FAIR")))</f>
        <v>UNDERPAID</v>
      </c>
      <c r="K1585" s="5" t="n">
        <v>78</v>
      </c>
    </row>
    <row r="1586" customFormat="false" ht="15" hidden="false" customHeight="false" outlineLevel="0" collapsed="false">
      <c r="A1586" s="5" t="n">
        <v>2023</v>
      </c>
      <c r="B1586" s="5" t="s">
        <v>264</v>
      </c>
      <c r="C1586" s="5" t="s">
        <v>759</v>
      </c>
      <c r="D1586" s="5" t="n">
        <v>21</v>
      </c>
      <c r="E1586" s="13" t="n">
        <v>2.88</v>
      </c>
      <c r="F1586" s="14" t="n">
        <f aca="false">E1586*Assumptions!$D$6</f>
        <v>430.92650908467</v>
      </c>
      <c r="G1586" s="14" t="n">
        <v>140</v>
      </c>
      <c r="H1586" s="14" t="n">
        <v>250</v>
      </c>
      <c r="I1586" s="14" t="n">
        <f aca="false">F1586-(G1586+H1586)/2</f>
        <v>235.92650908467</v>
      </c>
      <c r="J1586" s="5" t="str">
        <f aca="false">IF(D1586&lt;8,"LOW SAMPLE",IF(F1586&gt;H1586*(1+Assumptions!$B$10),"UNDERPAID",IF(F1586&lt;G1586*(1-Assumptions!$B$10),"OVERPAID","FAIR")))</f>
        <v>UNDERPAID</v>
      </c>
      <c r="K1586" s="5" t="n">
        <v>5</v>
      </c>
    </row>
    <row r="1587" customFormat="false" ht="15" hidden="false" customHeight="false" outlineLevel="0" collapsed="false">
      <c r="A1587" s="5" t="n">
        <v>2023</v>
      </c>
      <c r="B1587" s="5" t="s">
        <v>264</v>
      </c>
      <c r="C1587" s="5" t="s">
        <v>272</v>
      </c>
      <c r="D1587" s="5" t="n">
        <v>25</v>
      </c>
      <c r="E1587" s="13" t="n">
        <v>5.25</v>
      </c>
      <c r="F1587" s="14" t="n">
        <f aca="false">E1587*Assumptions!$D$6</f>
        <v>785.54311551893</v>
      </c>
      <c r="G1587" s="14" t="n">
        <v>680</v>
      </c>
      <c r="H1587" s="14" t="n">
        <v>950</v>
      </c>
      <c r="I1587" s="14" t="n">
        <f aca="false">F1587-(G1587+H1587)/2</f>
        <v>-29.4568844810697</v>
      </c>
      <c r="J1587" s="5" t="str">
        <f aca="false">IF(D1587&lt;8,"LOW SAMPLE",IF(F1587&gt;H1587*(1+Assumptions!$B$10),"UNDERPAID",IF(F1587&lt;G1587*(1-Assumptions!$B$10),"OVERPAID","FAIR")))</f>
        <v>FAIR</v>
      </c>
      <c r="K1587" s="5" t="n">
        <v>127</v>
      </c>
    </row>
    <row r="1588" customFormat="false" ht="15" hidden="false" customHeight="false" outlineLevel="0" collapsed="false">
      <c r="A1588" s="5" t="n">
        <v>2023</v>
      </c>
      <c r="B1588" s="5" t="s">
        <v>264</v>
      </c>
      <c r="C1588" s="5" t="s">
        <v>273</v>
      </c>
      <c r="D1588" s="5" t="n">
        <v>22</v>
      </c>
      <c r="E1588" s="13" t="n">
        <v>3.86</v>
      </c>
      <c r="F1588" s="14" t="n">
        <f aca="false">E1588*Assumptions!$D$6</f>
        <v>577.561223981537</v>
      </c>
      <c r="G1588" s="14" t="n">
        <v>500</v>
      </c>
      <c r="H1588" s="14" t="n">
        <v>680</v>
      </c>
      <c r="I1588" s="14" t="n">
        <f aca="false">F1588-(G1588+H1588)/2</f>
        <v>-12.4387760184627</v>
      </c>
      <c r="J1588" s="5" t="str">
        <f aca="false">IF(D1588&lt;8,"LOW SAMPLE",IF(F1588&gt;H1588*(1+Assumptions!$B$10),"UNDERPAID",IF(F1588&lt;G1588*(1-Assumptions!$B$10),"OVERPAID","FAIR")))</f>
        <v>FAIR</v>
      </c>
      <c r="K1588" s="5" t="n">
        <v>86</v>
      </c>
    </row>
    <row r="1589" customFormat="false" ht="15" hidden="false" customHeight="false" outlineLevel="0" collapsed="false">
      <c r="A1589" s="5" t="n">
        <v>2023</v>
      </c>
      <c r="B1589" s="5" t="s">
        <v>264</v>
      </c>
      <c r="C1589" s="5" t="s">
        <v>849</v>
      </c>
      <c r="D1589" s="5" t="n">
        <v>7</v>
      </c>
      <c r="E1589" s="13" t="n">
        <v>0.44</v>
      </c>
      <c r="F1589" s="14" t="n">
        <f aca="false">E1589*Assumptions!$D$6</f>
        <v>65.8359944434913</v>
      </c>
      <c r="G1589" s="14" t="n">
        <v>250</v>
      </c>
      <c r="H1589" s="14" t="n">
        <v>380</v>
      </c>
      <c r="I1589" s="14" t="n">
        <f aca="false">F1589-(G1589+H1589)/2</f>
        <v>-249.164005556509</v>
      </c>
      <c r="J1589" s="5" t="str">
        <f aca="false">IF(D1589&lt;8,"LOW SAMPLE",IF(F1589&gt;H1589*(1+Assumptions!$B$10),"UNDERPAID",IF(F1589&lt;G1589*(1-Assumptions!$B$10),"OVERPAID","FAIR")))</f>
        <v>LOW SAMPLE</v>
      </c>
      <c r="K1589" s="5" t="n">
        <v>0</v>
      </c>
    </row>
    <row r="1590" customFormat="false" ht="15" hidden="false" customHeight="false" outlineLevel="0" collapsed="false">
      <c r="A1590" s="5" t="n">
        <v>2023</v>
      </c>
      <c r="B1590" s="5" t="s">
        <v>264</v>
      </c>
      <c r="C1590" s="5" t="s">
        <v>274</v>
      </c>
      <c r="D1590" s="5" t="n">
        <v>20</v>
      </c>
      <c r="E1590" s="13" t="n">
        <v>3.14</v>
      </c>
      <c r="F1590" s="14" t="n">
        <f aca="false">E1590*Assumptions!$D$6</f>
        <v>469.82959671037</v>
      </c>
      <c r="G1590" s="14" t="n">
        <v>500</v>
      </c>
      <c r="H1590" s="14" t="n">
        <v>680</v>
      </c>
      <c r="I1590" s="14" t="n">
        <f aca="false">F1590-(G1590+H1590)/2</f>
        <v>-120.17040328963</v>
      </c>
      <c r="J1590" s="5" t="str">
        <f aca="false">IF(D1590&lt;8,"LOW SAMPLE",IF(F1590&gt;H1590*(1+Assumptions!$B$10),"UNDERPAID",IF(F1590&lt;G1590*(1-Assumptions!$B$10),"OVERPAID","FAIR")))</f>
        <v>FAIR</v>
      </c>
      <c r="K1590" s="5" t="n">
        <v>55</v>
      </c>
    </row>
    <row r="1591" customFormat="false" ht="15" hidden="false" customHeight="false" outlineLevel="0" collapsed="false">
      <c r="A1591" s="5" t="n">
        <v>2023</v>
      </c>
      <c r="B1591" s="5" t="s">
        <v>264</v>
      </c>
      <c r="C1591" s="5" t="s">
        <v>275</v>
      </c>
      <c r="D1591" s="5" t="n">
        <v>26</v>
      </c>
      <c r="E1591" s="13" t="n">
        <v>4.73</v>
      </c>
      <c r="F1591" s="14" t="n">
        <f aca="false">E1591*Assumptions!$D$6</f>
        <v>707.736940267532</v>
      </c>
      <c r="G1591" s="14" t="n">
        <v>140</v>
      </c>
      <c r="H1591" s="14" t="n">
        <v>250</v>
      </c>
      <c r="I1591" s="14" t="n">
        <f aca="false">F1591-(G1591+H1591)/2</f>
        <v>512.736940267532</v>
      </c>
      <c r="J1591" s="5" t="str">
        <f aca="false">IF(D1591&lt;8,"LOW SAMPLE",IF(F1591&gt;H1591*(1+Assumptions!$B$10),"UNDERPAID",IF(F1591&lt;G1591*(1-Assumptions!$B$10),"OVERPAID","FAIR")))</f>
        <v>UNDERPAID</v>
      </c>
      <c r="K1591" s="5" t="n">
        <v>17</v>
      </c>
    </row>
    <row r="1592" customFormat="false" ht="15" hidden="false" customHeight="false" outlineLevel="0" collapsed="false">
      <c r="A1592" s="5" t="n">
        <v>2023</v>
      </c>
      <c r="B1592" s="5" t="s">
        <v>264</v>
      </c>
      <c r="C1592" s="5" t="s">
        <v>760</v>
      </c>
      <c r="D1592" s="5" t="n">
        <v>4</v>
      </c>
      <c r="E1592" s="13" t="n">
        <v>0.23</v>
      </c>
      <c r="F1592" s="14" t="n">
        <f aca="false">E1592*Assumptions!$D$6</f>
        <v>34.4142698227341</v>
      </c>
      <c r="G1592" s="14" t="n">
        <v>140</v>
      </c>
      <c r="H1592" s="14" t="n">
        <v>250</v>
      </c>
      <c r="I1592" s="14" t="n">
        <f aca="false">F1592-(G1592+H1592)/2</f>
        <v>-160.585730177266</v>
      </c>
      <c r="J1592" s="5" t="str">
        <f aca="false">IF(D1592&lt;8,"LOW SAMPLE",IF(F1592&gt;H1592*(1+Assumptions!$B$10),"UNDERPAID",IF(F1592&lt;G1592*(1-Assumptions!$B$10),"OVERPAID","FAIR")))</f>
        <v>LOW SAMPLE</v>
      </c>
      <c r="K1592" s="5" t="n">
        <v>10</v>
      </c>
    </row>
    <row r="1593" customFormat="false" ht="15" hidden="false" customHeight="false" outlineLevel="0" collapsed="false">
      <c r="A1593" s="5" t="n">
        <v>2023</v>
      </c>
      <c r="B1593" s="5" t="s">
        <v>264</v>
      </c>
      <c r="C1593" s="5" t="s">
        <v>277</v>
      </c>
      <c r="D1593" s="5" t="n">
        <v>21</v>
      </c>
      <c r="E1593" s="13" t="n">
        <v>3.58</v>
      </c>
      <c r="F1593" s="14" t="n">
        <f aca="false">E1593*Assumptions!$D$6</f>
        <v>535.665591153861</v>
      </c>
      <c r="G1593" s="14" t="n">
        <v>250</v>
      </c>
      <c r="H1593" s="14" t="n">
        <v>380</v>
      </c>
      <c r="I1593" s="14" t="n">
        <f aca="false">F1593-(G1593+H1593)/2</f>
        <v>220.665591153861</v>
      </c>
      <c r="J1593" s="5" t="str">
        <f aca="false">IF(D1593&lt;8,"LOW SAMPLE",IF(F1593&gt;H1593*(1+Assumptions!$B$10),"UNDERPAID",IF(F1593&lt;G1593*(1-Assumptions!$B$10),"OVERPAID","FAIR")))</f>
        <v>UNDERPAID</v>
      </c>
      <c r="K1593" s="5" t="n">
        <v>29</v>
      </c>
    </row>
    <row r="1594" customFormat="false" ht="15" hidden="false" customHeight="false" outlineLevel="0" collapsed="false">
      <c r="A1594" s="5" t="n">
        <v>2023</v>
      </c>
      <c r="B1594" s="5" t="s">
        <v>264</v>
      </c>
      <c r="C1594" s="5" t="s">
        <v>279</v>
      </c>
      <c r="D1594" s="5" t="n">
        <v>10</v>
      </c>
      <c r="E1594" s="13" t="n">
        <v>1.04</v>
      </c>
      <c r="F1594" s="14" t="n">
        <f aca="false">E1594*Assumptions!$D$6</f>
        <v>155.612350502798</v>
      </c>
      <c r="G1594" s="14" t="n">
        <v>140</v>
      </c>
      <c r="H1594" s="14" t="n">
        <v>250</v>
      </c>
      <c r="I1594" s="14" t="n">
        <f aca="false">F1594-(G1594+H1594)/2</f>
        <v>-39.3876494972024</v>
      </c>
      <c r="J1594" s="5" t="str">
        <f aca="false">IF(D1594&lt;8,"LOW SAMPLE",IF(F1594&gt;H1594*(1+Assumptions!$B$10),"UNDERPAID",IF(F1594&lt;G1594*(1-Assumptions!$B$10),"OVERPAID","FAIR")))</f>
        <v>FAIR</v>
      </c>
      <c r="K1594" s="5" t="n">
        <v>16</v>
      </c>
    </row>
    <row r="1595" customFormat="false" ht="15" hidden="false" customHeight="false" outlineLevel="0" collapsed="false">
      <c r="A1595" s="5" t="n">
        <v>2023</v>
      </c>
      <c r="B1595" s="5" t="s">
        <v>264</v>
      </c>
      <c r="C1595" s="5" t="s">
        <v>281</v>
      </c>
      <c r="D1595" s="5" t="n">
        <v>23</v>
      </c>
      <c r="E1595" s="13" t="n">
        <v>5.24</v>
      </c>
      <c r="F1595" s="14" t="n">
        <f aca="false">E1595*Assumptions!$D$6</f>
        <v>784.046842917942</v>
      </c>
      <c r="G1595" s="14" t="n">
        <v>380</v>
      </c>
      <c r="H1595" s="14" t="n">
        <v>500</v>
      </c>
      <c r="I1595" s="14" t="n">
        <f aca="false">F1595-(G1595+H1595)/2</f>
        <v>344.046842917942</v>
      </c>
      <c r="J1595" s="5" t="str">
        <f aca="false">IF(D1595&lt;8,"LOW SAMPLE",IF(F1595&gt;H1595*(1+Assumptions!$B$10),"UNDERPAID",IF(F1595&lt;G1595*(1-Assumptions!$B$10),"OVERPAID","FAIR")))</f>
        <v>UNDERPAID</v>
      </c>
      <c r="K1595" s="5" t="n">
        <v>117</v>
      </c>
    </row>
    <row r="1596" customFormat="false" ht="15" hidden="false" customHeight="false" outlineLevel="0" collapsed="false">
      <c r="A1596" s="5" t="n">
        <v>2023</v>
      </c>
      <c r="B1596" s="5" t="s">
        <v>264</v>
      </c>
      <c r="C1596" s="5" t="s">
        <v>850</v>
      </c>
      <c r="D1596" s="5" t="n">
        <v>7</v>
      </c>
      <c r="E1596" s="13" t="n">
        <v>0.55</v>
      </c>
      <c r="F1596" s="14" t="n">
        <f aca="false">E1596*Assumptions!$D$6</f>
        <v>82.2949930543641</v>
      </c>
      <c r="G1596" s="14" t="n">
        <v>250</v>
      </c>
      <c r="H1596" s="14" t="n">
        <v>380</v>
      </c>
      <c r="I1596" s="14" t="n">
        <f aca="false">F1596-(G1596+H1596)/2</f>
        <v>-232.705006945636</v>
      </c>
      <c r="J1596" s="5" t="str">
        <f aca="false">IF(D1596&lt;8,"LOW SAMPLE",IF(F1596&gt;H1596*(1+Assumptions!$B$10),"UNDERPAID",IF(F1596&lt;G1596*(1-Assumptions!$B$10),"OVERPAID","FAIR")))</f>
        <v>LOW SAMPLE</v>
      </c>
      <c r="K1596" s="5" t="n">
        <v>0</v>
      </c>
    </row>
    <row r="1597" customFormat="false" ht="15" hidden="false" customHeight="false" outlineLevel="0" collapsed="false">
      <c r="A1597" s="5" t="n">
        <v>2023</v>
      </c>
      <c r="B1597" s="5" t="s">
        <v>264</v>
      </c>
      <c r="C1597" s="5" t="s">
        <v>282</v>
      </c>
      <c r="D1597" s="5" t="n">
        <v>22</v>
      </c>
      <c r="E1597" s="13" t="n">
        <v>5.05</v>
      </c>
      <c r="F1597" s="14" t="n">
        <f aca="false">E1597*Assumptions!$D$6</f>
        <v>755.617663499162</v>
      </c>
      <c r="G1597" s="14" t="n">
        <v>680</v>
      </c>
      <c r="H1597" s="14" t="n">
        <v>950</v>
      </c>
      <c r="I1597" s="14" t="n">
        <f aca="false">F1597-(G1597+H1597)/2</f>
        <v>-59.3823365008385</v>
      </c>
      <c r="J1597" s="5" t="str">
        <f aca="false">IF(D1597&lt;8,"LOW SAMPLE",IF(F1597&gt;H1597*(1+Assumptions!$B$10),"UNDERPAID",IF(F1597&lt;G1597*(1-Assumptions!$B$10),"OVERPAID","FAIR")))</f>
        <v>FAIR</v>
      </c>
      <c r="K1597" s="5" t="n">
        <v>158</v>
      </c>
    </row>
    <row r="1598" customFormat="false" ht="15" hidden="false" customHeight="false" outlineLevel="0" collapsed="false">
      <c r="A1598" s="5" t="n">
        <v>2023</v>
      </c>
      <c r="B1598" s="5" t="s">
        <v>264</v>
      </c>
      <c r="C1598" s="5" t="s">
        <v>283</v>
      </c>
      <c r="D1598" s="5" t="n">
        <v>17</v>
      </c>
      <c r="E1598" s="13" t="n">
        <v>4.75</v>
      </c>
      <c r="F1598" s="14" t="n">
        <f aca="false">E1598*Assumptions!$D$6</f>
        <v>710.729485469508</v>
      </c>
      <c r="G1598" s="14" t="n">
        <v>140</v>
      </c>
      <c r="H1598" s="14" t="n">
        <v>250</v>
      </c>
      <c r="I1598" s="14" t="n">
        <f aca="false">F1598-(G1598+H1598)/2</f>
        <v>515.729485469508</v>
      </c>
      <c r="J1598" s="5" t="str">
        <f aca="false">IF(D1598&lt;8,"LOW SAMPLE",IF(F1598&gt;H1598*(1+Assumptions!$B$10),"UNDERPAID",IF(F1598&lt;G1598*(1-Assumptions!$B$10),"OVERPAID","FAIR")))</f>
        <v>UNDERPAID</v>
      </c>
      <c r="K1598" s="5" t="n">
        <v>9</v>
      </c>
    </row>
    <row r="1599" customFormat="false" ht="15" hidden="false" customHeight="false" outlineLevel="0" collapsed="false">
      <c r="A1599" s="5" t="n">
        <v>2023</v>
      </c>
      <c r="B1599" s="5" t="s">
        <v>264</v>
      </c>
      <c r="C1599" s="5" t="s">
        <v>284</v>
      </c>
      <c r="D1599" s="5" t="n">
        <v>26</v>
      </c>
      <c r="E1599" s="13" t="n">
        <v>4.46</v>
      </c>
      <c r="F1599" s="14" t="n">
        <f aca="false">E1599*Assumptions!$D$6</f>
        <v>667.337580040844</v>
      </c>
      <c r="G1599" s="14" t="n">
        <v>380</v>
      </c>
      <c r="H1599" s="14" t="n">
        <v>500</v>
      </c>
      <c r="I1599" s="14" t="n">
        <f aca="false">F1599-(G1599+H1599)/2</f>
        <v>227.337580040844</v>
      </c>
      <c r="J1599" s="5" t="str">
        <f aca="false">IF(D1599&lt;8,"LOW SAMPLE",IF(F1599&gt;H1599*(1+Assumptions!$B$10),"UNDERPAID",IF(F1599&lt;G1599*(1-Assumptions!$B$10),"OVERPAID","FAIR")))</f>
        <v>UNDERPAID</v>
      </c>
      <c r="K1599" s="5" t="n">
        <v>56</v>
      </c>
    </row>
    <row r="1600" customFormat="false" ht="15" hidden="false" customHeight="false" outlineLevel="0" collapsed="false">
      <c r="A1600" s="5" t="n">
        <v>2023</v>
      </c>
      <c r="B1600" s="5" t="s">
        <v>264</v>
      </c>
      <c r="C1600" s="5" t="s">
        <v>285</v>
      </c>
      <c r="D1600" s="5" t="n">
        <v>24</v>
      </c>
      <c r="E1600" s="13" t="n">
        <v>4.74</v>
      </c>
      <c r="F1600" s="14" t="n">
        <f aca="false">E1600*Assumptions!$D$6</f>
        <v>709.23321286852</v>
      </c>
      <c r="G1600" s="14" t="n">
        <v>500</v>
      </c>
      <c r="H1600" s="14" t="n">
        <v>680</v>
      </c>
      <c r="I1600" s="14" t="n">
        <f aca="false">F1600-(G1600+H1600)/2</f>
        <v>119.23321286852</v>
      </c>
      <c r="J1600" s="5" t="str">
        <f aca="false">IF(D1600&lt;8,"LOW SAMPLE",IF(F1600&gt;H1600*(1+Assumptions!$B$10),"UNDERPAID",IF(F1600&lt;G1600*(1-Assumptions!$B$10),"OVERPAID","FAIR")))</f>
        <v>FAIR</v>
      </c>
      <c r="K1600" s="5" t="n">
        <v>155</v>
      </c>
    </row>
    <row r="1601" customFormat="false" ht="15" hidden="false" customHeight="false" outlineLevel="0" collapsed="false">
      <c r="A1601" s="5" t="n">
        <v>2023</v>
      </c>
      <c r="B1601" s="5" t="s">
        <v>264</v>
      </c>
      <c r="C1601" s="5" t="s">
        <v>286</v>
      </c>
      <c r="D1601" s="5" t="n">
        <v>14</v>
      </c>
      <c r="E1601" s="13" t="n">
        <v>1.37</v>
      </c>
      <c r="F1601" s="14" t="n">
        <f aca="false">E1601*Assumptions!$D$6</f>
        <v>204.989346335416</v>
      </c>
      <c r="G1601" s="14" t="n">
        <v>250</v>
      </c>
      <c r="H1601" s="14" t="n">
        <v>380</v>
      </c>
      <c r="I1601" s="14" t="n">
        <f aca="false">F1601-(G1601+H1601)/2</f>
        <v>-110.010653664584</v>
      </c>
      <c r="J1601" s="5" t="str">
        <f aca="false">IF(D1601&lt;8,"LOW SAMPLE",IF(F1601&gt;H1601*(1+Assumptions!$B$10),"UNDERPAID",IF(F1601&lt;G1601*(1-Assumptions!$B$10),"OVERPAID","FAIR")))</f>
        <v>OVERPAID</v>
      </c>
      <c r="K1601" s="5" t="n">
        <v>57</v>
      </c>
    </row>
    <row r="1602" customFormat="false" ht="15" hidden="false" customHeight="false" outlineLevel="0" collapsed="false">
      <c r="A1602" s="5" t="n">
        <v>2023</v>
      </c>
      <c r="B1602" s="5" t="s">
        <v>264</v>
      </c>
      <c r="C1602" s="5" t="s">
        <v>288</v>
      </c>
      <c r="D1602" s="5" t="n">
        <v>9</v>
      </c>
      <c r="E1602" s="13" t="n">
        <v>1.83</v>
      </c>
      <c r="F1602" s="14" t="n">
        <f aca="false">E1602*Assumptions!$D$6</f>
        <v>273.817885980884</v>
      </c>
      <c r="G1602" s="14" t="n">
        <v>380</v>
      </c>
      <c r="H1602" s="14" t="n">
        <v>500</v>
      </c>
      <c r="I1602" s="14" t="n">
        <f aca="false">F1602-(G1602+H1602)/2</f>
        <v>-166.182114019116</v>
      </c>
      <c r="J1602" s="5" t="str">
        <f aca="false">IF(D1602&lt;8,"LOW SAMPLE",IF(F1602&gt;H1602*(1+Assumptions!$B$10),"UNDERPAID",IF(F1602&lt;G1602*(1-Assumptions!$B$10),"OVERPAID","FAIR")))</f>
        <v>OVERPAID</v>
      </c>
      <c r="K1602" s="5" t="n">
        <v>24</v>
      </c>
    </row>
    <row r="1603" customFormat="false" ht="15" hidden="false" customHeight="false" outlineLevel="0" collapsed="false">
      <c r="A1603" s="5" t="n">
        <v>2023</v>
      </c>
      <c r="B1603" s="5" t="s">
        <v>264</v>
      </c>
      <c r="C1603" s="5" t="s">
        <v>290</v>
      </c>
      <c r="D1603" s="5" t="n">
        <v>20</v>
      </c>
      <c r="E1603" s="13" t="n">
        <v>2.64</v>
      </c>
      <c r="F1603" s="14" t="n">
        <f aca="false">E1603*Assumptions!$D$6</f>
        <v>395.015966660948</v>
      </c>
      <c r="G1603" s="14" t="n">
        <v>380</v>
      </c>
      <c r="H1603" s="14" t="n">
        <v>500</v>
      </c>
      <c r="I1603" s="14" t="n">
        <f aca="false">F1603-(G1603+H1603)/2</f>
        <v>-44.9840333390522</v>
      </c>
      <c r="J1603" s="5" t="str">
        <f aca="false">IF(D1603&lt;8,"LOW SAMPLE",IF(F1603&gt;H1603*(1+Assumptions!$B$10),"UNDERPAID",IF(F1603&lt;G1603*(1-Assumptions!$B$10),"OVERPAID","FAIR")))</f>
        <v>FAIR</v>
      </c>
      <c r="K1603" s="5" t="n">
        <v>156</v>
      </c>
    </row>
    <row r="1604" customFormat="false" ht="15" hidden="false" customHeight="false" outlineLevel="0" collapsed="false">
      <c r="A1604" s="5" t="n">
        <v>2023</v>
      </c>
      <c r="B1604" s="5" t="s">
        <v>264</v>
      </c>
      <c r="C1604" s="5" t="s">
        <v>762</v>
      </c>
      <c r="D1604" s="5" t="n">
        <v>15</v>
      </c>
      <c r="E1604" s="13" t="n">
        <v>1.36</v>
      </c>
      <c r="F1604" s="14" t="n">
        <f aca="false">E1604*Assumptions!$D$6</f>
        <v>203.493073734428</v>
      </c>
      <c r="G1604" s="14" t="n">
        <v>140</v>
      </c>
      <c r="H1604" s="14" t="n">
        <v>250</v>
      </c>
      <c r="I1604" s="14" t="n">
        <f aca="false">F1604-(G1604+H1604)/2</f>
        <v>8.49307373442767</v>
      </c>
      <c r="J1604" s="5" t="str">
        <f aca="false">IF(D1604&lt;8,"LOW SAMPLE",IF(F1604&gt;H1604*(1+Assumptions!$B$10),"UNDERPAID",IF(F1604&lt;G1604*(1-Assumptions!$B$10),"OVERPAID","FAIR")))</f>
        <v>FAIR</v>
      </c>
      <c r="K1604" s="5" t="n">
        <v>1</v>
      </c>
    </row>
    <row r="1605" customFormat="false" ht="15" hidden="false" customHeight="false" outlineLevel="0" collapsed="false">
      <c r="A1605" s="5" t="n">
        <v>2023</v>
      </c>
      <c r="B1605" s="5" t="s">
        <v>264</v>
      </c>
      <c r="C1605" s="5" t="s">
        <v>294</v>
      </c>
      <c r="D1605" s="5" t="n">
        <v>18</v>
      </c>
      <c r="E1605" s="13" t="n">
        <v>3.46</v>
      </c>
      <c r="F1605" s="14" t="n">
        <f aca="false">E1605*Assumptions!$D$6</f>
        <v>517.710319942</v>
      </c>
      <c r="G1605" s="14" t="n">
        <v>500</v>
      </c>
      <c r="H1605" s="14" t="n">
        <v>680</v>
      </c>
      <c r="I1605" s="14" t="n">
        <f aca="false">F1605-(G1605+H1605)/2</f>
        <v>-72.2896800580003</v>
      </c>
      <c r="J1605" s="5" t="str">
        <f aca="false">IF(D1605&lt;8,"LOW SAMPLE",IF(F1605&gt;H1605*(1+Assumptions!$B$10),"UNDERPAID",IF(F1605&lt;G1605*(1-Assumptions!$B$10),"OVERPAID","FAIR")))</f>
        <v>FAIR</v>
      </c>
      <c r="K1605" s="5" t="n">
        <v>75</v>
      </c>
    </row>
    <row r="1606" customFormat="false" ht="15" hidden="false" customHeight="false" outlineLevel="0" collapsed="false">
      <c r="A1606" s="5" t="n">
        <v>2023</v>
      </c>
      <c r="B1606" s="5" t="s">
        <v>264</v>
      </c>
      <c r="C1606" s="5" t="s">
        <v>296</v>
      </c>
      <c r="D1606" s="5" t="n">
        <v>25</v>
      </c>
      <c r="E1606" s="13" t="n">
        <v>6.1</v>
      </c>
      <c r="F1606" s="14" t="n">
        <f aca="false">E1606*Assumptions!$D$6</f>
        <v>912.726286602948</v>
      </c>
      <c r="G1606" s="14" t="n">
        <v>500</v>
      </c>
      <c r="H1606" s="14" t="n">
        <v>680</v>
      </c>
      <c r="I1606" s="14" t="n">
        <f aca="false">F1606-(G1606+H1606)/2</f>
        <v>322.726286602948</v>
      </c>
      <c r="J1606" s="5" t="str">
        <f aca="false">IF(D1606&lt;8,"LOW SAMPLE",IF(F1606&gt;H1606*(1+Assumptions!$B$10),"UNDERPAID",IF(F1606&lt;G1606*(1-Assumptions!$B$10),"OVERPAID","FAIR")))</f>
        <v>UNDERPAID</v>
      </c>
      <c r="K1606" s="5" t="n">
        <v>133</v>
      </c>
    </row>
    <row r="1607" customFormat="false" ht="15" hidden="false" customHeight="false" outlineLevel="0" collapsed="false">
      <c r="A1607" s="5" t="n">
        <v>2023</v>
      </c>
      <c r="B1607" s="5" t="s">
        <v>264</v>
      </c>
      <c r="C1607" s="5" t="s">
        <v>783</v>
      </c>
      <c r="D1607" s="5" t="n">
        <v>19</v>
      </c>
      <c r="E1607" s="13" t="n">
        <v>2.99</v>
      </c>
      <c r="F1607" s="14" t="n">
        <f aca="false">E1607*Assumptions!$D$6</f>
        <v>447.385507695543</v>
      </c>
      <c r="G1607" s="14" t="n">
        <v>140</v>
      </c>
      <c r="H1607" s="14" t="n">
        <v>250</v>
      </c>
      <c r="I1607" s="14" t="n">
        <f aca="false">F1607-(G1607+H1607)/2</f>
        <v>252.385507695543</v>
      </c>
      <c r="J1607" s="5" t="str">
        <f aca="false">IF(D1607&lt;8,"LOW SAMPLE",IF(F1607&gt;H1607*(1+Assumptions!$B$10),"UNDERPAID",IF(F1607&lt;G1607*(1-Assumptions!$B$10),"OVERPAID","FAIR")))</f>
        <v>UNDERPAID</v>
      </c>
      <c r="K1607" s="5" t="n">
        <v>18</v>
      </c>
    </row>
    <row r="1608" customFormat="false" ht="15" hidden="false" customHeight="false" outlineLevel="0" collapsed="false">
      <c r="A1608" s="5" t="n">
        <v>2023</v>
      </c>
      <c r="B1608" s="5" t="s">
        <v>264</v>
      </c>
      <c r="C1608" s="5" t="s">
        <v>299</v>
      </c>
      <c r="D1608" s="5" t="n">
        <v>24</v>
      </c>
      <c r="E1608" s="13" t="n">
        <v>6.75</v>
      </c>
      <c r="F1608" s="14" t="n">
        <f aca="false">E1608*Assumptions!$D$6</f>
        <v>1009.9840056672</v>
      </c>
      <c r="G1608" s="14" t="n">
        <v>500</v>
      </c>
      <c r="H1608" s="14" t="n">
        <v>680</v>
      </c>
      <c r="I1608" s="14" t="n">
        <f aca="false">F1608-(G1608+H1608)/2</f>
        <v>419.984005667196</v>
      </c>
      <c r="J1608" s="5" t="str">
        <f aca="false">IF(D1608&lt;8,"LOW SAMPLE",IF(F1608&gt;H1608*(1+Assumptions!$B$10),"UNDERPAID",IF(F1608&lt;G1608*(1-Assumptions!$B$10),"OVERPAID","FAIR")))</f>
        <v>UNDERPAID</v>
      </c>
      <c r="K1608" s="5" t="n">
        <v>138</v>
      </c>
    </row>
    <row r="1609" customFormat="false" ht="15" hidden="false" customHeight="false" outlineLevel="0" collapsed="false">
      <c r="A1609" s="5" t="n">
        <v>2023</v>
      </c>
      <c r="B1609" s="5" t="s">
        <v>264</v>
      </c>
      <c r="C1609" s="5" t="s">
        <v>851</v>
      </c>
      <c r="D1609" s="5" t="n">
        <v>3</v>
      </c>
      <c r="E1609" s="13" t="n">
        <v>0.16</v>
      </c>
      <c r="F1609" s="14" t="n">
        <f aca="false">E1609*Assumptions!$D$6</f>
        <v>23.940361615815</v>
      </c>
      <c r="G1609" s="14" t="n">
        <v>250</v>
      </c>
      <c r="H1609" s="14" t="n">
        <v>380</v>
      </c>
      <c r="I1609" s="14" t="n">
        <f aca="false">F1609-(G1609+H1609)/2</f>
        <v>-291.059638384185</v>
      </c>
      <c r="J1609" s="5" t="str">
        <f aca="false">IF(D1609&lt;8,"LOW SAMPLE",IF(F1609&gt;H1609*(1+Assumptions!$B$10),"UNDERPAID",IF(F1609&lt;G1609*(1-Assumptions!$B$10),"OVERPAID","FAIR")))</f>
        <v>LOW SAMPLE</v>
      </c>
      <c r="K1609" s="5" t="n">
        <v>0</v>
      </c>
    </row>
    <row r="1610" customFormat="false" ht="15" hidden="false" customHeight="false" outlineLevel="0" collapsed="false">
      <c r="A1610" s="5" t="n">
        <v>2023</v>
      </c>
      <c r="B1610" s="5" t="s">
        <v>264</v>
      </c>
      <c r="C1610" s="5" t="s">
        <v>300</v>
      </c>
      <c r="D1610" s="5" t="n">
        <v>22</v>
      </c>
      <c r="E1610" s="13" t="n">
        <v>5.85</v>
      </c>
      <c r="F1610" s="14" t="n">
        <f aca="false">E1610*Assumptions!$D$6</f>
        <v>875.319471578237</v>
      </c>
      <c r="G1610" s="14" t="n">
        <v>500</v>
      </c>
      <c r="H1610" s="14" t="n">
        <v>680</v>
      </c>
      <c r="I1610" s="14" t="n">
        <f aca="false">F1610-(G1610+H1610)/2</f>
        <v>285.319471578237</v>
      </c>
      <c r="J1610" s="5" t="str">
        <f aca="false">IF(D1610&lt;8,"LOW SAMPLE",IF(F1610&gt;H1610*(1+Assumptions!$B$10),"UNDERPAID",IF(F1610&lt;G1610*(1-Assumptions!$B$10),"OVERPAID","FAIR")))</f>
        <v>UNDERPAID</v>
      </c>
      <c r="K1610" s="5" t="n">
        <v>45</v>
      </c>
    </row>
    <row r="1611" customFormat="false" ht="15" hidden="false" customHeight="false" outlineLevel="0" collapsed="false">
      <c r="A1611" s="5" t="n">
        <v>2023</v>
      </c>
      <c r="B1611" s="5" t="s">
        <v>264</v>
      </c>
      <c r="C1611" s="5" t="s">
        <v>301</v>
      </c>
      <c r="D1611" s="5" t="n">
        <v>15</v>
      </c>
      <c r="E1611" s="13" t="n">
        <v>2.06</v>
      </c>
      <c r="F1611" s="14" t="n">
        <f aca="false">E1611*Assumptions!$D$6</f>
        <v>308.232155803618</v>
      </c>
      <c r="G1611" s="14" t="n">
        <v>250</v>
      </c>
      <c r="H1611" s="14" t="n">
        <v>380</v>
      </c>
      <c r="I1611" s="14" t="n">
        <f aca="false">F1611-(G1611+H1611)/2</f>
        <v>-6.76784419638165</v>
      </c>
      <c r="J1611" s="5" t="str">
        <f aca="false">IF(D1611&lt;8,"LOW SAMPLE",IF(F1611&gt;H1611*(1+Assumptions!$B$10),"UNDERPAID",IF(F1611&lt;G1611*(1-Assumptions!$B$10),"OVERPAID","FAIR")))</f>
        <v>FAIR</v>
      </c>
      <c r="K1611" s="5" t="n">
        <v>33</v>
      </c>
    </row>
    <row r="1612" customFormat="false" ht="15" hidden="false" customHeight="false" outlineLevel="0" collapsed="false">
      <c r="A1612" s="5" t="n">
        <v>2023</v>
      </c>
      <c r="B1612" s="5" t="s">
        <v>303</v>
      </c>
      <c r="C1612" s="5" t="s">
        <v>304</v>
      </c>
      <c r="D1612" s="5" t="n">
        <v>21</v>
      </c>
      <c r="E1612" s="13" t="n">
        <v>3.87</v>
      </c>
      <c r="F1612" s="14" t="n">
        <f aca="false">E1612*Assumptions!$D$6</f>
        <v>579.057496582526</v>
      </c>
      <c r="G1612" s="14" t="n">
        <v>380</v>
      </c>
      <c r="H1612" s="14" t="n">
        <v>500</v>
      </c>
      <c r="I1612" s="14" t="n">
        <f aca="false">F1612-(G1612+H1612)/2</f>
        <v>139.057496582526</v>
      </c>
      <c r="J1612" s="5" t="str">
        <f aca="false">IF(D1612&lt;8,"LOW SAMPLE",IF(F1612&gt;H1612*(1+Assumptions!$B$10),"UNDERPAID",IF(F1612&lt;G1612*(1-Assumptions!$B$10),"OVERPAID","FAIR")))</f>
        <v>UNDERPAID</v>
      </c>
      <c r="K1612" s="5" t="n">
        <v>55</v>
      </c>
    </row>
    <row r="1613" customFormat="false" ht="15" hidden="false" customHeight="false" outlineLevel="0" collapsed="false">
      <c r="A1613" s="5" t="n">
        <v>2023</v>
      </c>
      <c r="B1613" s="5" t="s">
        <v>303</v>
      </c>
      <c r="C1613" s="5" t="s">
        <v>305</v>
      </c>
      <c r="D1613" s="5" t="n">
        <v>9</v>
      </c>
      <c r="E1613" s="13" t="n">
        <v>1.29</v>
      </c>
      <c r="F1613" s="14" t="n">
        <f aca="false">E1613*Assumptions!$D$6</f>
        <v>193.019165527509</v>
      </c>
      <c r="G1613" s="14" t="n">
        <v>500</v>
      </c>
      <c r="H1613" s="14" t="n">
        <v>680</v>
      </c>
      <c r="I1613" s="14" t="n">
        <f aca="false">F1613-(G1613+H1613)/2</f>
        <v>-396.980834472491</v>
      </c>
      <c r="J1613" s="5" t="str">
        <f aca="false">IF(D1613&lt;8,"LOW SAMPLE",IF(F1613&gt;H1613*(1+Assumptions!$B$10),"UNDERPAID",IF(F1613&lt;G1613*(1-Assumptions!$B$10),"OVERPAID","FAIR")))</f>
        <v>OVERPAID</v>
      </c>
      <c r="K1613" s="5" t="n">
        <v>112</v>
      </c>
    </row>
    <row r="1614" customFormat="false" ht="15" hidden="false" customHeight="false" outlineLevel="0" collapsed="false">
      <c r="A1614" s="5" t="n">
        <v>2023</v>
      </c>
      <c r="B1614" s="5" t="s">
        <v>303</v>
      </c>
      <c r="C1614" s="5" t="s">
        <v>306</v>
      </c>
      <c r="D1614" s="5" t="n">
        <v>6</v>
      </c>
      <c r="E1614" s="13" t="n">
        <v>1.23</v>
      </c>
      <c r="F1614" s="14" t="n">
        <f aca="false">E1614*Assumptions!$D$6</f>
        <v>184.041529921578</v>
      </c>
      <c r="G1614" s="14" t="n">
        <v>680</v>
      </c>
      <c r="H1614" s="14" t="n">
        <v>950</v>
      </c>
      <c r="I1614" s="14" t="n">
        <f aca="false">F1614-(G1614+H1614)/2</f>
        <v>-630.958470078422</v>
      </c>
      <c r="J1614" s="5" t="str">
        <f aca="false">IF(D1614&lt;8,"LOW SAMPLE",IF(F1614&gt;H1614*(1+Assumptions!$B$10),"UNDERPAID",IF(F1614&lt;G1614*(1-Assumptions!$B$10),"OVERPAID","FAIR")))</f>
        <v>LOW SAMPLE</v>
      </c>
      <c r="K1614" s="5" t="n">
        <v>166</v>
      </c>
    </row>
    <row r="1615" customFormat="false" ht="15" hidden="false" customHeight="false" outlineLevel="0" collapsed="false">
      <c r="A1615" s="5" t="n">
        <v>2023</v>
      </c>
      <c r="B1615" s="5" t="s">
        <v>303</v>
      </c>
      <c r="C1615" s="5" t="s">
        <v>852</v>
      </c>
      <c r="D1615" s="5" t="n">
        <v>1</v>
      </c>
      <c r="E1615" s="13" t="n">
        <v>0</v>
      </c>
      <c r="F1615" s="14" t="n">
        <f aca="false">E1615*Assumptions!$D$6</f>
        <v>0</v>
      </c>
      <c r="G1615" s="14" t="n">
        <v>250</v>
      </c>
      <c r="H1615" s="14" t="n">
        <v>380</v>
      </c>
      <c r="I1615" s="14" t="n">
        <f aca="false">F1615-(G1615+H1615)/2</f>
        <v>-315</v>
      </c>
      <c r="J1615" s="5" t="str">
        <f aca="false">IF(D1615&lt;8,"LOW SAMPLE",IF(F1615&gt;H1615*(1+Assumptions!$B$10),"UNDERPAID",IF(F1615&lt;G1615*(1-Assumptions!$B$10),"OVERPAID","FAIR")))</f>
        <v>LOW SAMPLE</v>
      </c>
      <c r="K1615" s="5" t="n">
        <v>0</v>
      </c>
    </row>
    <row r="1616" customFormat="false" ht="15" hidden="false" customHeight="false" outlineLevel="0" collapsed="false">
      <c r="A1616" s="5" t="n">
        <v>2023</v>
      </c>
      <c r="B1616" s="5" t="s">
        <v>303</v>
      </c>
      <c r="C1616" s="5" t="s">
        <v>308</v>
      </c>
      <c r="D1616" s="5" t="n">
        <v>16</v>
      </c>
      <c r="E1616" s="13" t="n">
        <v>2.78</v>
      </c>
      <c r="F1616" s="14" t="n">
        <f aca="false">E1616*Assumptions!$D$6</f>
        <v>415.963783074786</v>
      </c>
      <c r="G1616" s="14" t="n">
        <v>250</v>
      </c>
      <c r="H1616" s="14" t="n">
        <v>380</v>
      </c>
      <c r="I1616" s="14" t="n">
        <f aca="false">F1616-(G1616+H1616)/2</f>
        <v>100.963783074786</v>
      </c>
      <c r="J1616" s="5" t="str">
        <f aca="false">IF(D1616&lt;8,"LOW SAMPLE",IF(F1616&gt;H1616*(1+Assumptions!$B$10),"UNDERPAID",IF(F1616&lt;G1616*(1-Assumptions!$B$10),"OVERPAID","FAIR")))</f>
        <v>FAIR</v>
      </c>
      <c r="K1616" s="5" t="n">
        <v>59</v>
      </c>
    </row>
    <row r="1617" customFormat="false" ht="15" hidden="false" customHeight="false" outlineLevel="0" collapsed="false">
      <c r="A1617" s="5" t="n">
        <v>2023</v>
      </c>
      <c r="B1617" s="5" t="s">
        <v>303</v>
      </c>
      <c r="C1617" s="5" t="s">
        <v>310</v>
      </c>
      <c r="D1617" s="5" t="n">
        <v>15</v>
      </c>
      <c r="E1617" s="13" t="n">
        <v>2.74</v>
      </c>
      <c r="F1617" s="14" t="n">
        <f aca="false">E1617*Assumptions!$D$6</f>
        <v>409.978692670832</v>
      </c>
      <c r="G1617" s="14" t="n">
        <v>380</v>
      </c>
      <c r="H1617" s="14" t="n">
        <v>500</v>
      </c>
      <c r="I1617" s="14" t="n">
        <f aca="false">F1617-(G1617+H1617)/2</f>
        <v>-30.0213073291678</v>
      </c>
      <c r="J1617" s="5" t="str">
        <f aca="false">IF(D1617&lt;8,"LOW SAMPLE",IF(F1617&gt;H1617*(1+Assumptions!$B$10),"UNDERPAID",IF(F1617&lt;G1617*(1-Assumptions!$B$10),"OVERPAID","FAIR")))</f>
        <v>FAIR</v>
      </c>
      <c r="K1617" s="5" t="n">
        <v>134</v>
      </c>
    </row>
    <row r="1618" customFormat="false" ht="15" hidden="false" customHeight="false" outlineLevel="0" collapsed="false">
      <c r="A1618" s="5" t="n">
        <v>2023</v>
      </c>
      <c r="B1618" s="5" t="s">
        <v>303</v>
      </c>
      <c r="C1618" s="5" t="s">
        <v>311</v>
      </c>
      <c r="D1618" s="5" t="n">
        <v>23</v>
      </c>
      <c r="E1618" s="13" t="n">
        <v>4.94</v>
      </c>
      <c r="F1618" s="14" t="n">
        <f aca="false">E1618*Assumptions!$D$6</f>
        <v>739.158664888289</v>
      </c>
      <c r="G1618" s="14" t="n">
        <v>380</v>
      </c>
      <c r="H1618" s="14" t="n">
        <v>500</v>
      </c>
      <c r="I1618" s="14" t="n">
        <f aca="false">F1618-(G1618+H1618)/2</f>
        <v>299.158664888289</v>
      </c>
      <c r="J1618" s="5" t="str">
        <f aca="false">IF(D1618&lt;8,"LOW SAMPLE",IF(F1618&gt;H1618*(1+Assumptions!$B$10),"UNDERPAID",IF(F1618&lt;G1618*(1-Assumptions!$B$10),"OVERPAID","FAIR")))</f>
        <v>UNDERPAID</v>
      </c>
      <c r="K1618" s="5" t="n">
        <v>83</v>
      </c>
    </row>
    <row r="1619" customFormat="false" ht="15" hidden="false" customHeight="false" outlineLevel="0" collapsed="false">
      <c r="A1619" s="5" t="n">
        <v>2023</v>
      </c>
      <c r="B1619" s="5" t="s">
        <v>303</v>
      </c>
      <c r="C1619" s="5" t="s">
        <v>312</v>
      </c>
      <c r="D1619" s="5" t="n">
        <v>22</v>
      </c>
      <c r="E1619" s="13" t="n">
        <v>4.32</v>
      </c>
      <c r="F1619" s="14" t="n">
        <f aca="false">E1619*Assumptions!$D$6</f>
        <v>646.389763627006</v>
      </c>
      <c r="G1619" s="14" t="n">
        <v>500</v>
      </c>
      <c r="H1619" s="14" t="n">
        <v>680</v>
      </c>
      <c r="I1619" s="14" t="n">
        <f aca="false">F1619-(G1619+H1619)/2</f>
        <v>56.3897636270056</v>
      </c>
      <c r="J1619" s="5" t="str">
        <f aca="false">IF(D1619&lt;8,"LOW SAMPLE",IF(F1619&gt;H1619*(1+Assumptions!$B$10),"UNDERPAID",IF(F1619&lt;G1619*(1-Assumptions!$B$10),"OVERPAID","FAIR")))</f>
        <v>FAIR</v>
      </c>
      <c r="K1619" s="5" t="n">
        <v>172</v>
      </c>
    </row>
    <row r="1620" customFormat="false" ht="15" hidden="false" customHeight="false" outlineLevel="0" collapsed="false">
      <c r="A1620" s="5" t="n">
        <v>2023</v>
      </c>
      <c r="B1620" s="5" t="s">
        <v>303</v>
      </c>
      <c r="C1620" s="5" t="s">
        <v>354</v>
      </c>
      <c r="D1620" s="5" t="n">
        <v>17</v>
      </c>
      <c r="E1620" s="13" t="n">
        <v>2.79</v>
      </c>
      <c r="F1620" s="14" t="n">
        <f aca="false">E1620*Assumptions!$D$6</f>
        <v>417.460055675774</v>
      </c>
      <c r="G1620" s="14" t="n">
        <v>380</v>
      </c>
      <c r="H1620" s="14" t="n">
        <v>500</v>
      </c>
      <c r="I1620" s="14" t="n">
        <f aca="false">F1620-(G1620+H1620)/2</f>
        <v>-22.5399443242256</v>
      </c>
      <c r="J1620" s="5" t="str">
        <f aca="false">IF(D1620&lt;8,"LOW SAMPLE",IF(F1620&gt;H1620*(1+Assumptions!$B$10),"UNDERPAID",IF(F1620&lt;G1620*(1-Assumptions!$B$10),"OVERPAID","FAIR")))</f>
        <v>FAIR</v>
      </c>
      <c r="K1620" s="5" t="n">
        <v>83</v>
      </c>
    </row>
    <row r="1621" customFormat="false" ht="15" hidden="false" customHeight="false" outlineLevel="0" collapsed="false">
      <c r="A1621" s="5" t="n">
        <v>2023</v>
      </c>
      <c r="B1621" s="5" t="s">
        <v>303</v>
      </c>
      <c r="C1621" s="5" t="s">
        <v>313</v>
      </c>
      <c r="D1621" s="5" t="n">
        <v>11</v>
      </c>
      <c r="E1621" s="13" t="n">
        <v>1.93</v>
      </c>
      <c r="F1621" s="14" t="n">
        <f aca="false">E1621*Assumptions!$D$6</f>
        <v>288.780611990769</v>
      </c>
      <c r="G1621" s="14" t="n">
        <v>380</v>
      </c>
      <c r="H1621" s="14" t="n">
        <v>500</v>
      </c>
      <c r="I1621" s="14" t="n">
        <f aca="false">F1621-(G1621+H1621)/2</f>
        <v>-151.219388009231</v>
      </c>
      <c r="J1621" s="5" t="str">
        <f aca="false">IF(D1621&lt;8,"LOW SAMPLE",IF(F1621&gt;H1621*(1+Assumptions!$B$10),"UNDERPAID",IF(F1621&lt;G1621*(1-Assumptions!$B$10),"OVERPAID","FAIR")))</f>
        <v>OVERPAID</v>
      </c>
      <c r="K1621" s="5" t="n">
        <v>107</v>
      </c>
    </row>
    <row r="1622" customFormat="false" ht="15" hidden="false" customHeight="false" outlineLevel="0" collapsed="false">
      <c r="A1622" s="5" t="n">
        <v>2023</v>
      </c>
      <c r="B1622" s="5" t="s">
        <v>303</v>
      </c>
      <c r="C1622" s="5" t="s">
        <v>314</v>
      </c>
      <c r="D1622" s="5" t="n">
        <v>19</v>
      </c>
      <c r="E1622" s="13" t="n">
        <v>2.47</v>
      </c>
      <c r="F1622" s="14" t="n">
        <f aca="false">E1622*Assumptions!$D$6</f>
        <v>369.579332444144</v>
      </c>
      <c r="G1622" s="14" t="n">
        <v>380</v>
      </c>
      <c r="H1622" s="14" t="n">
        <v>500</v>
      </c>
      <c r="I1622" s="14" t="n">
        <f aca="false">F1622-(G1622+H1622)/2</f>
        <v>-70.4206675558556</v>
      </c>
      <c r="J1622" s="5" t="str">
        <f aca="false">IF(D1622&lt;8,"LOW SAMPLE",IF(F1622&gt;H1622*(1+Assumptions!$B$10),"UNDERPAID",IF(F1622&lt;G1622*(1-Assumptions!$B$10),"OVERPAID","FAIR")))</f>
        <v>FAIR</v>
      </c>
      <c r="K1622" s="5" t="n">
        <v>155</v>
      </c>
    </row>
    <row r="1623" customFormat="false" ht="15" hidden="false" customHeight="false" outlineLevel="0" collapsed="false">
      <c r="A1623" s="5" t="n">
        <v>2023</v>
      </c>
      <c r="B1623" s="5" t="s">
        <v>303</v>
      </c>
      <c r="C1623" s="5" t="s">
        <v>315</v>
      </c>
      <c r="D1623" s="5" t="n">
        <v>15</v>
      </c>
      <c r="E1623" s="13" t="n">
        <v>1.57</v>
      </c>
      <c r="F1623" s="14" t="n">
        <f aca="false">E1623*Assumptions!$D$6</f>
        <v>234.914798355185</v>
      </c>
      <c r="G1623" s="14" t="n">
        <v>380</v>
      </c>
      <c r="H1623" s="14" t="n">
        <v>500</v>
      </c>
      <c r="I1623" s="14" t="n">
        <f aca="false">F1623-(G1623+H1623)/2</f>
        <v>-205.085201644815</v>
      </c>
      <c r="J1623" s="5" t="str">
        <f aca="false">IF(D1623&lt;8,"LOW SAMPLE",IF(F1623&gt;H1623*(1+Assumptions!$B$10),"UNDERPAID",IF(F1623&lt;G1623*(1-Assumptions!$B$10),"OVERPAID","FAIR")))</f>
        <v>OVERPAID</v>
      </c>
      <c r="K1623" s="5" t="n">
        <v>144</v>
      </c>
    </row>
    <row r="1624" customFormat="false" ht="15" hidden="false" customHeight="false" outlineLevel="0" collapsed="false">
      <c r="A1624" s="5" t="n">
        <v>2023</v>
      </c>
      <c r="B1624" s="5" t="s">
        <v>303</v>
      </c>
      <c r="C1624" s="5" t="s">
        <v>316</v>
      </c>
      <c r="D1624" s="5" t="n">
        <v>20</v>
      </c>
      <c r="E1624" s="13" t="n">
        <v>5.66</v>
      </c>
      <c r="F1624" s="14" t="n">
        <f aca="false">E1624*Assumptions!$D$6</f>
        <v>846.890292159456</v>
      </c>
      <c r="G1624" s="14" t="n">
        <v>680</v>
      </c>
      <c r="H1624" s="14" t="n">
        <v>950</v>
      </c>
      <c r="I1624" s="14" t="n">
        <f aca="false">F1624-(G1624+H1624)/2</f>
        <v>31.8902921594563</v>
      </c>
      <c r="J1624" s="5" t="str">
        <f aca="false">IF(D1624&lt;8,"LOW SAMPLE",IF(F1624&gt;H1624*(1+Assumptions!$B$10),"UNDERPAID",IF(F1624&lt;G1624*(1-Assumptions!$B$10),"OVERPAID","FAIR")))</f>
        <v>FAIR</v>
      </c>
      <c r="K1624" s="5" t="n">
        <v>159</v>
      </c>
    </row>
    <row r="1625" customFormat="false" ht="15" hidden="false" customHeight="false" outlineLevel="0" collapsed="false">
      <c r="A1625" s="5" t="n">
        <v>2023</v>
      </c>
      <c r="B1625" s="5" t="s">
        <v>303</v>
      </c>
      <c r="C1625" s="5" t="s">
        <v>853</v>
      </c>
      <c r="D1625" s="5" t="n">
        <v>1</v>
      </c>
      <c r="E1625" s="13" t="n">
        <v>0.11</v>
      </c>
      <c r="F1625" s="14" t="n">
        <f aca="false">E1625*Assumptions!$D$6</f>
        <v>16.4589986108728</v>
      </c>
      <c r="G1625" s="14" t="n">
        <v>250</v>
      </c>
      <c r="H1625" s="14" t="n">
        <v>380</v>
      </c>
      <c r="I1625" s="14" t="n">
        <f aca="false">F1625-(G1625+H1625)/2</f>
        <v>-298.541001389127</v>
      </c>
      <c r="J1625" s="5" t="str">
        <f aca="false">IF(D1625&lt;8,"LOW SAMPLE",IF(F1625&gt;H1625*(1+Assumptions!$B$10),"UNDERPAID",IF(F1625&lt;G1625*(1-Assumptions!$B$10),"OVERPAID","FAIR")))</f>
        <v>LOW SAMPLE</v>
      </c>
      <c r="K1625" s="5" t="n">
        <v>0</v>
      </c>
    </row>
    <row r="1626" customFormat="false" ht="15" hidden="false" customHeight="false" outlineLevel="0" collapsed="false">
      <c r="A1626" s="5" t="n">
        <v>2023</v>
      </c>
      <c r="B1626" s="5" t="s">
        <v>303</v>
      </c>
      <c r="C1626" s="5" t="s">
        <v>400</v>
      </c>
      <c r="D1626" s="5" t="n">
        <v>6</v>
      </c>
      <c r="E1626" s="13" t="n">
        <v>1.28</v>
      </c>
      <c r="F1626" s="14" t="n">
        <f aca="false">E1626*Assumptions!$D$6</f>
        <v>191.52289292652</v>
      </c>
      <c r="G1626" s="14" t="n">
        <v>250</v>
      </c>
      <c r="H1626" s="14" t="n">
        <v>380</v>
      </c>
      <c r="I1626" s="14" t="n">
        <f aca="false">F1626-(G1626+H1626)/2</f>
        <v>-123.47710707348</v>
      </c>
      <c r="J1626" s="5" t="str">
        <f aca="false">IF(D1626&lt;8,"LOW SAMPLE",IF(F1626&gt;H1626*(1+Assumptions!$B$10),"UNDERPAID",IF(F1626&lt;G1626*(1-Assumptions!$B$10),"OVERPAID","FAIR")))</f>
        <v>LOW SAMPLE</v>
      </c>
      <c r="K1626" s="5" t="n">
        <v>87</v>
      </c>
    </row>
    <row r="1627" customFormat="false" ht="15" hidden="false" customHeight="false" outlineLevel="0" collapsed="false">
      <c r="A1627" s="5" t="n">
        <v>2023</v>
      </c>
      <c r="B1627" s="5" t="s">
        <v>303</v>
      </c>
      <c r="C1627" s="5" t="s">
        <v>322</v>
      </c>
      <c r="D1627" s="5" t="n">
        <v>19</v>
      </c>
      <c r="E1627" s="13" t="n">
        <v>5.11</v>
      </c>
      <c r="F1627" s="14" t="n">
        <f aca="false">E1627*Assumptions!$D$6</f>
        <v>764.595299105092</v>
      </c>
      <c r="G1627" s="14" t="n">
        <v>680</v>
      </c>
      <c r="H1627" s="14" t="n">
        <v>950</v>
      </c>
      <c r="I1627" s="14" t="n">
        <f aca="false">F1627-(G1627+H1627)/2</f>
        <v>-50.4047008949078</v>
      </c>
      <c r="J1627" s="5" t="str">
        <f aca="false">IF(D1627&lt;8,"LOW SAMPLE",IF(F1627&gt;H1627*(1+Assumptions!$B$10),"UNDERPAID",IF(F1627&lt;G1627*(1-Assumptions!$B$10),"OVERPAID","FAIR")))</f>
        <v>FAIR</v>
      </c>
      <c r="K1627" s="5" t="n">
        <v>182</v>
      </c>
    </row>
    <row r="1628" customFormat="false" ht="15" hidden="false" customHeight="false" outlineLevel="0" collapsed="false">
      <c r="A1628" s="5" t="n">
        <v>2023</v>
      </c>
      <c r="B1628" s="5" t="s">
        <v>303</v>
      </c>
      <c r="C1628" s="5" t="s">
        <v>323</v>
      </c>
      <c r="D1628" s="5" t="n">
        <v>22</v>
      </c>
      <c r="E1628" s="13" t="n">
        <v>3.52</v>
      </c>
      <c r="F1628" s="14" t="n">
        <f aca="false">E1628*Assumptions!$D$6</f>
        <v>526.68795554793</v>
      </c>
      <c r="G1628" s="14" t="n">
        <v>380</v>
      </c>
      <c r="H1628" s="14" t="n">
        <v>500</v>
      </c>
      <c r="I1628" s="14" t="n">
        <f aca="false">F1628-(G1628+H1628)/2</f>
        <v>86.6879555479304</v>
      </c>
      <c r="J1628" s="5" t="str">
        <f aca="false">IF(D1628&lt;8,"LOW SAMPLE",IF(F1628&gt;H1628*(1+Assumptions!$B$10),"UNDERPAID",IF(F1628&lt;G1628*(1-Assumptions!$B$10),"OVERPAID","FAIR")))</f>
        <v>FAIR</v>
      </c>
      <c r="K1628" s="5" t="n">
        <v>87</v>
      </c>
    </row>
    <row r="1629" customFormat="false" ht="15" hidden="false" customHeight="false" outlineLevel="0" collapsed="false">
      <c r="A1629" s="5" t="n">
        <v>2023</v>
      </c>
      <c r="B1629" s="5" t="s">
        <v>303</v>
      </c>
      <c r="C1629" s="5" t="s">
        <v>324</v>
      </c>
      <c r="D1629" s="5" t="n">
        <v>21</v>
      </c>
      <c r="E1629" s="13" t="n">
        <v>4.49</v>
      </c>
      <c r="F1629" s="14" t="n">
        <f aca="false">E1629*Assumptions!$D$6</f>
        <v>671.826397843809</v>
      </c>
      <c r="G1629" s="14" t="n">
        <v>380</v>
      </c>
      <c r="H1629" s="14" t="n">
        <v>500</v>
      </c>
      <c r="I1629" s="14" t="n">
        <f aca="false">F1629-(G1629+H1629)/2</f>
        <v>231.826397843809</v>
      </c>
      <c r="J1629" s="5" t="str">
        <f aca="false">IF(D1629&lt;8,"LOW SAMPLE",IF(F1629&gt;H1629*(1+Assumptions!$B$10),"UNDERPAID",IF(F1629&lt;G1629*(1-Assumptions!$B$10),"OVERPAID","FAIR")))</f>
        <v>UNDERPAID</v>
      </c>
      <c r="K1629" s="5" t="n">
        <v>30</v>
      </c>
    </row>
    <row r="1630" customFormat="false" ht="15" hidden="false" customHeight="false" outlineLevel="0" collapsed="false">
      <c r="A1630" s="5" t="n">
        <v>2023</v>
      </c>
      <c r="B1630" s="5" t="s">
        <v>303</v>
      </c>
      <c r="C1630" s="5" t="s">
        <v>325</v>
      </c>
      <c r="D1630" s="5" t="n">
        <v>16</v>
      </c>
      <c r="E1630" s="13" t="n">
        <v>3.41</v>
      </c>
      <c r="F1630" s="14" t="n">
        <f aca="false">E1630*Assumptions!$D$6</f>
        <v>510.228956937058</v>
      </c>
      <c r="G1630" s="14" t="n">
        <v>500</v>
      </c>
      <c r="H1630" s="14" t="n">
        <v>680</v>
      </c>
      <c r="I1630" s="14" t="n">
        <f aca="false">F1630-(G1630+H1630)/2</f>
        <v>-79.7710430629424</v>
      </c>
      <c r="J1630" s="5" t="str">
        <f aca="false">IF(D1630&lt;8,"LOW SAMPLE",IF(F1630&gt;H1630*(1+Assumptions!$B$10),"UNDERPAID",IF(F1630&lt;G1630*(1-Assumptions!$B$10),"OVERPAID","FAIR")))</f>
        <v>FAIR</v>
      </c>
      <c r="K1630" s="5" t="n">
        <v>158</v>
      </c>
    </row>
    <row r="1631" customFormat="false" ht="15" hidden="false" customHeight="false" outlineLevel="0" collapsed="false">
      <c r="A1631" s="5" t="n">
        <v>2023</v>
      </c>
      <c r="B1631" s="5" t="s">
        <v>303</v>
      </c>
      <c r="C1631" s="5" t="s">
        <v>764</v>
      </c>
      <c r="D1631" s="5" t="n">
        <v>8</v>
      </c>
      <c r="E1631" s="13" t="n">
        <v>1.26</v>
      </c>
      <c r="F1631" s="14" t="n">
        <f aca="false">E1631*Assumptions!$D$6</f>
        <v>188.530347724543</v>
      </c>
      <c r="G1631" s="14" t="n">
        <v>140</v>
      </c>
      <c r="H1631" s="14" t="n">
        <v>250</v>
      </c>
      <c r="I1631" s="14" t="n">
        <f aca="false">F1631-(G1631+H1631)/2</f>
        <v>-6.46965227545672</v>
      </c>
      <c r="J1631" s="5" t="str">
        <f aca="false">IF(D1631&lt;8,"LOW SAMPLE",IF(F1631&gt;H1631*(1+Assumptions!$B$10),"UNDERPAID",IF(F1631&lt;G1631*(1-Assumptions!$B$10),"OVERPAID","FAIR")))</f>
        <v>FAIR</v>
      </c>
      <c r="K1631" s="5" t="n">
        <v>2</v>
      </c>
    </row>
    <row r="1632" customFormat="false" ht="15" hidden="false" customHeight="false" outlineLevel="0" collapsed="false">
      <c r="A1632" s="5" t="n">
        <v>2023</v>
      </c>
      <c r="B1632" s="5" t="s">
        <v>303</v>
      </c>
      <c r="C1632" s="5" t="s">
        <v>854</v>
      </c>
      <c r="D1632" s="5" t="n">
        <v>6</v>
      </c>
      <c r="E1632" s="13" t="n">
        <v>0.38</v>
      </c>
      <c r="F1632" s="14" t="n">
        <f aca="false">E1632*Assumptions!$D$6</f>
        <v>56.8583588375607</v>
      </c>
      <c r="G1632" s="14" t="n">
        <v>250</v>
      </c>
      <c r="H1632" s="14" t="n">
        <v>380</v>
      </c>
      <c r="I1632" s="14" t="n">
        <f aca="false">F1632-(G1632+H1632)/2</f>
        <v>-258.141641162439</v>
      </c>
      <c r="J1632" s="5" t="str">
        <f aca="false">IF(D1632&lt;8,"LOW SAMPLE",IF(F1632&gt;H1632*(1+Assumptions!$B$10),"UNDERPAID",IF(F1632&lt;G1632*(1-Assumptions!$B$10),"OVERPAID","FAIR")))</f>
        <v>LOW SAMPLE</v>
      </c>
      <c r="K1632" s="5" t="n">
        <v>0</v>
      </c>
    </row>
    <row r="1633" customFormat="false" ht="15" hidden="false" customHeight="false" outlineLevel="0" collapsed="false">
      <c r="A1633" s="5" t="n">
        <v>2023</v>
      </c>
      <c r="B1633" s="5" t="s">
        <v>303</v>
      </c>
      <c r="C1633" s="5" t="s">
        <v>765</v>
      </c>
      <c r="D1633" s="5" t="n">
        <v>5</v>
      </c>
      <c r="E1633" s="13" t="n">
        <v>0.42</v>
      </c>
      <c r="F1633" s="14" t="n">
        <f aca="false">E1633*Assumptions!$D$6</f>
        <v>62.8434492415144</v>
      </c>
      <c r="G1633" s="14" t="n">
        <v>140</v>
      </c>
      <c r="H1633" s="14" t="n">
        <v>250</v>
      </c>
      <c r="I1633" s="14" t="n">
        <f aca="false">F1633-(G1633+H1633)/2</f>
        <v>-132.156550758486</v>
      </c>
      <c r="J1633" s="5" t="str">
        <f aca="false">IF(D1633&lt;8,"LOW SAMPLE",IF(F1633&gt;H1633*(1+Assumptions!$B$10),"UNDERPAID",IF(F1633&lt;G1633*(1-Assumptions!$B$10),"OVERPAID","FAIR")))</f>
        <v>LOW SAMPLE</v>
      </c>
      <c r="K1633" s="5" t="n">
        <v>2</v>
      </c>
    </row>
    <row r="1634" customFormat="false" ht="15" hidden="false" customHeight="false" outlineLevel="0" collapsed="false">
      <c r="A1634" s="5" t="n">
        <v>2023</v>
      </c>
      <c r="B1634" s="5" t="s">
        <v>303</v>
      </c>
      <c r="C1634" s="5" t="s">
        <v>176</v>
      </c>
      <c r="D1634" s="5" t="n">
        <v>22</v>
      </c>
      <c r="E1634" s="13" t="n">
        <v>4.24</v>
      </c>
      <c r="F1634" s="14" t="n">
        <f aca="false">E1634*Assumptions!$D$6</f>
        <v>634.419582819098</v>
      </c>
      <c r="G1634" s="14" t="n">
        <v>250</v>
      </c>
      <c r="H1634" s="14" t="n">
        <v>380</v>
      </c>
      <c r="I1634" s="14" t="n">
        <f aca="false">F1634-(G1634+H1634)/2</f>
        <v>319.419582819098</v>
      </c>
      <c r="J1634" s="5" t="str">
        <f aca="false">IF(D1634&lt;8,"LOW SAMPLE",IF(F1634&gt;H1634*(1+Assumptions!$B$10),"UNDERPAID",IF(F1634&lt;G1634*(1-Assumptions!$B$10),"OVERPAID","FAIR")))</f>
        <v>UNDERPAID</v>
      </c>
      <c r="K1634" s="5" t="n">
        <v>25</v>
      </c>
    </row>
    <row r="1635" customFormat="false" ht="15" hidden="false" customHeight="false" outlineLevel="0" collapsed="false">
      <c r="A1635" s="5" t="n">
        <v>2023</v>
      </c>
      <c r="B1635" s="5" t="s">
        <v>303</v>
      </c>
      <c r="C1635" s="5" t="s">
        <v>327</v>
      </c>
      <c r="D1635" s="5" t="n">
        <v>18</v>
      </c>
      <c r="E1635" s="13" t="n">
        <v>5.54</v>
      </c>
      <c r="F1635" s="14" t="n">
        <f aca="false">E1635*Assumptions!$D$6</f>
        <v>828.935020947595</v>
      </c>
      <c r="G1635" s="14" t="n">
        <v>680</v>
      </c>
      <c r="H1635" s="14" t="n">
        <v>950</v>
      </c>
      <c r="I1635" s="14" t="n">
        <f aca="false">F1635-(G1635+H1635)/2</f>
        <v>13.935020947595</v>
      </c>
      <c r="J1635" s="5" t="str">
        <f aca="false">IF(D1635&lt;8,"LOW SAMPLE",IF(F1635&gt;H1635*(1+Assumptions!$B$10),"UNDERPAID",IF(F1635&lt;G1635*(1-Assumptions!$B$10),"OVERPAID","FAIR")))</f>
        <v>FAIR</v>
      </c>
      <c r="K1635" s="5" t="n">
        <v>172</v>
      </c>
    </row>
    <row r="1636" customFormat="false" ht="15" hidden="false" customHeight="false" outlineLevel="0" collapsed="false">
      <c r="A1636" s="5" t="n">
        <v>2023</v>
      </c>
      <c r="B1636" s="5" t="s">
        <v>303</v>
      </c>
      <c r="C1636" s="5" t="s">
        <v>329</v>
      </c>
      <c r="D1636" s="5" t="n">
        <v>13</v>
      </c>
      <c r="E1636" s="13" t="n">
        <v>2.8</v>
      </c>
      <c r="F1636" s="14" t="n">
        <f aca="false">E1636*Assumptions!$D$6</f>
        <v>418.956328276763</v>
      </c>
      <c r="G1636" s="14" t="n">
        <v>500</v>
      </c>
      <c r="H1636" s="14" t="n">
        <v>680</v>
      </c>
      <c r="I1636" s="14" t="n">
        <f aca="false">F1636-(G1636+H1636)/2</f>
        <v>-171.043671723237</v>
      </c>
      <c r="J1636" s="5" t="str">
        <f aca="false">IF(D1636&lt;8,"LOW SAMPLE",IF(F1636&gt;H1636*(1+Assumptions!$B$10),"UNDERPAID",IF(F1636&lt;G1636*(1-Assumptions!$B$10),"OVERPAID","FAIR")))</f>
        <v>OVERPAID</v>
      </c>
      <c r="K1636" s="5" t="n">
        <v>125</v>
      </c>
    </row>
    <row r="1637" customFormat="false" ht="15" hidden="false" customHeight="false" outlineLevel="0" collapsed="false">
      <c r="A1637" s="5" t="n">
        <v>2023</v>
      </c>
      <c r="B1637" s="5" t="s">
        <v>303</v>
      </c>
      <c r="C1637" s="5" t="s">
        <v>330</v>
      </c>
      <c r="D1637" s="5" t="n">
        <v>19</v>
      </c>
      <c r="E1637" s="13" t="n">
        <v>3.03</v>
      </c>
      <c r="F1637" s="14" t="n">
        <f aca="false">E1637*Assumptions!$D$6</f>
        <v>453.370598099497</v>
      </c>
      <c r="G1637" s="14" t="n">
        <v>380</v>
      </c>
      <c r="H1637" s="14" t="n">
        <v>500</v>
      </c>
      <c r="I1637" s="14" t="n">
        <f aca="false">F1637-(G1637+H1637)/2</f>
        <v>13.3705980994969</v>
      </c>
      <c r="J1637" s="5" t="str">
        <f aca="false">IF(D1637&lt;8,"LOW SAMPLE",IF(F1637&gt;H1637*(1+Assumptions!$B$10),"UNDERPAID",IF(F1637&lt;G1637*(1-Assumptions!$B$10),"OVERPAID","FAIR")))</f>
        <v>FAIR</v>
      </c>
      <c r="K1637" s="5" t="n">
        <v>24</v>
      </c>
    </row>
    <row r="1638" customFormat="false" ht="15" hidden="false" customHeight="false" outlineLevel="0" collapsed="false">
      <c r="A1638" s="5" t="n">
        <v>2023</v>
      </c>
      <c r="B1638" s="5" t="s">
        <v>303</v>
      </c>
      <c r="C1638" s="5" t="s">
        <v>331</v>
      </c>
      <c r="D1638" s="5" t="n">
        <v>1</v>
      </c>
      <c r="E1638" s="13" t="n">
        <v>0.21</v>
      </c>
      <c r="F1638" s="14" t="n">
        <f aca="false">E1638*Assumptions!$D$6</f>
        <v>31.4217246207572</v>
      </c>
      <c r="G1638" s="14" t="n">
        <v>380</v>
      </c>
      <c r="H1638" s="14" t="n">
        <v>500</v>
      </c>
      <c r="I1638" s="14" t="n">
        <f aca="false">F1638-(G1638+H1638)/2</f>
        <v>-408.578275379243</v>
      </c>
      <c r="J1638" s="5" t="str">
        <f aca="false">IF(D1638&lt;8,"LOW SAMPLE",IF(F1638&gt;H1638*(1+Assumptions!$B$10),"UNDERPAID",IF(F1638&lt;G1638*(1-Assumptions!$B$10),"OVERPAID","FAIR")))</f>
        <v>LOW SAMPLE</v>
      </c>
      <c r="K1638" s="5" t="n">
        <v>116</v>
      </c>
    </row>
    <row r="1639" customFormat="false" ht="15" hidden="false" customHeight="false" outlineLevel="0" collapsed="false">
      <c r="A1639" s="5" t="n">
        <v>2023</v>
      </c>
      <c r="B1639" s="5" t="s">
        <v>303</v>
      </c>
      <c r="C1639" s="5" t="s">
        <v>332</v>
      </c>
      <c r="D1639" s="5" t="n">
        <v>6</v>
      </c>
      <c r="E1639" s="13" t="n">
        <v>0.73</v>
      </c>
      <c r="F1639" s="14" t="n">
        <f aca="false">E1639*Assumptions!$D$6</f>
        <v>109.227899872156</v>
      </c>
      <c r="G1639" s="14" t="n">
        <v>140</v>
      </c>
      <c r="H1639" s="14" t="n">
        <v>250</v>
      </c>
      <c r="I1639" s="14" t="n">
        <f aca="false">F1639-(G1639+H1639)/2</f>
        <v>-85.772100127844</v>
      </c>
      <c r="J1639" s="5" t="str">
        <f aca="false">IF(D1639&lt;8,"LOW SAMPLE",IF(F1639&gt;H1639*(1+Assumptions!$B$10),"UNDERPAID",IF(F1639&lt;G1639*(1-Assumptions!$B$10),"OVERPAID","FAIR")))</f>
        <v>LOW SAMPLE</v>
      </c>
      <c r="K1639" s="5" t="n">
        <v>19</v>
      </c>
    </row>
    <row r="1640" customFormat="false" ht="15" hidden="false" customHeight="false" outlineLevel="0" collapsed="false">
      <c r="A1640" s="5" t="n">
        <v>2023</v>
      </c>
      <c r="B1640" s="5" t="s">
        <v>303</v>
      </c>
      <c r="C1640" s="5" t="s">
        <v>766</v>
      </c>
      <c r="D1640" s="5" t="n">
        <v>3</v>
      </c>
      <c r="E1640" s="13" t="n">
        <v>0.56</v>
      </c>
      <c r="F1640" s="14" t="n">
        <f aca="false">E1640*Assumptions!$D$6</f>
        <v>83.7912656553526</v>
      </c>
      <c r="G1640" s="14" t="n">
        <v>140</v>
      </c>
      <c r="H1640" s="14" t="n">
        <v>250</v>
      </c>
      <c r="I1640" s="14" t="n">
        <f aca="false">F1640-(G1640+H1640)/2</f>
        <v>-111.208734344647</v>
      </c>
      <c r="J1640" s="5" t="str">
        <f aca="false">IF(D1640&lt;8,"LOW SAMPLE",IF(F1640&gt;H1640*(1+Assumptions!$B$10),"UNDERPAID",IF(F1640&lt;G1640*(1-Assumptions!$B$10),"OVERPAID","FAIR")))</f>
        <v>LOW SAMPLE</v>
      </c>
      <c r="K1640" s="5" t="n">
        <v>2</v>
      </c>
    </row>
    <row r="1641" customFormat="false" ht="15" hidden="false" customHeight="false" outlineLevel="0" collapsed="false">
      <c r="A1641" s="5" t="n">
        <v>2023</v>
      </c>
      <c r="B1641" s="5" t="s">
        <v>303</v>
      </c>
      <c r="C1641" s="5" t="s">
        <v>297</v>
      </c>
      <c r="D1641" s="5" t="n">
        <v>19</v>
      </c>
      <c r="E1641" s="13" t="n">
        <v>3.54</v>
      </c>
      <c r="F1641" s="14" t="n">
        <f aca="false">E1641*Assumptions!$D$6</f>
        <v>529.680500749907</v>
      </c>
      <c r="G1641" s="14" t="n">
        <v>250</v>
      </c>
      <c r="H1641" s="14" t="n">
        <v>380</v>
      </c>
      <c r="I1641" s="14" t="n">
        <f aca="false">F1641-(G1641+H1641)/2</f>
        <v>214.680500749907</v>
      </c>
      <c r="J1641" s="5" t="str">
        <f aca="false">IF(D1641&lt;8,"LOW SAMPLE",IF(F1641&gt;H1641*(1+Assumptions!$B$10),"UNDERPAID",IF(F1641&lt;G1641*(1-Assumptions!$B$10),"OVERPAID","FAIR")))</f>
        <v>UNDERPAID</v>
      </c>
      <c r="K1641" s="5" t="n">
        <v>30</v>
      </c>
    </row>
    <row r="1642" customFormat="false" ht="15" hidden="false" customHeight="false" outlineLevel="0" collapsed="false">
      <c r="A1642" s="5" t="n">
        <v>2023</v>
      </c>
      <c r="B1642" s="5" t="s">
        <v>303</v>
      </c>
      <c r="C1642" s="5" t="s">
        <v>855</v>
      </c>
      <c r="D1642" s="5" t="n">
        <v>1</v>
      </c>
      <c r="E1642" s="13" t="n">
        <v>0.02</v>
      </c>
      <c r="F1642" s="14" t="n">
        <f aca="false">E1642*Assumptions!$D$6</f>
        <v>2.99254520197688</v>
      </c>
      <c r="G1642" s="14" t="n">
        <v>250</v>
      </c>
      <c r="H1642" s="14" t="n">
        <v>380</v>
      </c>
      <c r="I1642" s="14" t="n">
        <f aca="false">F1642-(G1642+H1642)/2</f>
        <v>-312.007454798023</v>
      </c>
      <c r="J1642" s="5" t="str">
        <f aca="false">IF(D1642&lt;8,"LOW SAMPLE",IF(F1642&gt;H1642*(1+Assumptions!$B$10),"UNDERPAID",IF(F1642&lt;G1642*(1-Assumptions!$B$10),"OVERPAID","FAIR")))</f>
        <v>LOW SAMPLE</v>
      </c>
      <c r="K1642" s="5" t="n">
        <v>0</v>
      </c>
    </row>
    <row r="1643" customFormat="false" ht="15" hidden="false" customHeight="false" outlineLevel="0" collapsed="false">
      <c r="A1643" s="5" t="n">
        <v>2023</v>
      </c>
      <c r="B1643" s="5" t="s">
        <v>303</v>
      </c>
      <c r="C1643" s="5" t="s">
        <v>856</v>
      </c>
      <c r="D1643" s="5" t="n">
        <v>1</v>
      </c>
      <c r="E1643" s="13" t="n">
        <v>0.13</v>
      </c>
      <c r="F1643" s="14" t="n">
        <f aca="false">E1643*Assumptions!$D$6</f>
        <v>19.4515438128497</v>
      </c>
      <c r="G1643" s="14" t="n">
        <v>250</v>
      </c>
      <c r="H1643" s="14" t="n">
        <v>380</v>
      </c>
      <c r="I1643" s="14" t="n">
        <f aca="false">F1643-(G1643+H1643)/2</f>
        <v>-295.54845618715</v>
      </c>
      <c r="J1643" s="5" t="str">
        <f aca="false">IF(D1643&lt;8,"LOW SAMPLE",IF(F1643&gt;H1643*(1+Assumptions!$B$10),"UNDERPAID",IF(F1643&lt;G1643*(1-Assumptions!$B$10),"OVERPAID","FAIR")))</f>
        <v>LOW SAMPLE</v>
      </c>
      <c r="K1643" s="5" t="n">
        <v>0</v>
      </c>
    </row>
    <row r="1644" customFormat="false" ht="15" hidden="false" customHeight="false" outlineLevel="0" collapsed="false">
      <c r="A1644" s="5" t="n">
        <v>2023</v>
      </c>
      <c r="B1644" s="5" t="s">
        <v>303</v>
      </c>
      <c r="C1644" s="5" t="s">
        <v>334</v>
      </c>
      <c r="D1644" s="5" t="n">
        <v>23</v>
      </c>
      <c r="E1644" s="13" t="n">
        <v>5.47</v>
      </c>
      <c r="F1644" s="14" t="n">
        <f aca="false">E1644*Assumptions!$D$6</f>
        <v>818.461112740676</v>
      </c>
      <c r="G1644" s="14" t="n">
        <v>500</v>
      </c>
      <c r="H1644" s="14" t="n">
        <v>680</v>
      </c>
      <c r="I1644" s="14" t="n">
        <f aca="false">F1644-(G1644+H1644)/2</f>
        <v>228.461112740676</v>
      </c>
      <c r="J1644" s="5" t="str">
        <f aca="false">IF(D1644&lt;8,"LOW SAMPLE",IF(F1644&gt;H1644*(1+Assumptions!$B$10),"UNDERPAID",IF(F1644&lt;G1644*(1-Assumptions!$B$10),"OVERPAID","FAIR")))</f>
        <v>UNDERPAID</v>
      </c>
      <c r="K1644" s="5" t="n">
        <v>82</v>
      </c>
    </row>
    <row r="1645" customFormat="false" ht="15" hidden="false" customHeight="false" outlineLevel="0" collapsed="false">
      <c r="A1645" s="5" t="n">
        <v>2023</v>
      </c>
      <c r="B1645" s="5" t="s">
        <v>303</v>
      </c>
      <c r="C1645" s="5" t="s">
        <v>335</v>
      </c>
      <c r="D1645" s="5" t="n">
        <v>20</v>
      </c>
      <c r="E1645" s="13" t="n">
        <v>5.31</v>
      </c>
      <c r="F1645" s="14" t="n">
        <f aca="false">E1645*Assumptions!$D$6</f>
        <v>794.520751124861</v>
      </c>
      <c r="G1645" s="14" t="n">
        <v>1300</v>
      </c>
      <c r="H1645" s="14" t="n">
        <v>1700</v>
      </c>
      <c r="I1645" s="14" t="n">
        <f aca="false">F1645-(G1645+H1645)/2</f>
        <v>-705.479248875139</v>
      </c>
      <c r="J1645" s="5" t="str">
        <f aca="false">IF(D1645&lt;8,"LOW SAMPLE",IF(F1645&gt;H1645*(1+Assumptions!$B$10),"UNDERPAID",IF(F1645&lt;G1645*(1-Assumptions!$B$10),"OVERPAID","FAIR")))</f>
        <v>OVERPAID</v>
      </c>
      <c r="K1645" s="5" t="n">
        <v>180</v>
      </c>
    </row>
    <row r="1646" customFormat="false" ht="15" hidden="false" customHeight="false" outlineLevel="0" collapsed="false">
      <c r="A1646" s="5" t="n">
        <v>2023</v>
      </c>
      <c r="B1646" s="5" t="s">
        <v>303</v>
      </c>
      <c r="C1646" s="5" t="s">
        <v>336</v>
      </c>
      <c r="D1646" s="5" t="n">
        <v>22</v>
      </c>
      <c r="E1646" s="13" t="n">
        <v>5.96</v>
      </c>
      <c r="F1646" s="14" t="n">
        <f aca="false">E1646*Assumptions!$D$6</f>
        <v>891.778470189109</v>
      </c>
      <c r="G1646" s="14" t="n">
        <v>680</v>
      </c>
      <c r="H1646" s="14" t="n">
        <v>950</v>
      </c>
      <c r="I1646" s="14" t="n">
        <f aca="false">F1646-(G1646+H1646)/2</f>
        <v>76.7784701891094</v>
      </c>
      <c r="J1646" s="5" t="str">
        <f aca="false">IF(D1646&lt;8,"LOW SAMPLE",IF(F1646&gt;H1646*(1+Assumptions!$B$10),"UNDERPAID",IF(F1646&lt;G1646*(1-Assumptions!$B$10),"OVERPAID","FAIR")))</f>
        <v>FAIR</v>
      </c>
      <c r="K1646" s="5" t="n">
        <v>126</v>
      </c>
    </row>
    <row r="1647" customFormat="false" ht="15" hidden="false" customHeight="false" outlineLevel="0" collapsed="false">
      <c r="A1647" s="5" t="n">
        <v>2023</v>
      </c>
      <c r="B1647" s="5" t="s">
        <v>303</v>
      </c>
      <c r="C1647" s="5" t="s">
        <v>767</v>
      </c>
      <c r="D1647" s="5" t="n">
        <v>19</v>
      </c>
      <c r="E1647" s="13" t="n">
        <v>3.43</v>
      </c>
      <c r="F1647" s="14" t="n">
        <f aca="false">E1647*Assumptions!$D$6</f>
        <v>513.221502139034</v>
      </c>
      <c r="G1647" s="14" t="n">
        <v>500</v>
      </c>
      <c r="H1647" s="14" t="n">
        <v>680</v>
      </c>
      <c r="I1647" s="14" t="n">
        <f aca="false">F1647-(G1647+H1647)/2</f>
        <v>-76.7784978609656</v>
      </c>
      <c r="J1647" s="5" t="str">
        <f aca="false">IF(D1647&lt;8,"LOW SAMPLE",IF(F1647&gt;H1647*(1+Assumptions!$B$10),"UNDERPAID",IF(F1647&lt;G1647*(1-Assumptions!$B$10),"OVERPAID","FAIR")))</f>
        <v>FAIR</v>
      </c>
      <c r="K1647" s="5" t="n">
        <v>41</v>
      </c>
    </row>
    <row r="1648" customFormat="false" ht="15" hidden="false" customHeight="false" outlineLevel="0" collapsed="false">
      <c r="A1648" s="5" t="n">
        <v>2023</v>
      </c>
      <c r="B1648" s="5" t="s">
        <v>303</v>
      </c>
      <c r="C1648" s="5" t="s">
        <v>337</v>
      </c>
      <c r="D1648" s="5" t="n">
        <v>23</v>
      </c>
      <c r="E1648" s="13" t="n">
        <v>3.98</v>
      </c>
      <c r="F1648" s="14" t="n">
        <f aca="false">E1648*Assumptions!$D$6</f>
        <v>595.516495193399</v>
      </c>
      <c r="G1648" s="14" t="n">
        <v>380</v>
      </c>
      <c r="H1648" s="14" t="n">
        <v>500</v>
      </c>
      <c r="I1648" s="14" t="n">
        <f aca="false">F1648-(G1648+H1648)/2</f>
        <v>155.516495193399</v>
      </c>
      <c r="J1648" s="5" t="str">
        <f aca="false">IF(D1648&lt;8,"LOW SAMPLE",IF(F1648&gt;H1648*(1+Assumptions!$B$10),"UNDERPAID",IF(F1648&lt;G1648*(1-Assumptions!$B$10),"OVERPAID","FAIR")))</f>
        <v>UNDERPAID</v>
      </c>
      <c r="K1648" s="5" t="n">
        <v>54</v>
      </c>
    </row>
    <row r="1649" customFormat="false" ht="15" hidden="false" customHeight="false" outlineLevel="0" collapsed="false">
      <c r="A1649" s="5" t="n">
        <v>2023</v>
      </c>
      <c r="B1649" s="5" t="s">
        <v>303</v>
      </c>
      <c r="C1649" s="5" t="s">
        <v>338</v>
      </c>
      <c r="D1649" s="5" t="n">
        <v>20</v>
      </c>
      <c r="E1649" s="13" t="n">
        <v>4.03</v>
      </c>
      <c r="F1649" s="14" t="n">
        <f aca="false">E1649*Assumptions!$D$6</f>
        <v>602.997858198341</v>
      </c>
      <c r="G1649" s="14" t="n">
        <v>500</v>
      </c>
      <c r="H1649" s="14" t="n">
        <v>680</v>
      </c>
      <c r="I1649" s="14" t="n">
        <f aca="false">F1649-(G1649+H1649)/2</f>
        <v>12.9978581983409</v>
      </c>
      <c r="J1649" s="5" t="str">
        <f aca="false">IF(D1649&lt;8,"LOW SAMPLE",IF(F1649&gt;H1649*(1+Assumptions!$B$10),"UNDERPAID",IF(F1649&lt;G1649*(1-Assumptions!$B$10),"OVERPAID","FAIR")))</f>
        <v>FAIR</v>
      </c>
      <c r="K1649" s="5" t="n">
        <v>174</v>
      </c>
    </row>
    <row r="1650" customFormat="false" ht="15" hidden="false" customHeight="false" outlineLevel="0" collapsed="false">
      <c r="A1650" s="5" t="n">
        <v>2023</v>
      </c>
      <c r="B1650" s="5" t="s">
        <v>339</v>
      </c>
      <c r="C1650" s="5" t="s">
        <v>340</v>
      </c>
      <c r="D1650" s="5" t="n">
        <v>9</v>
      </c>
      <c r="E1650" s="13" t="n">
        <v>1.48</v>
      </c>
      <c r="F1650" s="14" t="n">
        <f aca="false">E1650*Assumptions!$D$6</f>
        <v>221.448344946289</v>
      </c>
      <c r="G1650" s="14" t="n">
        <v>140</v>
      </c>
      <c r="H1650" s="14" t="n">
        <v>250</v>
      </c>
      <c r="I1650" s="14" t="n">
        <f aca="false">F1650-(G1650+H1650)/2</f>
        <v>26.4483449462889</v>
      </c>
      <c r="J1650" s="5" t="str">
        <f aca="false">IF(D1650&lt;8,"LOW SAMPLE",IF(F1650&gt;H1650*(1+Assumptions!$B$10),"UNDERPAID",IF(F1650&lt;G1650*(1-Assumptions!$B$10),"OVERPAID","FAIR")))</f>
        <v>FAIR</v>
      </c>
      <c r="K1650" s="5" t="n">
        <v>16</v>
      </c>
    </row>
    <row r="1651" customFormat="false" ht="15" hidden="false" customHeight="false" outlineLevel="0" collapsed="false">
      <c r="A1651" s="5" t="n">
        <v>2023</v>
      </c>
      <c r="B1651" s="5" t="s">
        <v>339</v>
      </c>
      <c r="C1651" s="5" t="s">
        <v>341</v>
      </c>
      <c r="D1651" s="5" t="n">
        <v>8</v>
      </c>
      <c r="E1651" s="13" t="n">
        <v>0.63</v>
      </c>
      <c r="F1651" s="14" t="n">
        <f aca="false">E1651*Assumptions!$D$6</f>
        <v>94.2651738622716</v>
      </c>
      <c r="G1651" s="14" t="n">
        <v>380</v>
      </c>
      <c r="H1651" s="14" t="n">
        <v>500</v>
      </c>
      <c r="I1651" s="14" t="n">
        <f aca="false">F1651-(G1651+H1651)/2</f>
        <v>-345.734826137728</v>
      </c>
      <c r="J1651" s="5" t="str">
        <f aca="false">IF(D1651&lt;8,"LOW SAMPLE",IF(F1651&gt;H1651*(1+Assumptions!$B$10),"UNDERPAID",IF(F1651&lt;G1651*(1-Assumptions!$B$10),"OVERPAID","FAIR")))</f>
        <v>OVERPAID</v>
      </c>
      <c r="K1651" s="5" t="n">
        <v>134</v>
      </c>
    </row>
    <row r="1652" customFormat="false" ht="15" hidden="false" customHeight="false" outlineLevel="0" collapsed="false">
      <c r="A1652" s="5" t="n">
        <v>2023</v>
      </c>
      <c r="B1652" s="5" t="s">
        <v>339</v>
      </c>
      <c r="C1652" s="5" t="s">
        <v>857</v>
      </c>
      <c r="D1652" s="5" t="n">
        <v>19</v>
      </c>
      <c r="E1652" s="13" t="n">
        <v>3.04</v>
      </c>
      <c r="F1652" s="14" t="n">
        <f aca="false">E1652*Assumptions!$D$6</f>
        <v>454.866870700485</v>
      </c>
      <c r="G1652" s="14" t="n">
        <v>250</v>
      </c>
      <c r="H1652" s="14" t="n">
        <v>380</v>
      </c>
      <c r="I1652" s="14" t="n">
        <f aca="false">F1652-(G1652+H1652)/2</f>
        <v>139.866870700485</v>
      </c>
      <c r="J1652" s="5" t="str">
        <f aca="false">IF(D1652&lt;8,"LOW SAMPLE",IF(F1652&gt;H1652*(1+Assumptions!$B$10),"UNDERPAID",IF(F1652&lt;G1652*(1-Assumptions!$B$10),"OVERPAID","FAIR")))</f>
        <v>UNDERPAID</v>
      </c>
      <c r="K1652" s="5" t="n">
        <v>0</v>
      </c>
    </row>
    <row r="1653" customFormat="false" ht="15" hidden="false" customHeight="false" outlineLevel="0" collapsed="false">
      <c r="A1653" s="5" t="n">
        <v>2023</v>
      </c>
      <c r="B1653" s="5" t="s">
        <v>339</v>
      </c>
      <c r="C1653" s="5" t="s">
        <v>342</v>
      </c>
      <c r="D1653" s="5" t="n">
        <v>21</v>
      </c>
      <c r="E1653" s="13" t="n">
        <v>4.03</v>
      </c>
      <c r="F1653" s="14" t="n">
        <f aca="false">E1653*Assumptions!$D$6</f>
        <v>602.997858198341</v>
      </c>
      <c r="G1653" s="14" t="n">
        <v>500</v>
      </c>
      <c r="H1653" s="14" t="n">
        <v>680</v>
      </c>
      <c r="I1653" s="14" t="n">
        <f aca="false">F1653-(G1653+H1653)/2</f>
        <v>12.9978581983409</v>
      </c>
      <c r="J1653" s="5" t="str">
        <f aca="false">IF(D1653&lt;8,"LOW SAMPLE",IF(F1653&gt;H1653*(1+Assumptions!$B$10),"UNDERPAID",IF(F1653&lt;G1653*(1-Assumptions!$B$10),"OVERPAID","FAIR")))</f>
        <v>FAIR</v>
      </c>
      <c r="K1653" s="5" t="n">
        <v>96</v>
      </c>
    </row>
    <row r="1654" customFormat="false" ht="15" hidden="false" customHeight="false" outlineLevel="0" collapsed="false">
      <c r="A1654" s="5" t="n">
        <v>2023</v>
      </c>
      <c r="B1654" s="5" t="s">
        <v>339</v>
      </c>
      <c r="C1654" s="5" t="s">
        <v>343</v>
      </c>
      <c r="D1654" s="5" t="n">
        <v>20</v>
      </c>
      <c r="E1654" s="13" t="n">
        <v>3.84</v>
      </c>
      <c r="F1654" s="14" t="n">
        <f aca="false">E1654*Assumptions!$D$6</f>
        <v>574.56867877956</v>
      </c>
      <c r="G1654" s="14" t="n">
        <v>500</v>
      </c>
      <c r="H1654" s="14" t="n">
        <v>680</v>
      </c>
      <c r="I1654" s="14" t="n">
        <f aca="false">F1654-(G1654+H1654)/2</f>
        <v>-15.4313212204396</v>
      </c>
      <c r="J1654" s="5" t="str">
        <f aca="false">IF(D1654&lt;8,"LOW SAMPLE",IF(F1654&gt;H1654*(1+Assumptions!$B$10),"UNDERPAID",IF(F1654&lt;G1654*(1-Assumptions!$B$10),"OVERPAID","FAIR")))</f>
        <v>FAIR</v>
      </c>
      <c r="K1654" s="5" t="n">
        <v>53</v>
      </c>
    </row>
    <row r="1655" customFormat="false" ht="15" hidden="false" customHeight="false" outlineLevel="0" collapsed="false">
      <c r="A1655" s="5" t="n">
        <v>2023</v>
      </c>
      <c r="B1655" s="5" t="s">
        <v>339</v>
      </c>
      <c r="C1655" s="5" t="s">
        <v>568</v>
      </c>
      <c r="D1655" s="5" t="n">
        <v>15</v>
      </c>
      <c r="E1655" s="13" t="n">
        <v>2.17</v>
      </c>
      <c r="F1655" s="14" t="n">
        <f aca="false">E1655*Assumptions!$D$6</f>
        <v>324.691154414491</v>
      </c>
      <c r="G1655" s="14" t="n">
        <v>380</v>
      </c>
      <c r="H1655" s="14" t="n">
        <v>500</v>
      </c>
      <c r="I1655" s="14" t="n">
        <f aca="false">F1655-(G1655+H1655)/2</f>
        <v>-115.308845585509</v>
      </c>
      <c r="J1655" s="5" t="str">
        <f aca="false">IF(D1655&lt;8,"LOW SAMPLE",IF(F1655&gt;H1655*(1+Assumptions!$B$10),"UNDERPAID",IF(F1655&lt;G1655*(1-Assumptions!$B$10),"OVERPAID","FAIR")))</f>
        <v>FAIR</v>
      </c>
      <c r="K1655" s="5" t="n">
        <v>79</v>
      </c>
    </row>
    <row r="1656" customFormat="false" ht="15" hidden="false" customHeight="false" outlineLevel="0" collapsed="false">
      <c r="A1656" s="5" t="n">
        <v>2023</v>
      </c>
      <c r="B1656" s="5" t="s">
        <v>339</v>
      </c>
      <c r="C1656" s="5" t="s">
        <v>858</v>
      </c>
      <c r="D1656" s="5" t="n">
        <v>3</v>
      </c>
      <c r="E1656" s="13" t="n">
        <v>0.31</v>
      </c>
      <c r="F1656" s="14" t="n">
        <f aca="false">E1656*Assumptions!$D$6</f>
        <v>46.3844506306416</v>
      </c>
      <c r="G1656" s="14" t="n">
        <v>250</v>
      </c>
      <c r="H1656" s="14" t="n">
        <v>380</v>
      </c>
      <c r="I1656" s="14" t="n">
        <f aca="false">F1656-(G1656+H1656)/2</f>
        <v>-268.615549369358</v>
      </c>
      <c r="J1656" s="5" t="str">
        <f aca="false">IF(D1656&lt;8,"LOW SAMPLE",IF(F1656&gt;H1656*(1+Assumptions!$B$10),"UNDERPAID",IF(F1656&lt;G1656*(1-Assumptions!$B$10),"OVERPAID","FAIR")))</f>
        <v>LOW SAMPLE</v>
      </c>
      <c r="K1656" s="5" t="n">
        <v>0</v>
      </c>
    </row>
    <row r="1657" customFormat="false" ht="15" hidden="false" customHeight="false" outlineLevel="0" collapsed="false">
      <c r="A1657" s="5" t="n">
        <v>2023</v>
      </c>
      <c r="B1657" s="5" t="s">
        <v>339</v>
      </c>
      <c r="C1657" s="5" t="s">
        <v>344</v>
      </c>
      <c r="D1657" s="5" t="n">
        <v>16</v>
      </c>
      <c r="E1657" s="13" t="n">
        <v>2.42</v>
      </c>
      <c r="F1657" s="14" t="n">
        <f aca="false">E1657*Assumptions!$D$6</f>
        <v>362.097969439202</v>
      </c>
      <c r="G1657" s="14" t="n">
        <v>500</v>
      </c>
      <c r="H1657" s="14" t="n">
        <v>680</v>
      </c>
      <c r="I1657" s="14" t="n">
        <f aca="false">F1657-(G1657+H1657)/2</f>
        <v>-227.902030560798</v>
      </c>
      <c r="J1657" s="5" t="str">
        <f aca="false">IF(D1657&lt;8,"LOW SAMPLE",IF(F1657&gt;H1657*(1+Assumptions!$B$10),"UNDERPAID",IF(F1657&lt;G1657*(1-Assumptions!$B$10),"OVERPAID","FAIR")))</f>
        <v>OVERPAID</v>
      </c>
      <c r="K1657" s="5" t="n">
        <v>166</v>
      </c>
    </row>
    <row r="1658" customFormat="false" ht="15" hidden="false" customHeight="false" outlineLevel="0" collapsed="false">
      <c r="A1658" s="5" t="n">
        <v>2023</v>
      </c>
      <c r="B1658" s="5" t="s">
        <v>339</v>
      </c>
      <c r="C1658" s="5" t="s">
        <v>345</v>
      </c>
      <c r="D1658" s="5" t="n">
        <v>17</v>
      </c>
      <c r="E1658" s="13" t="n">
        <v>2.85</v>
      </c>
      <c r="F1658" s="14" t="n">
        <f aca="false">E1658*Assumptions!$D$6</f>
        <v>426.437691281705</v>
      </c>
      <c r="G1658" s="14" t="n">
        <v>250</v>
      </c>
      <c r="H1658" s="14" t="n">
        <v>380</v>
      </c>
      <c r="I1658" s="14" t="n">
        <f aca="false">F1658-(G1658+H1658)/2</f>
        <v>111.437691281705</v>
      </c>
      <c r="J1658" s="5" t="str">
        <f aca="false">IF(D1658&lt;8,"LOW SAMPLE",IF(F1658&gt;H1658*(1+Assumptions!$B$10),"UNDERPAID",IF(F1658&lt;G1658*(1-Assumptions!$B$10),"OVERPAID","FAIR")))</f>
        <v>FAIR</v>
      </c>
      <c r="K1658" s="5" t="n">
        <v>76</v>
      </c>
    </row>
    <row r="1659" customFormat="false" ht="15" hidden="false" customHeight="false" outlineLevel="0" collapsed="false">
      <c r="A1659" s="5" t="n">
        <v>2023</v>
      </c>
      <c r="B1659" s="5" t="s">
        <v>339</v>
      </c>
      <c r="C1659" s="5" t="s">
        <v>347</v>
      </c>
      <c r="D1659" s="5" t="n">
        <v>23</v>
      </c>
      <c r="E1659" s="13" t="n">
        <v>4.16</v>
      </c>
      <c r="F1659" s="14" t="n">
        <f aca="false">E1659*Assumptions!$D$6</f>
        <v>622.449402011191</v>
      </c>
      <c r="G1659" s="14" t="n">
        <v>380</v>
      </c>
      <c r="H1659" s="14" t="n">
        <v>500</v>
      </c>
      <c r="I1659" s="14" t="n">
        <f aca="false">F1659-(G1659+H1659)/2</f>
        <v>182.449402011191</v>
      </c>
      <c r="J1659" s="5" t="str">
        <f aca="false">IF(D1659&lt;8,"LOW SAMPLE",IF(F1659&gt;H1659*(1+Assumptions!$B$10),"UNDERPAID",IF(F1659&lt;G1659*(1-Assumptions!$B$10),"OVERPAID","FAIR")))</f>
        <v>UNDERPAID</v>
      </c>
      <c r="K1659" s="5" t="n">
        <v>87</v>
      </c>
    </row>
    <row r="1660" customFormat="false" ht="15" hidden="false" customHeight="false" outlineLevel="0" collapsed="false">
      <c r="A1660" s="5" t="n">
        <v>2023</v>
      </c>
      <c r="B1660" s="5" t="s">
        <v>339</v>
      </c>
      <c r="C1660" s="5" t="s">
        <v>307</v>
      </c>
      <c r="D1660" s="5" t="n">
        <v>2</v>
      </c>
      <c r="E1660" s="13" t="n">
        <v>0.46</v>
      </c>
      <c r="F1660" s="14" t="n">
        <f aca="false">E1660*Assumptions!$D$6</f>
        <v>68.8285396454682</v>
      </c>
      <c r="G1660" s="14" t="n">
        <v>140</v>
      </c>
      <c r="H1660" s="14" t="n">
        <v>250</v>
      </c>
      <c r="I1660" s="14" t="n">
        <f aca="false">F1660-(G1660+H1660)/2</f>
        <v>-126.171460354532</v>
      </c>
      <c r="J1660" s="5" t="str">
        <f aca="false">IF(D1660&lt;8,"LOW SAMPLE",IF(F1660&gt;H1660*(1+Assumptions!$B$10),"UNDERPAID",IF(F1660&lt;G1660*(1-Assumptions!$B$10),"OVERPAID","FAIR")))</f>
        <v>LOW SAMPLE</v>
      </c>
      <c r="K1660" s="5" t="n">
        <v>14</v>
      </c>
    </row>
    <row r="1661" customFormat="false" ht="15" hidden="false" customHeight="false" outlineLevel="0" collapsed="false">
      <c r="A1661" s="5" t="n">
        <v>2023</v>
      </c>
      <c r="B1661" s="5" t="s">
        <v>339</v>
      </c>
      <c r="C1661" s="5" t="s">
        <v>348</v>
      </c>
      <c r="D1661" s="5" t="n">
        <v>1</v>
      </c>
      <c r="E1661" s="13" t="n">
        <v>0.08</v>
      </c>
      <c r="F1661" s="14" t="n">
        <f aca="false">E1661*Assumptions!$D$6</f>
        <v>11.9701808079075</v>
      </c>
      <c r="G1661" s="14" t="n">
        <v>250</v>
      </c>
      <c r="H1661" s="14" t="n">
        <v>380</v>
      </c>
      <c r="I1661" s="14" t="n">
        <f aca="false">F1661-(G1661+H1661)/2</f>
        <v>-303.029819192093</v>
      </c>
      <c r="J1661" s="5" t="str">
        <f aca="false">IF(D1661&lt;8,"LOW SAMPLE",IF(F1661&gt;H1661*(1+Assumptions!$B$10),"UNDERPAID",IF(F1661&lt;G1661*(1-Assumptions!$B$10),"OVERPAID","FAIR")))</f>
        <v>LOW SAMPLE</v>
      </c>
      <c r="K1661" s="5" t="n">
        <v>35</v>
      </c>
    </row>
    <row r="1662" customFormat="false" ht="15" hidden="false" customHeight="false" outlineLevel="0" collapsed="false">
      <c r="A1662" s="5" t="n">
        <v>2023</v>
      </c>
      <c r="B1662" s="5" t="s">
        <v>339</v>
      </c>
      <c r="C1662" s="5" t="s">
        <v>349</v>
      </c>
      <c r="D1662" s="5" t="n">
        <v>2</v>
      </c>
      <c r="E1662" s="13" t="n">
        <v>0.3</v>
      </c>
      <c r="F1662" s="14" t="n">
        <f aca="false">E1662*Assumptions!$D$6</f>
        <v>44.8881780296532</v>
      </c>
      <c r="G1662" s="14" t="n">
        <v>140</v>
      </c>
      <c r="H1662" s="14" t="n">
        <v>250</v>
      </c>
      <c r="I1662" s="14" t="n">
        <f aca="false">F1662-(G1662+H1662)/2</f>
        <v>-150.111821970347</v>
      </c>
      <c r="J1662" s="5" t="str">
        <f aca="false">IF(D1662&lt;8,"LOW SAMPLE",IF(F1662&gt;H1662*(1+Assumptions!$B$10),"UNDERPAID",IF(F1662&lt;G1662*(1-Assumptions!$B$10),"OVERPAID","FAIR")))</f>
        <v>LOW SAMPLE</v>
      </c>
      <c r="K1662" s="5" t="n">
        <v>26</v>
      </c>
    </row>
    <row r="1663" customFormat="false" ht="15" hidden="false" customHeight="false" outlineLevel="0" collapsed="false">
      <c r="A1663" s="5" t="n">
        <v>2023</v>
      </c>
      <c r="B1663" s="5" t="s">
        <v>339</v>
      </c>
      <c r="C1663" s="5" t="s">
        <v>350</v>
      </c>
      <c r="D1663" s="5" t="n">
        <v>23</v>
      </c>
      <c r="E1663" s="13" t="n">
        <v>3.56</v>
      </c>
      <c r="F1663" s="14" t="n">
        <f aca="false">E1663*Assumptions!$D$6</f>
        <v>532.673045951884</v>
      </c>
      <c r="G1663" s="14" t="n">
        <v>250</v>
      </c>
      <c r="H1663" s="14" t="n">
        <v>380</v>
      </c>
      <c r="I1663" s="14" t="n">
        <f aca="false">F1663-(G1663+H1663)/2</f>
        <v>217.673045951884</v>
      </c>
      <c r="J1663" s="5" t="str">
        <f aca="false">IF(D1663&lt;8,"LOW SAMPLE",IF(F1663&gt;H1663*(1+Assumptions!$B$10),"UNDERPAID",IF(F1663&lt;G1663*(1-Assumptions!$B$10),"OVERPAID","FAIR")))</f>
        <v>UNDERPAID</v>
      </c>
      <c r="K1663" s="5" t="n">
        <v>72</v>
      </c>
    </row>
    <row r="1664" customFormat="false" ht="15" hidden="false" customHeight="false" outlineLevel="0" collapsed="false">
      <c r="A1664" s="5" t="n">
        <v>2023</v>
      </c>
      <c r="B1664" s="5" t="s">
        <v>339</v>
      </c>
      <c r="C1664" s="5" t="s">
        <v>351</v>
      </c>
      <c r="D1664" s="5" t="n">
        <v>23</v>
      </c>
      <c r="E1664" s="13" t="n">
        <v>4.6</v>
      </c>
      <c r="F1664" s="14" t="n">
        <f aca="false">E1664*Assumptions!$D$6</f>
        <v>688.285396454682</v>
      </c>
      <c r="G1664" s="14" t="n">
        <v>680</v>
      </c>
      <c r="H1664" s="14" t="n">
        <v>950</v>
      </c>
      <c r="I1664" s="14" t="n">
        <f aca="false">F1664-(G1664+H1664)/2</f>
        <v>-126.714603545318</v>
      </c>
      <c r="J1664" s="5" t="str">
        <f aca="false">IF(D1664&lt;8,"LOW SAMPLE",IF(F1664&gt;H1664*(1+Assumptions!$B$10),"UNDERPAID",IF(F1664&lt;G1664*(1-Assumptions!$B$10),"OVERPAID","FAIR")))</f>
        <v>FAIR</v>
      </c>
      <c r="K1664" s="5" t="n">
        <v>124</v>
      </c>
    </row>
    <row r="1665" customFormat="false" ht="15" hidden="false" customHeight="false" outlineLevel="0" collapsed="false">
      <c r="A1665" s="5" t="n">
        <v>2023</v>
      </c>
      <c r="B1665" s="5" t="s">
        <v>339</v>
      </c>
      <c r="C1665" s="5" t="s">
        <v>768</v>
      </c>
      <c r="D1665" s="5" t="n">
        <v>9</v>
      </c>
      <c r="E1665" s="13" t="n">
        <v>1.07</v>
      </c>
      <c r="F1665" s="14" t="n">
        <f aca="false">E1665*Assumptions!$D$6</f>
        <v>160.101168305763</v>
      </c>
      <c r="G1665" s="14" t="n">
        <v>140</v>
      </c>
      <c r="H1665" s="14" t="n">
        <v>250</v>
      </c>
      <c r="I1665" s="14" t="n">
        <f aca="false">F1665-(G1665+H1665)/2</f>
        <v>-34.8988316942371</v>
      </c>
      <c r="J1665" s="5" t="str">
        <f aca="false">IF(D1665&lt;8,"LOW SAMPLE",IF(F1665&gt;H1665*(1+Assumptions!$B$10),"UNDERPAID",IF(F1665&lt;G1665*(1-Assumptions!$B$10),"OVERPAID","FAIR")))</f>
        <v>FAIR</v>
      </c>
      <c r="K1665" s="5" t="n">
        <v>5</v>
      </c>
    </row>
    <row r="1666" customFormat="false" ht="15" hidden="false" customHeight="false" outlineLevel="0" collapsed="false">
      <c r="A1666" s="5" t="n">
        <v>2023</v>
      </c>
      <c r="B1666" s="5" t="s">
        <v>339</v>
      </c>
      <c r="C1666" s="5" t="s">
        <v>859</v>
      </c>
      <c r="D1666" s="5" t="n">
        <v>8</v>
      </c>
      <c r="E1666" s="13" t="n">
        <v>0.87</v>
      </c>
      <c r="F1666" s="14" t="n">
        <f aca="false">E1666*Assumptions!$D$6</f>
        <v>130.175716285994</v>
      </c>
      <c r="G1666" s="14" t="n">
        <v>250</v>
      </c>
      <c r="H1666" s="14" t="n">
        <v>380</v>
      </c>
      <c r="I1666" s="14" t="n">
        <f aca="false">F1666-(G1666+H1666)/2</f>
        <v>-184.824283714006</v>
      </c>
      <c r="J1666" s="5" t="str">
        <f aca="false">IF(D1666&lt;8,"LOW SAMPLE",IF(F1666&gt;H1666*(1+Assumptions!$B$10),"UNDERPAID",IF(F1666&lt;G1666*(1-Assumptions!$B$10),"OVERPAID","FAIR")))</f>
        <v>OVERPAID</v>
      </c>
      <c r="K1666" s="5" t="n">
        <v>0</v>
      </c>
    </row>
    <row r="1667" customFormat="false" ht="15" hidden="false" customHeight="false" outlineLevel="0" collapsed="false">
      <c r="A1667" s="5" t="n">
        <v>2023</v>
      </c>
      <c r="B1667" s="5" t="s">
        <v>339</v>
      </c>
      <c r="C1667" s="5" t="s">
        <v>355</v>
      </c>
      <c r="D1667" s="5" t="n">
        <v>22</v>
      </c>
      <c r="E1667" s="13" t="n">
        <v>5.5</v>
      </c>
      <c r="F1667" s="14" t="n">
        <f aca="false">E1667*Assumptions!$D$6</f>
        <v>822.949930543641</v>
      </c>
      <c r="G1667" s="14" t="n">
        <v>500</v>
      </c>
      <c r="H1667" s="14" t="n">
        <v>680</v>
      </c>
      <c r="I1667" s="14" t="n">
        <f aca="false">F1667-(G1667+H1667)/2</f>
        <v>232.949930543641</v>
      </c>
      <c r="J1667" s="5" t="str">
        <f aca="false">IF(D1667&lt;8,"LOW SAMPLE",IF(F1667&gt;H1667*(1+Assumptions!$B$10),"UNDERPAID",IF(F1667&lt;G1667*(1-Assumptions!$B$10),"OVERPAID","FAIR")))</f>
        <v>UNDERPAID</v>
      </c>
      <c r="K1667" s="5" t="n">
        <v>73</v>
      </c>
    </row>
    <row r="1668" customFormat="false" ht="15" hidden="false" customHeight="false" outlineLevel="0" collapsed="false">
      <c r="A1668" s="5" t="n">
        <v>2023</v>
      </c>
      <c r="B1668" s="5" t="s">
        <v>339</v>
      </c>
      <c r="C1668" s="5" t="s">
        <v>770</v>
      </c>
      <c r="D1668" s="5" t="n">
        <v>4</v>
      </c>
      <c r="E1668" s="13" t="n">
        <v>0.28</v>
      </c>
      <c r="F1668" s="14" t="n">
        <f aca="false">E1668*Assumptions!$D$6</f>
        <v>41.8956328276763</v>
      </c>
      <c r="G1668" s="14" t="n">
        <v>140</v>
      </c>
      <c r="H1668" s="14" t="n">
        <v>250</v>
      </c>
      <c r="I1668" s="14" t="n">
        <f aca="false">F1668-(G1668+H1668)/2</f>
        <v>-153.104367172324</v>
      </c>
      <c r="J1668" s="5" t="str">
        <f aca="false">IF(D1668&lt;8,"LOW SAMPLE",IF(F1668&gt;H1668*(1+Assumptions!$B$10),"UNDERPAID",IF(F1668&lt;G1668*(1-Assumptions!$B$10),"OVERPAID","FAIR")))</f>
        <v>LOW SAMPLE</v>
      </c>
      <c r="K1668" s="5" t="n">
        <v>1</v>
      </c>
    </row>
    <row r="1669" customFormat="false" ht="15" hidden="false" customHeight="false" outlineLevel="0" collapsed="false">
      <c r="A1669" s="5" t="n">
        <v>2023</v>
      </c>
      <c r="B1669" s="5" t="s">
        <v>339</v>
      </c>
      <c r="C1669" s="5" t="s">
        <v>358</v>
      </c>
      <c r="D1669" s="5" t="n">
        <v>21</v>
      </c>
      <c r="E1669" s="13" t="n">
        <v>4.76</v>
      </c>
      <c r="F1669" s="14" t="n">
        <f aca="false">E1669*Assumptions!$D$6</f>
        <v>712.225758070497</v>
      </c>
      <c r="G1669" s="14" t="n">
        <v>500</v>
      </c>
      <c r="H1669" s="14" t="n">
        <v>680</v>
      </c>
      <c r="I1669" s="14" t="n">
        <f aca="false">F1669-(G1669+H1669)/2</f>
        <v>122.225758070497</v>
      </c>
      <c r="J1669" s="5" t="str">
        <f aca="false">IF(D1669&lt;8,"LOW SAMPLE",IF(F1669&gt;H1669*(1+Assumptions!$B$10),"UNDERPAID",IF(F1669&lt;G1669*(1-Assumptions!$B$10),"OVERPAID","FAIR")))</f>
        <v>FAIR</v>
      </c>
      <c r="K1669" s="5" t="n">
        <v>117</v>
      </c>
    </row>
    <row r="1670" customFormat="false" ht="15" hidden="false" customHeight="false" outlineLevel="0" collapsed="false">
      <c r="A1670" s="5" t="n">
        <v>2023</v>
      </c>
      <c r="B1670" s="5" t="s">
        <v>339</v>
      </c>
      <c r="C1670" s="5" t="s">
        <v>360</v>
      </c>
      <c r="D1670" s="5" t="n">
        <v>7</v>
      </c>
      <c r="E1670" s="13" t="n">
        <v>1.06</v>
      </c>
      <c r="F1670" s="14" t="n">
        <f aca="false">E1670*Assumptions!$D$6</f>
        <v>158.604895704775</v>
      </c>
      <c r="G1670" s="14" t="n">
        <v>140</v>
      </c>
      <c r="H1670" s="14" t="n">
        <v>250</v>
      </c>
      <c r="I1670" s="14" t="n">
        <f aca="false">F1670-(G1670+H1670)/2</f>
        <v>-36.3951042952255</v>
      </c>
      <c r="J1670" s="5" t="str">
        <f aca="false">IF(D1670&lt;8,"LOW SAMPLE",IF(F1670&gt;H1670*(1+Assumptions!$B$10),"UNDERPAID",IF(F1670&lt;G1670*(1-Assumptions!$B$10),"OVERPAID","FAIR")))</f>
        <v>LOW SAMPLE</v>
      </c>
      <c r="K1670" s="5" t="n">
        <v>9</v>
      </c>
    </row>
    <row r="1671" customFormat="false" ht="15" hidden="false" customHeight="false" outlineLevel="0" collapsed="false">
      <c r="A1671" s="5" t="n">
        <v>2023</v>
      </c>
      <c r="B1671" s="5" t="s">
        <v>339</v>
      </c>
      <c r="C1671" s="5" t="s">
        <v>362</v>
      </c>
      <c r="D1671" s="5" t="n">
        <v>9</v>
      </c>
      <c r="E1671" s="13" t="n">
        <v>1.04</v>
      </c>
      <c r="F1671" s="14" t="n">
        <f aca="false">E1671*Assumptions!$D$6</f>
        <v>155.612350502798</v>
      </c>
      <c r="G1671" s="14" t="n">
        <v>140</v>
      </c>
      <c r="H1671" s="14" t="n">
        <v>250</v>
      </c>
      <c r="I1671" s="14" t="n">
        <f aca="false">F1671-(G1671+H1671)/2</f>
        <v>-39.3876494972024</v>
      </c>
      <c r="J1671" s="5" t="str">
        <f aca="false">IF(D1671&lt;8,"LOW SAMPLE",IF(F1671&gt;H1671*(1+Assumptions!$B$10),"UNDERPAID",IF(F1671&lt;G1671*(1-Assumptions!$B$10),"OVERPAID","FAIR")))</f>
        <v>FAIR</v>
      </c>
      <c r="K1671" s="5" t="n">
        <v>25</v>
      </c>
    </row>
    <row r="1672" customFormat="false" ht="15" hidden="false" customHeight="false" outlineLevel="0" collapsed="false">
      <c r="A1672" s="5" t="n">
        <v>2023</v>
      </c>
      <c r="B1672" s="5" t="s">
        <v>339</v>
      </c>
      <c r="C1672" s="5" t="s">
        <v>363</v>
      </c>
      <c r="D1672" s="5" t="n">
        <v>9</v>
      </c>
      <c r="E1672" s="13" t="n">
        <v>1.64</v>
      </c>
      <c r="F1672" s="14" t="n">
        <f aca="false">E1672*Assumptions!$D$6</f>
        <v>245.388706562104</v>
      </c>
      <c r="G1672" s="14" t="n">
        <v>380</v>
      </c>
      <c r="H1672" s="14" t="n">
        <v>500</v>
      </c>
      <c r="I1672" s="14" t="n">
        <f aca="false">F1672-(G1672+H1672)/2</f>
        <v>-194.611293437896</v>
      </c>
      <c r="J1672" s="5" t="str">
        <f aca="false">IF(D1672&lt;8,"LOW SAMPLE",IF(F1672&gt;H1672*(1+Assumptions!$B$10),"UNDERPAID",IF(F1672&lt;G1672*(1-Assumptions!$B$10),"OVERPAID","FAIR")))</f>
        <v>OVERPAID</v>
      </c>
      <c r="K1672" s="5" t="n">
        <v>127</v>
      </c>
    </row>
    <row r="1673" customFormat="false" ht="15" hidden="false" customHeight="false" outlineLevel="0" collapsed="false">
      <c r="A1673" s="5" t="n">
        <v>2023</v>
      </c>
      <c r="B1673" s="5" t="s">
        <v>339</v>
      </c>
      <c r="C1673" s="5" t="s">
        <v>122</v>
      </c>
      <c r="D1673" s="5" t="n">
        <v>20</v>
      </c>
      <c r="E1673" s="13" t="n">
        <v>3.94</v>
      </c>
      <c r="F1673" s="14" t="n">
        <f aca="false">E1673*Assumptions!$D$6</f>
        <v>589.531404789445</v>
      </c>
      <c r="G1673" s="14" t="n">
        <v>500</v>
      </c>
      <c r="H1673" s="14" t="n">
        <v>680</v>
      </c>
      <c r="I1673" s="14" t="n">
        <f aca="false">F1673-(G1673+H1673)/2</f>
        <v>-0.468595210555236</v>
      </c>
      <c r="J1673" s="5" t="str">
        <f aca="false">IF(D1673&lt;8,"LOW SAMPLE",IF(F1673&gt;H1673*(1+Assumptions!$B$10),"UNDERPAID",IF(F1673&lt;G1673*(1-Assumptions!$B$10),"OVERPAID","FAIR")))</f>
        <v>FAIR</v>
      </c>
      <c r="K1673" s="5" t="n">
        <v>139</v>
      </c>
    </row>
    <row r="1674" customFormat="false" ht="15" hidden="false" customHeight="false" outlineLevel="0" collapsed="false">
      <c r="A1674" s="5" t="n">
        <v>2023</v>
      </c>
      <c r="B1674" s="5" t="s">
        <v>339</v>
      </c>
      <c r="C1674" s="5" t="s">
        <v>860</v>
      </c>
      <c r="D1674" s="5" t="n">
        <v>2</v>
      </c>
      <c r="E1674" s="13" t="n">
        <v>0.2</v>
      </c>
      <c r="F1674" s="14" t="n">
        <f aca="false">E1674*Assumptions!$D$6</f>
        <v>29.9254520197688</v>
      </c>
      <c r="G1674" s="14" t="n">
        <v>250</v>
      </c>
      <c r="H1674" s="14" t="n">
        <v>380</v>
      </c>
      <c r="I1674" s="14" t="n">
        <f aca="false">F1674-(G1674+H1674)/2</f>
        <v>-285.074547980231</v>
      </c>
      <c r="J1674" s="5" t="str">
        <f aca="false">IF(D1674&lt;8,"LOW SAMPLE",IF(F1674&gt;H1674*(1+Assumptions!$B$10),"UNDERPAID",IF(F1674&lt;G1674*(1-Assumptions!$B$10),"OVERPAID","FAIR")))</f>
        <v>LOW SAMPLE</v>
      </c>
      <c r="K1674" s="5" t="n">
        <v>0</v>
      </c>
    </row>
    <row r="1675" customFormat="false" ht="15" hidden="false" customHeight="false" outlineLevel="0" collapsed="false">
      <c r="A1675" s="5" t="n">
        <v>2023</v>
      </c>
      <c r="B1675" s="5" t="s">
        <v>339</v>
      </c>
      <c r="C1675" s="5" t="s">
        <v>548</v>
      </c>
      <c r="D1675" s="5" t="n">
        <v>8</v>
      </c>
      <c r="E1675" s="13" t="n">
        <v>1.36</v>
      </c>
      <c r="F1675" s="14" t="n">
        <f aca="false">E1675*Assumptions!$D$6</f>
        <v>203.493073734428</v>
      </c>
      <c r="G1675" s="14" t="n">
        <v>500</v>
      </c>
      <c r="H1675" s="14" t="n">
        <v>680</v>
      </c>
      <c r="I1675" s="14" t="n">
        <f aca="false">F1675-(G1675+H1675)/2</f>
        <v>-386.506926265572</v>
      </c>
      <c r="J1675" s="5" t="str">
        <f aca="false">IF(D1675&lt;8,"LOW SAMPLE",IF(F1675&gt;H1675*(1+Assumptions!$B$10),"UNDERPAID",IF(F1675&lt;G1675*(1-Assumptions!$B$10),"OVERPAID","FAIR")))</f>
        <v>OVERPAID</v>
      </c>
      <c r="K1675" s="5" t="n">
        <v>53</v>
      </c>
    </row>
    <row r="1676" customFormat="false" ht="15" hidden="false" customHeight="false" outlineLevel="0" collapsed="false">
      <c r="A1676" s="5" t="n">
        <v>2023</v>
      </c>
      <c r="B1676" s="5" t="s">
        <v>339</v>
      </c>
      <c r="C1676" s="5" t="s">
        <v>771</v>
      </c>
      <c r="D1676" s="5" t="n">
        <v>17</v>
      </c>
      <c r="E1676" s="13" t="n">
        <v>2.47</v>
      </c>
      <c r="F1676" s="14" t="n">
        <f aca="false">E1676*Assumptions!$D$6</f>
        <v>369.579332444144</v>
      </c>
      <c r="G1676" s="14" t="n">
        <v>140</v>
      </c>
      <c r="H1676" s="14" t="n">
        <v>250</v>
      </c>
      <c r="I1676" s="14" t="n">
        <f aca="false">F1676-(G1676+H1676)/2</f>
        <v>174.579332444144</v>
      </c>
      <c r="J1676" s="5" t="str">
        <f aca="false">IF(D1676&lt;8,"LOW SAMPLE",IF(F1676&gt;H1676*(1+Assumptions!$B$10),"UNDERPAID",IF(F1676&lt;G1676*(1-Assumptions!$B$10),"OVERPAID","FAIR")))</f>
        <v>UNDERPAID</v>
      </c>
      <c r="K1676" s="5" t="n">
        <v>4</v>
      </c>
    </row>
    <row r="1677" customFormat="false" ht="15" hidden="false" customHeight="false" outlineLevel="0" collapsed="false">
      <c r="A1677" s="5" t="n">
        <v>2023</v>
      </c>
      <c r="B1677" s="5" t="s">
        <v>339</v>
      </c>
      <c r="C1677" s="5" t="s">
        <v>364</v>
      </c>
      <c r="D1677" s="5" t="n">
        <v>19</v>
      </c>
      <c r="E1677" s="13" t="n">
        <v>2.33</v>
      </c>
      <c r="F1677" s="14" t="n">
        <f aca="false">E1677*Assumptions!$D$6</f>
        <v>348.631516030306</v>
      </c>
      <c r="G1677" s="14" t="n">
        <v>250</v>
      </c>
      <c r="H1677" s="14" t="n">
        <v>380</v>
      </c>
      <c r="I1677" s="14" t="n">
        <f aca="false">F1677-(G1677+H1677)/2</f>
        <v>33.6315160303062</v>
      </c>
      <c r="J1677" s="5" t="str">
        <f aca="false">IF(D1677&lt;8,"LOW SAMPLE",IF(F1677&gt;H1677*(1+Assumptions!$B$10),"UNDERPAID",IF(F1677&lt;G1677*(1-Assumptions!$B$10),"OVERPAID","FAIR")))</f>
        <v>FAIR</v>
      </c>
      <c r="K1677" s="5" t="n">
        <v>19</v>
      </c>
    </row>
    <row r="1678" customFormat="false" ht="15" hidden="false" customHeight="false" outlineLevel="0" collapsed="false">
      <c r="A1678" s="5" t="n">
        <v>2023</v>
      </c>
      <c r="B1678" s="5" t="s">
        <v>339</v>
      </c>
      <c r="C1678" s="5" t="s">
        <v>365</v>
      </c>
      <c r="D1678" s="5" t="n">
        <v>23</v>
      </c>
      <c r="E1678" s="13" t="n">
        <v>6.83</v>
      </c>
      <c r="F1678" s="14" t="n">
        <f aca="false">E1678*Assumptions!$D$6</f>
        <v>1021.9541864751</v>
      </c>
      <c r="G1678" s="14" t="n">
        <v>500</v>
      </c>
      <c r="H1678" s="14" t="n">
        <v>680</v>
      </c>
      <c r="I1678" s="14" t="n">
        <f aca="false">F1678-(G1678+H1678)/2</f>
        <v>431.954186475104</v>
      </c>
      <c r="J1678" s="5" t="str">
        <f aca="false">IF(D1678&lt;8,"LOW SAMPLE",IF(F1678&gt;H1678*(1+Assumptions!$B$10),"UNDERPAID",IF(F1678&lt;G1678*(1-Assumptions!$B$10),"OVERPAID","FAIR")))</f>
        <v>UNDERPAID</v>
      </c>
      <c r="K1678" s="5" t="n">
        <v>39</v>
      </c>
    </row>
    <row r="1679" customFormat="false" ht="15" hidden="false" customHeight="false" outlineLevel="0" collapsed="false">
      <c r="A1679" s="5" t="n">
        <v>2023</v>
      </c>
      <c r="B1679" s="5" t="s">
        <v>339</v>
      </c>
      <c r="C1679" s="5" t="s">
        <v>861</v>
      </c>
      <c r="D1679" s="5" t="n">
        <v>2</v>
      </c>
      <c r="E1679" s="13" t="n">
        <v>0.27</v>
      </c>
      <c r="F1679" s="14" t="n">
        <f aca="false">E1679*Assumptions!$D$6</f>
        <v>40.3993602266879</v>
      </c>
      <c r="G1679" s="14" t="n">
        <v>250</v>
      </c>
      <c r="H1679" s="14" t="n">
        <v>380</v>
      </c>
      <c r="I1679" s="14" t="n">
        <f aca="false">F1679-(G1679+H1679)/2</f>
        <v>-274.600639773312</v>
      </c>
      <c r="J1679" s="5" t="str">
        <f aca="false">IF(D1679&lt;8,"LOW SAMPLE",IF(F1679&gt;H1679*(1+Assumptions!$B$10),"UNDERPAID",IF(F1679&lt;G1679*(1-Assumptions!$B$10),"OVERPAID","FAIR")))</f>
        <v>LOW SAMPLE</v>
      </c>
      <c r="K1679" s="5" t="n">
        <v>0</v>
      </c>
    </row>
    <row r="1680" customFormat="false" ht="15" hidden="false" customHeight="false" outlineLevel="0" collapsed="false">
      <c r="A1680" s="5" t="n">
        <v>2023</v>
      </c>
      <c r="B1680" s="5" t="s">
        <v>339</v>
      </c>
      <c r="C1680" s="5" t="s">
        <v>366</v>
      </c>
      <c r="D1680" s="5" t="n">
        <v>19</v>
      </c>
      <c r="E1680" s="13" t="n">
        <v>3.15</v>
      </c>
      <c r="F1680" s="14" t="n">
        <f aca="false">E1680*Assumptions!$D$6</f>
        <v>471.325869311358</v>
      </c>
      <c r="G1680" s="14" t="n">
        <v>380</v>
      </c>
      <c r="H1680" s="14" t="n">
        <v>500</v>
      </c>
      <c r="I1680" s="14" t="n">
        <f aca="false">F1680-(G1680+H1680)/2</f>
        <v>31.3258693113581</v>
      </c>
      <c r="J1680" s="5" t="str">
        <f aca="false">IF(D1680&lt;8,"LOW SAMPLE",IF(F1680&gt;H1680*(1+Assumptions!$B$10),"UNDERPAID",IF(F1680&lt;G1680*(1-Assumptions!$B$10),"OVERPAID","FAIR")))</f>
        <v>FAIR</v>
      </c>
      <c r="K1680" s="5" t="n">
        <v>90</v>
      </c>
    </row>
    <row r="1681" customFormat="false" ht="15" hidden="false" customHeight="false" outlineLevel="0" collapsed="false">
      <c r="A1681" s="5" t="n">
        <v>2023</v>
      </c>
      <c r="B1681" s="5" t="s">
        <v>339</v>
      </c>
      <c r="C1681" s="5" t="s">
        <v>367</v>
      </c>
      <c r="D1681" s="5" t="n">
        <v>23</v>
      </c>
      <c r="E1681" s="13" t="n">
        <v>6.53</v>
      </c>
      <c r="F1681" s="14" t="n">
        <f aca="false">E1681*Assumptions!$D$6</f>
        <v>977.066008445451</v>
      </c>
      <c r="G1681" s="14" t="n">
        <v>680</v>
      </c>
      <c r="H1681" s="14" t="n">
        <v>950</v>
      </c>
      <c r="I1681" s="14" t="n">
        <f aca="false">F1681-(G1681+H1681)/2</f>
        <v>162.066008445451</v>
      </c>
      <c r="J1681" s="5" t="str">
        <f aca="false">IF(D1681&lt;8,"LOW SAMPLE",IF(F1681&gt;H1681*(1+Assumptions!$B$10),"UNDERPAID",IF(F1681&lt;G1681*(1-Assumptions!$B$10),"OVERPAID","FAIR")))</f>
        <v>FAIR</v>
      </c>
      <c r="K1681" s="5" t="n">
        <v>58</v>
      </c>
    </row>
    <row r="1682" customFormat="false" ht="15" hidden="false" customHeight="false" outlineLevel="0" collapsed="false">
      <c r="A1682" s="5" t="n">
        <v>2023</v>
      </c>
      <c r="B1682" s="5" t="s">
        <v>339</v>
      </c>
      <c r="C1682" s="5" t="s">
        <v>369</v>
      </c>
      <c r="D1682" s="5" t="n">
        <v>17</v>
      </c>
      <c r="E1682" s="13" t="n">
        <v>3.07</v>
      </c>
      <c r="F1682" s="14" t="n">
        <f aca="false">E1682*Assumptions!$D$6</f>
        <v>459.355688503451</v>
      </c>
      <c r="G1682" s="14" t="n">
        <v>380</v>
      </c>
      <c r="H1682" s="14" t="n">
        <v>500</v>
      </c>
      <c r="I1682" s="14" t="n">
        <f aca="false">F1682-(G1682+H1682)/2</f>
        <v>19.3556885034506</v>
      </c>
      <c r="J1682" s="5" t="str">
        <f aca="false">IF(D1682&lt;8,"LOW SAMPLE",IF(F1682&gt;H1682*(1+Assumptions!$B$10),"UNDERPAID",IF(F1682&lt;G1682*(1-Assumptions!$B$10),"OVERPAID","FAIR")))</f>
        <v>FAIR</v>
      </c>
      <c r="K1682" s="5" t="n">
        <v>118</v>
      </c>
    </row>
    <row r="1683" customFormat="false" ht="15" hidden="false" customHeight="false" outlineLevel="0" collapsed="false">
      <c r="A1683" s="5" t="n">
        <v>2023</v>
      </c>
      <c r="B1683" s="5" t="s">
        <v>339</v>
      </c>
      <c r="C1683" s="5" t="s">
        <v>370</v>
      </c>
      <c r="D1683" s="5" t="n">
        <v>23</v>
      </c>
      <c r="E1683" s="13" t="n">
        <v>4.34</v>
      </c>
      <c r="F1683" s="14" t="n">
        <f aca="false">E1683*Assumptions!$D$6</f>
        <v>649.382308828982</v>
      </c>
      <c r="G1683" s="14" t="n">
        <v>500</v>
      </c>
      <c r="H1683" s="14" t="n">
        <v>680</v>
      </c>
      <c r="I1683" s="14" t="n">
        <f aca="false">F1683-(G1683+H1683)/2</f>
        <v>59.3823088289823</v>
      </c>
      <c r="J1683" s="5" t="str">
        <f aca="false">IF(D1683&lt;8,"LOW SAMPLE",IF(F1683&gt;H1683*(1+Assumptions!$B$10),"UNDERPAID",IF(F1683&lt;G1683*(1-Assumptions!$B$10),"OVERPAID","FAIR")))</f>
        <v>FAIR</v>
      </c>
      <c r="K1683" s="5" t="n">
        <v>81</v>
      </c>
    </row>
    <row r="1684" customFormat="false" ht="15" hidden="false" customHeight="false" outlineLevel="0" collapsed="false">
      <c r="A1684" s="5" t="n">
        <v>2023</v>
      </c>
      <c r="B1684" s="5" t="s">
        <v>339</v>
      </c>
      <c r="C1684" s="5" t="s">
        <v>371</v>
      </c>
      <c r="D1684" s="5" t="n">
        <v>3</v>
      </c>
      <c r="E1684" s="13" t="n">
        <v>0.34</v>
      </c>
      <c r="F1684" s="14" t="n">
        <f aca="false">E1684*Assumptions!$D$6</f>
        <v>50.8732684336069</v>
      </c>
      <c r="G1684" s="14" t="n">
        <v>250</v>
      </c>
      <c r="H1684" s="14" t="n">
        <v>380</v>
      </c>
      <c r="I1684" s="14" t="n">
        <f aca="false">F1684-(G1684+H1684)/2</f>
        <v>-264.126731566393</v>
      </c>
      <c r="J1684" s="5" t="str">
        <f aca="false">IF(D1684&lt;8,"LOW SAMPLE",IF(F1684&gt;H1684*(1+Assumptions!$B$10),"UNDERPAID",IF(F1684&lt;G1684*(1-Assumptions!$B$10),"OVERPAID","FAIR")))</f>
        <v>LOW SAMPLE</v>
      </c>
      <c r="K1684" s="5" t="n">
        <v>83</v>
      </c>
    </row>
    <row r="1685" customFormat="false" ht="15" hidden="false" customHeight="false" outlineLevel="0" collapsed="false">
      <c r="A1685" s="5" t="n">
        <v>2023</v>
      </c>
      <c r="B1685" s="5" t="s">
        <v>339</v>
      </c>
      <c r="C1685" s="5" t="s">
        <v>372</v>
      </c>
      <c r="D1685" s="5" t="n">
        <v>14</v>
      </c>
      <c r="E1685" s="13" t="n">
        <v>2.81</v>
      </c>
      <c r="F1685" s="14" t="n">
        <f aca="false">E1685*Assumptions!$D$6</f>
        <v>420.452600877751</v>
      </c>
      <c r="G1685" s="14" t="n">
        <v>250</v>
      </c>
      <c r="H1685" s="14" t="n">
        <v>380</v>
      </c>
      <c r="I1685" s="14" t="n">
        <f aca="false">F1685-(G1685+H1685)/2</f>
        <v>105.452600877751</v>
      </c>
      <c r="J1685" s="5" t="str">
        <f aca="false">IF(D1685&lt;8,"LOW SAMPLE",IF(F1685&gt;H1685*(1+Assumptions!$B$10),"UNDERPAID",IF(F1685&lt;G1685*(1-Assumptions!$B$10),"OVERPAID","FAIR")))</f>
        <v>FAIR</v>
      </c>
      <c r="K1685" s="5" t="n">
        <v>30</v>
      </c>
    </row>
    <row r="1686" customFormat="false" ht="15" hidden="false" customHeight="false" outlineLevel="0" collapsed="false">
      <c r="A1686" s="5" t="n">
        <v>2023</v>
      </c>
      <c r="B1686" s="5" t="s">
        <v>339</v>
      </c>
      <c r="C1686" s="5" t="s">
        <v>373</v>
      </c>
      <c r="D1686" s="5" t="n">
        <v>11</v>
      </c>
      <c r="E1686" s="13" t="n">
        <v>1.3</v>
      </c>
      <c r="F1686" s="14" t="n">
        <f aca="false">E1686*Assumptions!$D$6</f>
        <v>194.515438128497</v>
      </c>
      <c r="G1686" s="14" t="n">
        <v>380</v>
      </c>
      <c r="H1686" s="14" t="n">
        <v>500</v>
      </c>
      <c r="I1686" s="14" t="n">
        <f aca="false">F1686-(G1686+H1686)/2</f>
        <v>-245.484561871503</v>
      </c>
      <c r="J1686" s="5" t="str">
        <f aca="false">IF(D1686&lt;8,"LOW SAMPLE",IF(F1686&gt;H1686*(1+Assumptions!$B$10),"UNDERPAID",IF(F1686&lt;G1686*(1-Assumptions!$B$10),"OVERPAID","FAIR")))</f>
        <v>OVERPAID</v>
      </c>
      <c r="K1686" s="5" t="n">
        <v>116</v>
      </c>
    </row>
    <row r="1687" customFormat="false" ht="15" hidden="false" customHeight="false" outlineLevel="0" collapsed="false">
      <c r="A1687" s="5" t="n">
        <v>2023</v>
      </c>
      <c r="B1687" s="5" t="s">
        <v>339</v>
      </c>
      <c r="C1687" s="5" t="s">
        <v>103</v>
      </c>
      <c r="D1687" s="5" t="n">
        <v>6</v>
      </c>
      <c r="E1687" s="13" t="n">
        <v>0.59</v>
      </c>
      <c r="F1687" s="14" t="n">
        <f aca="false">E1687*Assumptions!$D$6</f>
        <v>88.2800834583179</v>
      </c>
      <c r="G1687" s="14" t="n">
        <v>140</v>
      </c>
      <c r="H1687" s="14" t="n">
        <v>250</v>
      </c>
      <c r="I1687" s="14" t="n">
        <f aca="false">F1687-(G1687+H1687)/2</f>
        <v>-106.719916541682</v>
      </c>
      <c r="J1687" s="5" t="str">
        <f aca="false">IF(D1687&lt;8,"LOW SAMPLE",IF(F1687&gt;H1687*(1+Assumptions!$B$10),"UNDERPAID",IF(F1687&lt;G1687*(1-Assumptions!$B$10),"OVERPAID","FAIR")))</f>
        <v>LOW SAMPLE</v>
      </c>
      <c r="K1687" s="5" t="n">
        <v>20</v>
      </c>
    </row>
    <row r="1688" customFormat="false" ht="15" hidden="false" customHeight="false" outlineLevel="0" collapsed="false">
      <c r="A1688" s="5" t="n">
        <v>2023</v>
      </c>
      <c r="B1688" s="5" t="s">
        <v>339</v>
      </c>
      <c r="C1688" s="5" t="s">
        <v>374</v>
      </c>
      <c r="D1688" s="5" t="n">
        <v>13</v>
      </c>
      <c r="E1688" s="13" t="n">
        <v>3.42</v>
      </c>
      <c r="F1688" s="14" t="n">
        <f aca="false">E1688*Assumptions!$D$6</f>
        <v>511.725229538046</v>
      </c>
      <c r="G1688" s="14" t="n">
        <v>950</v>
      </c>
      <c r="H1688" s="14" t="n">
        <v>1300</v>
      </c>
      <c r="I1688" s="14" t="n">
        <f aca="false">F1688-(G1688+H1688)/2</f>
        <v>-613.274770461954</v>
      </c>
      <c r="J1688" s="5" t="str">
        <f aca="false">IF(D1688&lt;8,"LOW SAMPLE",IF(F1688&gt;H1688*(1+Assumptions!$B$10),"UNDERPAID",IF(F1688&lt;G1688*(1-Assumptions!$B$10),"OVERPAID","FAIR")))</f>
        <v>OVERPAID</v>
      </c>
      <c r="K1688" s="5" t="n">
        <v>160</v>
      </c>
    </row>
    <row r="1689" customFormat="false" ht="15" hidden="false" customHeight="false" outlineLevel="0" collapsed="false">
      <c r="A1689" s="5" t="n">
        <v>2023</v>
      </c>
      <c r="B1689" s="5" t="s">
        <v>339</v>
      </c>
      <c r="C1689" s="5" t="s">
        <v>375</v>
      </c>
      <c r="D1689" s="5" t="n">
        <v>18</v>
      </c>
      <c r="E1689" s="13" t="n">
        <v>3.65</v>
      </c>
      <c r="F1689" s="14" t="n">
        <f aca="false">E1689*Assumptions!$D$6</f>
        <v>546.13949936078</v>
      </c>
      <c r="G1689" s="14" t="n">
        <v>380</v>
      </c>
      <c r="H1689" s="14" t="n">
        <v>500</v>
      </c>
      <c r="I1689" s="14" t="n">
        <f aca="false">F1689-(G1689+H1689)/2</f>
        <v>106.13949936078</v>
      </c>
      <c r="J1689" s="5" t="str">
        <f aca="false">IF(D1689&lt;8,"LOW SAMPLE",IF(F1689&gt;H1689*(1+Assumptions!$B$10),"UNDERPAID",IF(F1689&lt;G1689*(1-Assumptions!$B$10),"OVERPAID","FAIR")))</f>
        <v>FAIR</v>
      </c>
      <c r="K1689" s="5" t="n">
        <v>69</v>
      </c>
    </row>
    <row r="1690" customFormat="false" ht="15" hidden="false" customHeight="false" outlineLevel="0" collapsed="false">
      <c r="A1690" s="5" t="n">
        <v>2023</v>
      </c>
      <c r="B1690" s="5" t="s">
        <v>378</v>
      </c>
      <c r="C1690" s="5" t="s">
        <v>862</v>
      </c>
      <c r="D1690" s="5" t="n">
        <v>2</v>
      </c>
      <c r="E1690" s="13" t="n">
        <v>0.2</v>
      </c>
      <c r="F1690" s="14" t="n">
        <f aca="false">E1690*Assumptions!$D$6</f>
        <v>29.9254520197688</v>
      </c>
      <c r="G1690" s="14" t="n">
        <v>250</v>
      </c>
      <c r="H1690" s="14" t="n">
        <v>380</v>
      </c>
      <c r="I1690" s="14" t="n">
        <f aca="false">F1690-(G1690+H1690)/2</f>
        <v>-285.074547980231</v>
      </c>
      <c r="J1690" s="5" t="str">
        <f aca="false">IF(D1690&lt;8,"LOW SAMPLE",IF(F1690&gt;H1690*(1+Assumptions!$B$10),"UNDERPAID",IF(F1690&lt;G1690*(1-Assumptions!$B$10),"OVERPAID","FAIR")))</f>
        <v>LOW SAMPLE</v>
      </c>
      <c r="K1690" s="5" t="n">
        <v>0</v>
      </c>
    </row>
    <row r="1691" customFormat="false" ht="15" hidden="false" customHeight="false" outlineLevel="0" collapsed="false">
      <c r="A1691" s="5" t="n">
        <v>2023</v>
      </c>
      <c r="B1691" s="5" t="s">
        <v>378</v>
      </c>
      <c r="C1691" s="5" t="s">
        <v>380</v>
      </c>
      <c r="D1691" s="5" t="n">
        <v>23</v>
      </c>
      <c r="E1691" s="13" t="n">
        <v>4.61</v>
      </c>
      <c r="F1691" s="14" t="n">
        <f aca="false">E1691*Assumptions!$D$6</f>
        <v>689.78166905567</v>
      </c>
      <c r="G1691" s="14" t="n">
        <v>500</v>
      </c>
      <c r="H1691" s="14" t="n">
        <v>680</v>
      </c>
      <c r="I1691" s="14" t="n">
        <f aca="false">F1691-(G1691+H1691)/2</f>
        <v>99.7816690556703</v>
      </c>
      <c r="J1691" s="5" t="str">
        <f aca="false">IF(D1691&lt;8,"LOW SAMPLE",IF(F1691&gt;H1691*(1+Assumptions!$B$10),"UNDERPAID",IF(F1691&lt;G1691*(1-Assumptions!$B$10),"OVERPAID","FAIR")))</f>
        <v>FAIR</v>
      </c>
      <c r="K1691" s="5" t="n">
        <v>124</v>
      </c>
    </row>
    <row r="1692" customFormat="false" ht="15" hidden="false" customHeight="false" outlineLevel="0" collapsed="false">
      <c r="A1692" s="5" t="n">
        <v>2023</v>
      </c>
      <c r="B1692" s="5" t="s">
        <v>378</v>
      </c>
      <c r="C1692" s="5" t="s">
        <v>863</v>
      </c>
      <c r="D1692" s="5" t="n">
        <v>3</v>
      </c>
      <c r="E1692" s="13" t="n">
        <v>0.33</v>
      </c>
      <c r="F1692" s="14" t="n">
        <f aca="false">E1692*Assumptions!$D$6</f>
        <v>49.3769958326185</v>
      </c>
      <c r="G1692" s="14" t="n">
        <v>250</v>
      </c>
      <c r="H1692" s="14" t="n">
        <v>380</v>
      </c>
      <c r="I1692" s="14" t="n">
        <f aca="false">F1692-(G1692+H1692)/2</f>
        <v>-265.623004167382</v>
      </c>
      <c r="J1692" s="5" t="str">
        <f aca="false">IF(D1692&lt;8,"LOW SAMPLE",IF(F1692&gt;H1692*(1+Assumptions!$B$10),"UNDERPAID",IF(F1692&lt;G1692*(1-Assumptions!$B$10),"OVERPAID","FAIR")))</f>
        <v>LOW SAMPLE</v>
      </c>
      <c r="K1692" s="5" t="n">
        <v>0</v>
      </c>
    </row>
    <row r="1693" customFormat="false" ht="15" hidden="false" customHeight="false" outlineLevel="0" collapsed="false">
      <c r="A1693" s="5" t="n">
        <v>2023</v>
      </c>
      <c r="B1693" s="5" t="s">
        <v>378</v>
      </c>
      <c r="C1693" s="5" t="s">
        <v>864</v>
      </c>
      <c r="D1693" s="5" t="n">
        <v>14</v>
      </c>
      <c r="E1693" s="13" t="n">
        <v>1.75</v>
      </c>
      <c r="F1693" s="14" t="n">
        <f aca="false">E1693*Assumptions!$D$6</f>
        <v>261.847705172977</v>
      </c>
      <c r="G1693" s="14" t="n">
        <v>250</v>
      </c>
      <c r="H1693" s="14" t="n">
        <v>380</v>
      </c>
      <c r="I1693" s="14" t="n">
        <f aca="false">F1693-(G1693+H1693)/2</f>
        <v>-53.1522948270232</v>
      </c>
      <c r="J1693" s="5" t="str">
        <f aca="false">IF(D1693&lt;8,"LOW SAMPLE",IF(F1693&gt;H1693*(1+Assumptions!$B$10),"UNDERPAID",IF(F1693&lt;G1693*(1-Assumptions!$B$10),"OVERPAID","FAIR")))</f>
        <v>FAIR</v>
      </c>
      <c r="K1693" s="5" t="n">
        <v>0</v>
      </c>
    </row>
    <row r="1694" customFormat="false" ht="15" hidden="false" customHeight="false" outlineLevel="0" collapsed="false">
      <c r="A1694" s="5" t="n">
        <v>2023</v>
      </c>
      <c r="B1694" s="5" t="s">
        <v>378</v>
      </c>
      <c r="C1694" s="5" t="s">
        <v>381</v>
      </c>
      <c r="D1694" s="5" t="n">
        <v>14</v>
      </c>
      <c r="E1694" s="13" t="n">
        <v>2.08</v>
      </c>
      <c r="F1694" s="14" t="n">
        <f aca="false">E1694*Assumptions!$D$6</f>
        <v>311.224701005595</v>
      </c>
      <c r="G1694" s="14" t="n">
        <v>380</v>
      </c>
      <c r="H1694" s="14" t="n">
        <v>500</v>
      </c>
      <c r="I1694" s="14" t="n">
        <f aca="false">F1694-(G1694+H1694)/2</f>
        <v>-128.775298994405</v>
      </c>
      <c r="J1694" s="5" t="str">
        <f aca="false">IF(D1694&lt;8,"LOW SAMPLE",IF(F1694&gt;H1694*(1+Assumptions!$B$10),"UNDERPAID",IF(F1694&lt;G1694*(1-Assumptions!$B$10),"OVERPAID","FAIR")))</f>
        <v>OVERPAID</v>
      </c>
      <c r="K1694" s="5" t="n">
        <v>137</v>
      </c>
    </row>
    <row r="1695" customFormat="false" ht="15" hidden="false" customHeight="false" outlineLevel="0" collapsed="false">
      <c r="A1695" s="5" t="n">
        <v>2023</v>
      </c>
      <c r="B1695" s="5" t="s">
        <v>378</v>
      </c>
      <c r="C1695" s="5" t="s">
        <v>382</v>
      </c>
      <c r="D1695" s="5" t="n">
        <v>8</v>
      </c>
      <c r="E1695" s="13" t="n">
        <v>1.3</v>
      </c>
      <c r="F1695" s="14" t="n">
        <f aca="false">E1695*Assumptions!$D$6</f>
        <v>194.515438128497</v>
      </c>
      <c r="G1695" s="14" t="n">
        <v>250</v>
      </c>
      <c r="H1695" s="14" t="n">
        <v>380</v>
      </c>
      <c r="I1695" s="14" t="n">
        <f aca="false">F1695-(G1695+H1695)/2</f>
        <v>-120.484561871503</v>
      </c>
      <c r="J1695" s="5" t="str">
        <f aca="false">IF(D1695&lt;8,"LOW SAMPLE",IF(F1695&gt;H1695*(1+Assumptions!$B$10),"UNDERPAID",IF(F1695&lt;G1695*(1-Assumptions!$B$10),"OVERPAID","FAIR")))</f>
        <v>OVERPAID</v>
      </c>
      <c r="K1695" s="5" t="n">
        <v>37</v>
      </c>
    </row>
    <row r="1696" customFormat="false" ht="15" hidden="false" customHeight="false" outlineLevel="0" collapsed="false">
      <c r="A1696" s="5" t="n">
        <v>2023</v>
      </c>
      <c r="B1696" s="5" t="s">
        <v>378</v>
      </c>
      <c r="C1696" s="5" t="s">
        <v>773</v>
      </c>
      <c r="D1696" s="5" t="n">
        <v>21</v>
      </c>
      <c r="E1696" s="13" t="n">
        <v>2.94</v>
      </c>
      <c r="F1696" s="14" t="n">
        <f aca="false">E1696*Assumptions!$D$6</f>
        <v>439.904144690601</v>
      </c>
      <c r="G1696" s="14" t="n">
        <v>380</v>
      </c>
      <c r="H1696" s="14" t="n">
        <v>500</v>
      </c>
      <c r="I1696" s="14" t="n">
        <f aca="false">F1696-(G1696+H1696)/2</f>
        <v>-0.0958553093990417</v>
      </c>
      <c r="J1696" s="5" t="str">
        <f aca="false">IF(D1696&lt;8,"LOW SAMPLE",IF(F1696&gt;H1696*(1+Assumptions!$B$10),"UNDERPAID",IF(F1696&lt;G1696*(1-Assumptions!$B$10),"OVERPAID","FAIR")))</f>
        <v>FAIR</v>
      </c>
      <c r="K1696" s="5" t="n">
        <v>20</v>
      </c>
    </row>
    <row r="1697" customFormat="false" ht="15" hidden="false" customHeight="false" outlineLevel="0" collapsed="false">
      <c r="A1697" s="5" t="n">
        <v>2023</v>
      </c>
      <c r="B1697" s="5" t="s">
        <v>378</v>
      </c>
      <c r="C1697" s="5" t="s">
        <v>384</v>
      </c>
      <c r="D1697" s="5" t="n">
        <v>23</v>
      </c>
      <c r="E1697" s="13" t="n">
        <v>4.92</v>
      </c>
      <c r="F1697" s="14" t="n">
        <f aca="false">E1697*Assumptions!$D$6</f>
        <v>736.166119686312</v>
      </c>
      <c r="G1697" s="14" t="n">
        <v>380</v>
      </c>
      <c r="H1697" s="14" t="n">
        <v>500</v>
      </c>
      <c r="I1697" s="14" t="n">
        <f aca="false">F1697-(G1697+H1697)/2</f>
        <v>296.166119686312</v>
      </c>
      <c r="J1697" s="5" t="str">
        <f aca="false">IF(D1697&lt;8,"LOW SAMPLE",IF(F1697&gt;H1697*(1+Assumptions!$B$10),"UNDERPAID",IF(F1697&lt;G1697*(1-Assumptions!$B$10),"OVERPAID","FAIR")))</f>
        <v>UNDERPAID</v>
      </c>
      <c r="K1697" s="5" t="n">
        <v>50</v>
      </c>
    </row>
    <row r="1698" customFormat="false" ht="15" hidden="false" customHeight="false" outlineLevel="0" collapsed="false">
      <c r="A1698" s="5" t="n">
        <v>2023</v>
      </c>
      <c r="B1698" s="5" t="s">
        <v>378</v>
      </c>
      <c r="C1698" s="5" t="s">
        <v>387</v>
      </c>
      <c r="D1698" s="5" t="n">
        <v>7</v>
      </c>
      <c r="E1698" s="13" t="n">
        <v>0.61</v>
      </c>
      <c r="F1698" s="14" t="n">
        <f aca="false">E1698*Assumptions!$D$6</f>
        <v>91.2726286602948</v>
      </c>
      <c r="G1698" s="14" t="n">
        <v>140</v>
      </c>
      <c r="H1698" s="14" t="n">
        <v>250</v>
      </c>
      <c r="I1698" s="14" t="n">
        <f aca="false">F1698-(G1698+H1698)/2</f>
        <v>-103.727371339705</v>
      </c>
      <c r="J1698" s="5" t="str">
        <f aca="false">IF(D1698&lt;8,"LOW SAMPLE",IF(F1698&gt;H1698*(1+Assumptions!$B$10),"UNDERPAID",IF(F1698&lt;G1698*(1-Assumptions!$B$10),"OVERPAID","FAIR")))</f>
        <v>LOW SAMPLE</v>
      </c>
      <c r="K1698" s="5" t="n">
        <v>21</v>
      </c>
    </row>
    <row r="1699" customFormat="false" ht="15" hidden="false" customHeight="false" outlineLevel="0" collapsed="false">
      <c r="A1699" s="5" t="n">
        <v>2023</v>
      </c>
      <c r="B1699" s="5" t="s">
        <v>378</v>
      </c>
      <c r="C1699" s="5" t="s">
        <v>388</v>
      </c>
      <c r="D1699" s="5" t="n">
        <v>23</v>
      </c>
      <c r="E1699" s="13" t="n">
        <v>4.55</v>
      </c>
      <c r="F1699" s="14" t="n">
        <f aca="false">E1699*Assumptions!$D$6</f>
        <v>680.80403344974</v>
      </c>
      <c r="G1699" s="14" t="n">
        <v>500</v>
      </c>
      <c r="H1699" s="14" t="n">
        <v>680</v>
      </c>
      <c r="I1699" s="14" t="n">
        <f aca="false">F1699-(G1699+H1699)/2</f>
        <v>90.8040334497396</v>
      </c>
      <c r="J1699" s="5" t="str">
        <f aca="false">IF(D1699&lt;8,"LOW SAMPLE",IF(F1699&gt;H1699*(1+Assumptions!$B$10),"UNDERPAID",IF(F1699&lt;G1699*(1-Assumptions!$B$10),"OVERPAID","FAIR")))</f>
        <v>FAIR</v>
      </c>
      <c r="K1699" s="5" t="n">
        <v>52</v>
      </c>
    </row>
    <row r="1700" customFormat="false" ht="15" hidden="false" customHeight="false" outlineLevel="0" collapsed="false">
      <c r="A1700" s="5" t="n">
        <v>2023</v>
      </c>
      <c r="B1700" s="5" t="s">
        <v>378</v>
      </c>
      <c r="C1700" s="5" t="s">
        <v>865</v>
      </c>
      <c r="D1700" s="5" t="n">
        <v>11</v>
      </c>
      <c r="E1700" s="13" t="n">
        <v>1.8</v>
      </c>
      <c r="F1700" s="14" t="n">
        <f aca="false">E1700*Assumptions!$D$6</f>
        <v>269.329068177919</v>
      </c>
      <c r="G1700" s="14" t="n">
        <v>250</v>
      </c>
      <c r="H1700" s="14" t="n">
        <v>380</v>
      </c>
      <c r="I1700" s="14" t="n">
        <f aca="false">F1700-(G1700+H1700)/2</f>
        <v>-45.6709318220811</v>
      </c>
      <c r="J1700" s="5" t="str">
        <f aca="false">IF(D1700&lt;8,"LOW SAMPLE",IF(F1700&gt;H1700*(1+Assumptions!$B$10),"UNDERPAID",IF(F1700&lt;G1700*(1-Assumptions!$B$10),"OVERPAID","FAIR")))</f>
        <v>FAIR</v>
      </c>
      <c r="K1700" s="5" t="n">
        <v>5</v>
      </c>
    </row>
    <row r="1701" customFormat="false" ht="15" hidden="false" customHeight="false" outlineLevel="0" collapsed="false">
      <c r="A1701" s="5" t="n">
        <v>2023</v>
      </c>
      <c r="B1701" s="5" t="s">
        <v>378</v>
      </c>
      <c r="C1701" s="5" t="s">
        <v>390</v>
      </c>
      <c r="D1701" s="5" t="n">
        <v>13</v>
      </c>
      <c r="E1701" s="13" t="n">
        <v>0.98</v>
      </c>
      <c r="F1701" s="14" t="n">
        <f aca="false">E1701*Assumptions!$D$6</f>
        <v>146.634714896867</v>
      </c>
      <c r="G1701" s="14" t="n">
        <v>140</v>
      </c>
      <c r="H1701" s="14" t="n">
        <v>250</v>
      </c>
      <c r="I1701" s="14" t="n">
        <f aca="false">F1701-(G1701+H1701)/2</f>
        <v>-48.365285103133</v>
      </c>
      <c r="J1701" s="5" t="str">
        <f aca="false">IF(D1701&lt;8,"LOW SAMPLE",IF(F1701&gt;H1701*(1+Assumptions!$B$10),"UNDERPAID",IF(F1701&lt;G1701*(1-Assumptions!$B$10),"OVERPAID","FAIR")))</f>
        <v>FAIR</v>
      </c>
      <c r="K1701" s="5" t="n">
        <v>19</v>
      </c>
    </row>
    <row r="1702" customFormat="false" ht="15" hidden="false" customHeight="false" outlineLevel="0" collapsed="false">
      <c r="A1702" s="5" t="n">
        <v>2023</v>
      </c>
      <c r="B1702" s="5" t="s">
        <v>378</v>
      </c>
      <c r="C1702" s="5" t="s">
        <v>391</v>
      </c>
      <c r="D1702" s="5" t="n">
        <v>13</v>
      </c>
      <c r="E1702" s="13" t="n">
        <v>1.94</v>
      </c>
      <c r="F1702" s="14" t="n">
        <f aca="false">E1702*Assumptions!$D$6</f>
        <v>290.276884591757</v>
      </c>
      <c r="G1702" s="14" t="n">
        <v>380</v>
      </c>
      <c r="H1702" s="14" t="n">
        <v>500</v>
      </c>
      <c r="I1702" s="14" t="n">
        <f aca="false">F1702-(G1702+H1702)/2</f>
        <v>-149.723115408243</v>
      </c>
      <c r="J1702" s="5" t="str">
        <f aca="false">IF(D1702&lt;8,"LOW SAMPLE",IF(F1702&gt;H1702*(1+Assumptions!$B$10),"UNDERPAID",IF(F1702&lt;G1702*(1-Assumptions!$B$10),"OVERPAID","FAIR")))</f>
        <v>OVERPAID</v>
      </c>
      <c r="K1702" s="5" t="n">
        <v>78</v>
      </c>
    </row>
    <row r="1703" customFormat="false" ht="15" hidden="false" customHeight="false" outlineLevel="0" collapsed="false">
      <c r="A1703" s="5" t="n">
        <v>2023</v>
      </c>
      <c r="B1703" s="5" t="s">
        <v>378</v>
      </c>
      <c r="C1703" s="5" t="s">
        <v>866</v>
      </c>
      <c r="D1703" s="5" t="n">
        <v>2</v>
      </c>
      <c r="E1703" s="13" t="n">
        <v>0.28</v>
      </c>
      <c r="F1703" s="14" t="n">
        <f aca="false">E1703*Assumptions!$D$6</f>
        <v>41.8956328276763</v>
      </c>
      <c r="G1703" s="14" t="n">
        <v>250</v>
      </c>
      <c r="H1703" s="14" t="n">
        <v>380</v>
      </c>
      <c r="I1703" s="14" t="n">
        <f aca="false">F1703-(G1703+H1703)/2</f>
        <v>-273.104367172324</v>
      </c>
      <c r="J1703" s="5" t="str">
        <f aca="false">IF(D1703&lt;8,"LOW SAMPLE",IF(F1703&gt;H1703*(1+Assumptions!$B$10),"UNDERPAID",IF(F1703&lt;G1703*(1-Assumptions!$B$10),"OVERPAID","FAIR")))</f>
        <v>LOW SAMPLE</v>
      </c>
      <c r="K1703" s="5" t="n">
        <v>0</v>
      </c>
    </row>
    <row r="1704" customFormat="false" ht="15" hidden="false" customHeight="false" outlineLevel="0" collapsed="false">
      <c r="A1704" s="5" t="n">
        <v>2023</v>
      </c>
      <c r="B1704" s="5" t="s">
        <v>378</v>
      </c>
      <c r="C1704" s="5" t="s">
        <v>393</v>
      </c>
      <c r="D1704" s="5" t="n">
        <v>16</v>
      </c>
      <c r="E1704" s="13" t="n">
        <v>2.5</v>
      </c>
      <c r="F1704" s="14" t="n">
        <f aca="false">E1704*Assumptions!$D$6</f>
        <v>374.06815024711</v>
      </c>
      <c r="G1704" s="14" t="n">
        <v>380</v>
      </c>
      <c r="H1704" s="14" t="n">
        <v>500</v>
      </c>
      <c r="I1704" s="14" t="n">
        <f aca="false">F1704-(G1704+H1704)/2</f>
        <v>-65.9318497528903</v>
      </c>
      <c r="J1704" s="5" t="str">
        <f aca="false">IF(D1704&lt;8,"LOW SAMPLE",IF(F1704&gt;H1704*(1+Assumptions!$B$10),"UNDERPAID",IF(F1704&lt;G1704*(1-Assumptions!$B$10),"OVERPAID","FAIR")))</f>
        <v>FAIR</v>
      </c>
      <c r="K1704" s="5" t="n">
        <v>67</v>
      </c>
    </row>
    <row r="1705" customFormat="false" ht="15" hidden="false" customHeight="false" outlineLevel="0" collapsed="false">
      <c r="A1705" s="5" t="n">
        <v>2023</v>
      </c>
      <c r="B1705" s="5" t="s">
        <v>378</v>
      </c>
      <c r="C1705" s="5" t="s">
        <v>394</v>
      </c>
      <c r="D1705" s="5" t="n">
        <v>12</v>
      </c>
      <c r="E1705" s="13" t="n">
        <v>1.81</v>
      </c>
      <c r="F1705" s="14" t="n">
        <f aca="false">E1705*Assumptions!$D$6</f>
        <v>270.825340778907</v>
      </c>
      <c r="G1705" s="14" t="n">
        <v>380</v>
      </c>
      <c r="H1705" s="14" t="n">
        <v>500</v>
      </c>
      <c r="I1705" s="14" t="n">
        <f aca="false">F1705-(G1705+H1705)/2</f>
        <v>-169.174659221093</v>
      </c>
      <c r="J1705" s="5" t="str">
        <f aca="false">IF(D1705&lt;8,"LOW SAMPLE",IF(F1705&gt;H1705*(1+Assumptions!$B$10),"UNDERPAID",IF(F1705&lt;G1705*(1-Assumptions!$B$10),"OVERPAID","FAIR")))</f>
        <v>OVERPAID</v>
      </c>
      <c r="K1705" s="5" t="n">
        <v>36</v>
      </c>
    </row>
    <row r="1706" customFormat="false" ht="15" hidden="false" customHeight="false" outlineLevel="0" collapsed="false">
      <c r="A1706" s="5" t="n">
        <v>2023</v>
      </c>
      <c r="B1706" s="5" t="s">
        <v>378</v>
      </c>
      <c r="C1706" s="5" t="s">
        <v>396</v>
      </c>
      <c r="D1706" s="5" t="n">
        <v>22</v>
      </c>
      <c r="E1706" s="13" t="n">
        <v>5.82</v>
      </c>
      <c r="F1706" s="14" t="n">
        <f aca="false">E1706*Assumptions!$D$6</f>
        <v>870.830653775271</v>
      </c>
      <c r="G1706" s="14" t="n">
        <v>500</v>
      </c>
      <c r="H1706" s="14" t="n">
        <v>680</v>
      </c>
      <c r="I1706" s="14" t="n">
        <f aca="false">F1706-(G1706+H1706)/2</f>
        <v>280.830653775271</v>
      </c>
      <c r="J1706" s="5" t="str">
        <f aca="false">IF(D1706&lt;8,"LOW SAMPLE",IF(F1706&gt;H1706*(1+Assumptions!$B$10),"UNDERPAID",IF(F1706&lt;G1706*(1-Assumptions!$B$10),"OVERPAID","FAIR")))</f>
        <v>UNDERPAID</v>
      </c>
      <c r="K1706" s="5" t="n">
        <v>29</v>
      </c>
    </row>
    <row r="1707" customFormat="false" ht="15" hidden="false" customHeight="false" outlineLevel="0" collapsed="false">
      <c r="A1707" s="5" t="n">
        <v>2023</v>
      </c>
      <c r="B1707" s="5" t="s">
        <v>378</v>
      </c>
      <c r="C1707" s="5" t="s">
        <v>776</v>
      </c>
      <c r="D1707" s="5" t="n">
        <v>2</v>
      </c>
      <c r="E1707" s="13" t="n">
        <v>0.18</v>
      </c>
      <c r="F1707" s="14" t="n">
        <f aca="false">E1707*Assumptions!$D$6</f>
        <v>26.9329068177919</v>
      </c>
      <c r="G1707" s="14" t="n">
        <v>140</v>
      </c>
      <c r="H1707" s="14" t="n">
        <v>250</v>
      </c>
      <c r="I1707" s="14" t="n">
        <f aca="false">F1707-(G1707+H1707)/2</f>
        <v>-168.067093182208</v>
      </c>
      <c r="J1707" s="5" t="str">
        <f aca="false">IF(D1707&lt;8,"LOW SAMPLE",IF(F1707&gt;H1707*(1+Assumptions!$B$10),"UNDERPAID",IF(F1707&lt;G1707*(1-Assumptions!$B$10),"OVERPAID","FAIR")))</f>
        <v>LOW SAMPLE</v>
      </c>
      <c r="K1707" s="5" t="n">
        <v>3</v>
      </c>
    </row>
    <row r="1708" customFormat="false" ht="15" hidden="false" customHeight="false" outlineLevel="0" collapsed="false">
      <c r="A1708" s="5" t="n">
        <v>2023</v>
      </c>
      <c r="B1708" s="5" t="s">
        <v>378</v>
      </c>
      <c r="C1708" s="5" t="s">
        <v>777</v>
      </c>
      <c r="D1708" s="5" t="n">
        <v>15</v>
      </c>
      <c r="E1708" s="13" t="n">
        <v>1.65</v>
      </c>
      <c r="F1708" s="14" t="n">
        <f aca="false">E1708*Assumptions!$D$6</f>
        <v>246.884979163092</v>
      </c>
      <c r="G1708" s="14" t="n">
        <v>140</v>
      </c>
      <c r="H1708" s="14" t="n">
        <v>250</v>
      </c>
      <c r="I1708" s="14" t="n">
        <f aca="false">F1708-(G1708+H1708)/2</f>
        <v>51.8849791630924</v>
      </c>
      <c r="J1708" s="5" t="str">
        <f aca="false">IF(D1708&lt;8,"LOW SAMPLE",IF(F1708&gt;H1708*(1+Assumptions!$B$10),"UNDERPAID",IF(F1708&lt;G1708*(1-Assumptions!$B$10),"OVERPAID","FAIR")))</f>
        <v>FAIR</v>
      </c>
      <c r="K1708" s="5" t="n">
        <v>9</v>
      </c>
    </row>
    <row r="1709" customFormat="false" ht="15" hidden="false" customHeight="false" outlineLevel="0" collapsed="false">
      <c r="A1709" s="5" t="n">
        <v>2023</v>
      </c>
      <c r="B1709" s="5" t="s">
        <v>378</v>
      </c>
      <c r="C1709" s="5" t="s">
        <v>778</v>
      </c>
      <c r="D1709" s="5" t="n">
        <v>19</v>
      </c>
      <c r="E1709" s="13" t="n">
        <v>5.07</v>
      </c>
      <c r="F1709" s="14" t="n">
        <f aca="false">E1709*Assumptions!$D$6</f>
        <v>758.610208701138</v>
      </c>
      <c r="G1709" s="14" t="n">
        <v>680</v>
      </c>
      <c r="H1709" s="14" t="n">
        <v>950</v>
      </c>
      <c r="I1709" s="14" t="n">
        <f aca="false">F1709-(G1709+H1709)/2</f>
        <v>-56.3897912988616</v>
      </c>
      <c r="J1709" s="5" t="str">
        <f aca="false">IF(D1709&lt;8,"LOW SAMPLE",IF(F1709&gt;H1709*(1+Assumptions!$B$10),"UNDERPAID",IF(F1709&lt;G1709*(1-Assumptions!$B$10),"OVERPAID","FAIR")))</f>
        <v>FAIR</v>
      </c>
      <c r="K1709" s="5" t="n">
        <v>115</v>
      </c>
    </row>
    <row r="1710" customFormat="false" ht="15" hidden="false" customHeight="false" outlineLevel="0" collapsed="false">
      <c r="A1710" s="5" t="n">
        <v>2023</v>
      </c>
      <c r="B1710" s="5" t="s">
        <v>378</v>
      </c>
      <c r="C1710" s="5" t="s">
        <v>398</v>
      </c>
      <c r="D1710" s="5" t="n">
        <v>23</v>
      </c>
      <c r="E1710" s="13" t="n">
        <v>5.99</v>
      </c>
      <c r="F1710" s="14" t="n">
        <f aca="false">E1710*Assumptions!$D$6</f>
        <v>896.267287992075</v>
      </c>
      <c r="G1710" s="14" t="n">
        <v>380</v>
      </c>
      <c r="H1710" s="14" t="n">
        <v>500</v>
      </c>
      <c r="I1710" s="14" t="n">
        <f aca="false">F1710-(G1710+H1710)/2</f>
        <v>456.267287992075</v>
      </c>
      <c r="J1710" s="5" t="str">
        <f aca="false">IF(D1710&lt;8,"LOW SAMPLE",IF(F1710&gt;H1710*(1+Assumptions!$B$10),"UNDERPAID",IF(F1710&lt;G1710*(1-Assumptions!$B$10),"OVERPAID","FAIR")))</f>
        <v>UNDERPAID</v>
      </c>
      <c r="K1710" s="5" t="n">
        <v>79</v>
      </c>
    </row>
    <row r="1711" customFormat="false" ht="15" hidden="false" customHeight="false" outlineLevel="0" collapsed="false">
      <c r="A1711" s="5" t="n">
        <v>2023</v>
      </c>
      <c r="B1711" s="5" t="s">
        <v>378</v>
      </c>
      <c r="C1711" s="5" t="s">
        <v>399</v>
      </c>
      <c r="D1711" s="5" t="n">
        <v>22</v>
      </c>
      <c r="E1711" s="13" t="n">
        <v>3.36</v>
      </c>
      <c r="F1711" s="14" t="n">
        <f aca="false">E1711*Assumptions!$D$6</f>
        <v>502.747593932115</v>
      </c>
      <c r="G1711" s="14" t="n">
        <v>380</v>
      </c>
      <c r="H1711" s="14" t="n">
        <v>500</v>
      </c>
      <c r="I1711" s="14" t="n">
        <f aca="false">F1711-(G1711+H1711)/2</f>
        <v>62.7475939321154</v>
      </c>
      <c r="J1711" s="5" t="str">
        <f aca="false">IF(D1711&lt;8,"LOW SAMPLE",IF(F1711&gt;H1711*(1+Assumptions!$B$10),"UNDERPAID",IF(F1711&lt;G1711*(1-Assumptions!$B$10),"OVERPAID","FAIR")))</f>
        <v>FAIR</v>
      </c>
      <c r="K1711" s="5" t="n">
        <v>132</v>
      </c>
    </row>
    <row r="1712" customFormat="false" ht="15" hidden="false" customHeight="false" outlineLevel="0" collapsed="false">
      <c r="A1712" s="5" t="n">
        <v>2023</v>
      </c>
      <c r="B1712" s="5" t="s">
        <v>378</v>
      </c>
      <c r="C1712" s="5" t="s">
        <v>779</v>
      </c>
      <c r="D1712" s="5" t="n">
        <v>16</v>
      </c>
      <c r="E1712" s="13" t="n">
        <v>2.26</v>
      </c>
      <c r="F1712" s="14" t="n">
        <f aca="false">E1712*Assumptions!$D$6</f>
        <v>338.157607823387</v>
      </c>
      <c r="G1712" s="14" t="n">
        <v>380</v>
      </c>
      <c r="H1712" s="14" t="n">
        <v>500</v>
      </c>
      <c r="I1712" s="14" t="n">
        <f aca="false">F1712-(G1712+H1712)/2</f>
        <v>-101.842392176613</v>
      </c>
      <c r="J1712" s="5" t="str">
        <f aca="false">IF(D1712&lt;8,"LOW SAMPLE",IF(F1712&gt;H1712*(1+Assumptions!$B$10),"UNDERPAID",IF(F1712&lt;G1712*(1-Assumptions!$B$10),"OVERPAID","FAIR")))</f>
        <v>FAIR</v>
      </c>
      <c r="K1712" s="5" t="n">
        <v>14</v>
      </c>
    </row>
    <row r="1713" customFormat="false" ht="15" hidden="false" customHeight="false" outlineLevel="0" collapsed="false">
      <c r="A1713" s="5" t="n">
        <v>2023</v>
      </c>
      <c r="B1713" s="5" t="s">
        <v>378</v>
      </c>
      <c r="C1713" s="5" t="s">
        <v>867</v>
      </c>
      <c r="D1713" s="5" t="n">
        <v>17</v>
      </c>
      <c r="E1713" s="13" t="n">
        <v>2.49</v>
      </c>
      <c r="F1713" s="14" t="n">
        <f aca="false">E1713*Assumptions!$D$6</f>
        <v>372.571877646121</v>
      </c>
      <c r="G1713" s="14" t="n">
        <v>250</v>
      </c>
      <c r="H1713" s="14" t="n">
        <v>380</v>
      </c>
      <c r="I1713" s="14" t="n">
        <f aca="false">F1713-(G1713+H1713)/2</f>
        <v>57.5718776461213</v>
      </c>
      <c r="J1713" s="5" t="str">
        <f aca="false">IF(D1713&lt;8,"LOW SAMPLE",IF(F1713&gt;H1713*(1+Assumptions!$B$10),"UNDERPAID",IF(F1713&lt;G1713*(1-Assumptions!$B$10),"OVERPAID","FAIR")))</f>
        <v>FAIR</v>
      </c>
      <c r="K1713" s="5" t="n">
        <v>0</v>
      </c>
    </row>
    <row r="1714" customFormat="false" ht="15" hidden="false" customHeight="false" outlineLevel="0" collapsed="false">
      <c r="A1714" s="5" t="n">
        <v>2023</v>
      </c>
      <c r="B1714" s="5" t="s">
        <v>378</v>
      </c>
      <c r="C1714" s="5" t="s">
        <v>503</v>
      </c>
      <c r="D1714" s="5" t="n">
        <v>21</v>
      </c>
      <c r="E1714" s="13" t="n">
        <v>4.28</v>
      </c>
      <c r="F1714" s="14" t="n">
        <f aca="false">E1714*Assumptions!$D$6</f>
        <v>640.404673223052</v>
      </c>
      <c r="G1714" s="14" t="n">
        <v>680</v>
      </c>
      <c r="H1714" s="14" t="n">
        <v>950</v>
      </c>
      <c r="I1714" s="14" t="n">
        <f aca="false">F1714-(G1714+H1714)/2</f>
        <v>-174.595326776948</v>
      </c>
      <c r="J1714" s="5" t="str">
        <f aca="false">IF(D1714&lt;8,"LOW SAMPLE",IF(F1714&gt;H1714*(1+Assumptions!$B$10),"UNDERPAID",IF(F1714&lt;G1714*(1-Assumptions!$B$10),"OVERPAID","FAIR")))</f>
        <v>FAIR</v>
      </c>
      <c r="K1714" s="5" t="n">
        <v>124</v>
      </c>
    </row>
    <row r="1715" customFormat="false" ht="15" hidden="false" customHeight="false" outlineLevel="0" collapsed="false">
      <c r="A1715" s="5" t="n">
        <v>2023</v>
      </c>
      <c r="B1715" s="5" t="s">
        <v>378</v>
      </c>
      <c r="C1715" s="5" t="s">
        <v>403</v>
      </c>
      <c r="D1715" s="5" t="n">
        <v>11</v>
      </c>
      <c r="E1715" s="13" t="n">
        <v>1.37</v>
      </c>
      <c r="F1715" s="14" t="n">
        <f aca="false">E1715*Assumptions!$D$6</f>
        <v>204.989346335416</v>
      </c>
      <c r="G1715" s="14" t="n">
        <v>250</v>
      </c>
      <c r="H1715" s="14" t="n">
        <v>380</v>
      </c>
      <c r="I1715" s="14" t="n">
        <f aca="false">F1715-(G1715+H1715)/2</f>
        <v>-110.010653664584</v>
      </c>
      <c r="J1715" s="5" t="str">
        <f aca="false">IF(D1715&lt;8,"LOW SAMPLE",IF(F1715&gt;H1715*(1+Assumptions!$B$10),"UNDERPAID",IF(F1715&lt;G1715*(1-Assumptions!$B$10),"OVERPAID","FAIR")))</f>
        <v>OVERPAID</v>
      </c>
      <c r="K1715" s="5" t="n">
        <v>19</v>
      </c>
    </row>
    <row r="1716" customFormat="false" ht="15" hidden="false" customHeight="false" outlineLevel="0" collapsed="false">
      <c r="A1716" s="5" t="n">
        <v>2023</v>
      </c>
      <c r="B1716" s="5" t="s">
        <v>378</v>
      </c>
      <c r="C1716" s="5" t="s">
        <v>247</v>
      </c>
      <c r="D1716" s="5" t="n">
        <v>16</v>
      </c>
      <c r="E1716" s="13" t="n">
        <v>2.75</v>
      </c>
      <c r="F1716" s="14" t="n">
        <f aca="false">E1716*Assumptions!$D$6</f>
        <v>411.474965271821</v>
      </c>
      <c r="G1716" s="14" t="n">
        <v>140</v>
      </c>
      <c r="H1716" s="14" t="n">
        <v>250</v>
      </c>
      <c r="I1716" s="14" t="n">
        <f aca="false">F1716-(G1716+H1716)/2</f>
        <v>216.474965271821</v>
      </c>
      <c r="J1716" s="5" t="str">
        <f aca="false">IF(D1716&lt;8,"LOW SAMPLE",IF(F1716&gt;H1716*(1+Assumptions!$B$10),"UNDERPAID",IF(F1716&lt;G1716*(1-Assumptions!$B$10),"OVERPAID","FAIR")))</f>
        <v>UNDERPAID</v>
      </c>
      <c r="K1716" s="5" t="n">
        <v>15</v>
      </c>
    </row>
    <row r="1717" customFormat="false" ht="15" hidden="false" customHeight="false" outlineLevel="0" collapsed="false">
      <c r="A1717" s="5" t="n">
        <v>2023</v>
      </c>
      <c r="B1717" s="5" t="s">
        <v>378</v>
      </c>
      <c r="C1717" s="5" t="s">
        <v>405</v>
      </c>
      <c r="D1717" s="5" t="n">
        <v>21</v>
      </c>
      <c r="E1717" s="13" t="n">
        <v>4.29</v>
      </c>
      <c r="F1717" s="14" t="n">
        <f aca="false">E1717*Assumptions!$D$6</f>
        <v>641.90094582404</v>
      </c>
      <c r="G1717" s="14" t="n">
        <v>500</v>
      </c>
      <c r="H1717" s="14" t="n">
        <v>680</v>
      </c>
      <c r="I1717" s="14" t="n">
        <f aca="false">F1717-(G1717+H1717)/2</f>
        <v>51.9009458240402</v>
      </c>
      <c r="J1717" s="5" t="str">
        <f aca="false">IF(D1717&lt;8,"LOW SAMPLE",IF(F1717&gt;H1717*(1+Assumptions!$B$10),"UNDERPAID",IF(F1717&lt;G1717*(1-Assumptions!$B$10),"OVERPAID","FAIR")))</f>
        <v>FAIR</v>
      </c>
      <c r="K1717" s="5" t="n">
        <v>169</v>
      </c>
    </row>
    <row r="1718" customFormat="false" ht="15" hidden="false" customHeight="false" outlineLevel="0" collapsed="false">
      <c r="A1718" s="5" t="n">
        <v>2023</v>
      </c>
      <c r="B1718" s="5" t="s">
        <v>378</v>
      </c>
      <c r="C1718" s="5" t="s">
        <v>174</v>
      </c>
      <c r="D1718" s="5" t="n">
        <v>1</v>
      </c>
      <c r="E1718" s="13" t="n">
        <v>0.08</v>
      </c>
      <c r="F1718" s="14" t="n">
        <f aca="false">E1718*Assumptions!$D$6</f>
        <v>11.9701808079075</v>
      </c>
      <c r="G1718" s="14" t="n">
        <v>140</v>
      </c>
      <c r="H1718" s="14" t="n">
        <v>250</v>
      </c>
      <c r="I1718" s="14" t="n">
        <f aca="false">F1718-(G1718+H1718)/2</f>
        <v>-183.029819192093</v>
      </c>
      <c r="J1718" s="5" t="str">
        <f aca="false">IF(D1718&lt;8,"LOW SAMPLE",IF(F1718&gt;H1718*(1+Assumptions!$B$10),"UNDERPAID",IF(F1718&lt;G1718*(1-Assumptions!$B$10),"OVERPAID","FAIR")))</f>
        <v>LOW SAMPLE</v>
      </c>
      <c r="K1718" s="5" t="n">
        <v>10</v>
      </c>
    </row>
    <row r="1719" customFormat="false" ht="15" hidden="false" customHeight="false" outlineLevel="0" collapsed="false">
      <c r="A1719" s="5" t="n">
        <v>2023</v>
      </c>
      <c r="B1719" s="5" t="s">
        <v>378</v>
      </c>
      <c r="C1719" s="5" t="s">
        <v>868</v>
      </c>
      <c r="D1719" s="5" t="n">
        <v>2</v>
      </c>
      <c r="E1719" s="13" t="n">
        <v>0.16</v>
      </c>
      <c r="F1719" s="14" t="n">
        <f aca="false">E1719*Assumptions!$D$6</f>
        <v>23.940361615815</v>
      </c>
      <c r="G1719" s="14" t="n">
        <v>250</v>
      </c>
      <c r="H1719" s="14" t="n">
        <v>380</v>
      </c>
      <c r="I1719" s="14" t="n">
        <f aca="false">F1719-(G1719+H1719)/2</f>
        <v>-291.059638384185</v>
      </c>
      <c r="J1719" s="5" t="str">
        <f aca="false">IF(D1719&lt;8,"LOW SAMPLE",IF(F1719&gt;H1719*(1+Assumptions!$B$10),"UNDERPAID",IF(F1719&lt;G1719*(1-Assumptions!$B$10),"OVERPAID","FAIR")))</f>
        <v>LOW SAMPLE</v>
      </c>
      <c r="K1719" s="5" t="n">
        <v>0</v>
      </c>
    </row>
    <row r="1720" customFormat="false" ht="15" hidden="false" customHeight="false" outlineLevel="0" collapsed="false">
      <c r="A1720" s="5" t="n">
        <v>2023</v>
      </c>
      <c r="B1720" s="5" t="s">
        <v>378</v>
      </c>
      <c r="C1720" s="5" t="s">
        <v>407</v>
      </c>
      <c r="D1720" s="5" t="n">
        <v>15</v>
      </c>
      <c r="E1720" s="13" t="n">
        <v>3.64</v>
      </c>
      <c r="F1720" s="14" t="n">
        <f aca="false">E1720*Assumptions!$D$6</f>
        <v>544.643226759792</v>
      </c>
      <c r="G1720" s="14" t="n">
        <v>380</v>
      </c>
      <c r="H1720" s="14" t="n">
        <v>500</v>
      </c>
      <c r="I1720" s="14" t="n">
        <f aca="false">F1720-(G1720+H1720)/2</f>
        <v>104.643226759792</v>
      </c>
      <c r="J1720" s="5" t="str">
        <f aca="false">IF(D1720&lt;8,"LOW SAMPLE",IF(F1720&gt;H1720*(1+Assumptions!$B$10),"UNDERPAID",IF(F1720&lt;G1720*(1-Assumptions!$B$10),"OVERPAID","FAIR")))</f>
        <v>FAIR</v>
      </c>
      <c r="K1720" s="5" t="n">
        <v>51</v>
      </c>
    </row>
    <row r="1721" customFormat="false" ht="15" hidden="false" customHeight="false" outlineLevel="0" collapsed="false">
      <c r="A1721" s="5" t="n">
        <v>2023</v>
      </c>
      <c r="B1721" s="5" t="s">
        <v>378</v>
      </c>
      <c r="C1721" s="5" t="s">
        <v>780</v>
      </c>
      <c r="D1721" s="5" t="n">
        <v>4</v>
      </c>
      <c r="E1721" s="13" t="n">
        <v>0.41</v>
      </c>
      <c r="F1721" s="14" t="n">
        <f aca="false">E1721*Assumptions!$D$6</f>
        <v>61.347176640526</v>
      </c>
      <c r="G1721" s="14" t="n">
        <v>140</v>
      </c>
      <c r="H1721" s="14" t="n">
        <v>250</v>
      </c>
      <c r="I1721" s="14" t="n">
        <f aca="false">F1721-(G1721+H1721)/2</f>
        <v>-133.652823359474</v>
      </c>
      <c r="J1721" s="5" t="str">
        <f aca="false">IF(D1721&lt;8,"LOW SAMPLE",IF(F1721&gt;H1721*(1+Assumptions!$B$10),"UNDERPAID",IF(F1721&lt;G1721*(1-Assumptions!$B$10),"OVERPAID","FAIR")))</f>
        <v>LOW SAMPLE</v>
      </c>
      <c r="K1721" s="5" t="n">
        <v>1</v>
      </c>
    </row>
    <row r="1722" customFormat="false" ht="15" hidden="false" customHeight="false" outlineLevel="0" collapsed="false">
      <c r="A1722" s="5" t="n">
        <v>2023</v>
      </c>
      <c r="B1722" s="5" t="s">
        <v>378</v>
      </c>
      <c r="C1722" s="5" t="s">
        <v>408</v>
      </c>
      <c r="D1722" s="5" t="n">
        <v>21</v>
      </c>
      <c r="E1722" s="13" t="n">
        <v>3.22</v>
      </c>
      <c r="F1722" s="14" t="n">
        <f aca="false">E1722*Assumptions!$D$6</f>
        <v>481.799777518277</v>
      </c>
      <c r="G1722" s="14" t="n">
        <v>250</v>
      </c>
      <c r="H1722" s="14" t="n">
        <v>380</v>
      </c>
      <c r="I1722" s="14" t="n">
        <f aca="false">F1722-(G1722+H1722)/2</f>
        <v>166.799777518277</v>
      </c>
      <c r="J1722" s="5" t="str">
        <f aca="false">IF(D1722&lt;8,"LOW SAMPLE",IF(F1722&gt;H1722*(1+Assumptions!$B$10),"UNDERPAID",IF(F1722&lt;G1722*(1-Assumptions!$B$10),"OVERPAID","FAIR")))</f>
        <v>UNDERPAID</v>
      </c>
      <c r="K1722" s="5" t="n">
        <v>17</v>
      </c>
    </row>
    <row r="1723" customFormat="false" ht="15" hidden="false" customHeight="false" outlineLevel="0" collapsed="false">
      <c r="A1723" s="5" t="n">
        <v>2023</v>
      </c>
      <c r="B1723" s="5" t="s">
        <v>378</v>
      </c>
      <c r="C1723" s="5" t="s">
        <v>781</v>
      </c>
      <c r="D1723" s="5" t="n">
        <v>8</v>
      </c>
      <c r="E1723" s="13" t="n">
        <v>0.86</v>
      </c>
      <c r="F1723" s="14" t="n">
        <f aca="false">E1723*Assumptions!$D$6</f>
        <v>128.679443685006</v>
      </c>
      <c r="G1723" s="14" t="n">
        <v>250</v>
      </c>
      <c r="H1723" s="14" t="n">
        <v>380</v>
      </c>
      <c r="I1723" s="14" t="n">
        <f aca="false">F1723-(G1723+H1723)/2</f>
        <v>-186.320556314994</v>
      </c>
      <c r="J1723" s="5" t="str">
        <f aca="false">IF(D1723&lt;8,"LOW SAMPLE",IF(F1723&gt;H1723*(1+Assumptions!$B$10),"UNDERPAID",IF(F1723&lt;G1723*(1-Assumptions!$B$10),"OVERPAID","FAIR")))</f>
        <v>OVERPAID</v>
      </c>
      <c r="K1723" s="5" t="n">
        <v>55</v>
      </c>
    </row>
    <row r="1724" customFormat="false" ht="15" hidden="false" customHeight="false" outlineLevel="0" collapsed="false">
      <c r="A1724" s="5" t="n">
        <v>2023</v>
      </c>
      <c r="B1724" s="5" t="s">
        <v>378</v>
      </c>
      <c r="C1724" s="5" t="s">
        <v>410</v>
      </c>
      <c r="D1724" s="5" t="n">
        <v>18</v>
      </c>
      <c r="E1724" s="13" t="n">
        <v>2.52</v>
      </c>
      <c r="F1724" s="14" t="n">
        <f aca="false">E1724*Assumptions!$D$6</f>
        <v>377.060695449087</v>
      </c>
      <c r="G1724" s="14" t="n">
        <v>380</v>
      </c>
      <c r="H1724" s="14" t="n">
        <v>500</v>
      </c>
      <c r="I1724" s="14" t="n">
        <f aca="false">F1724-(G1724+H1724)/2</f>
        <v>-62.9393045509135</v>
      </c>
      <c r="J1724" s="5" t="str">
        <f aca="false">IF(D1724&lt;8,"LOW SAMPLE",IF(F1724&gt;H1724*(1+Assumptions!$B$10),"UNDERPAID",IF(F1724&lt;G1724*(1-Assumptions!$B$10),"OVERPAID","FAIR")))</f>
        <v>FAIR</v>
      </c>
      <c r="K1724" s="5" t="n">
        <v>120</v>
      </c>
    </row>
    <row r="1725" customFormat="false" ht="15" hidden="false" customHeight="false" outlineLevel="0" collapsed="false">
      <c r="A1725" s="5" t="n">
        <v>2023</v>
      </c>
      <c r="B1725" s="5" t="s">
        <v>378</v>
      </c>
      <c r="C1725" s="5" t="s">
        <v>869</v>
      </c>
      <c r="D1725" s="5" t="n">
        <v>14</v>
      </c>
      <c r="E1725" s="13" t="n">
        <v>1.65</v>
      </c>
      <c r="F1725" s="14" t="n">
        <f aca="false">E1725*Assumptions!$D$6</f>
        <v>246.884979163092</v>
      </c>
      <c r="G1725" s="14" t="n">
        <v>250</v>
      </c>
      <c r="H1725" s="14" t="n">
        <v>380</v>
      </c>
      <c r="I1725" s="14" t="n">
        <f aca="false">F1725-(G1725+H1725)/2</f>
        <v>-68.1150208369076</v>
      </c>
      <c r="J1725" s="5" t="str">
        <f aca="false">IF(D1725&lt;8,"LOW SAMPLE",IF(F1725&gt;H1725*(1+Assumptions!$B$10),"UNDERPAID",IF(F1725&lt;G1725*(1-Assumptions!$B$10),"OVERPAID","FAIR")))</f>
        <v>FAIR</v>
      </c>
      <c r="K1725" s="5" t="n">
        <v>0</v>
      </c>
    </row>
    <row r="1726" customFormat="false" ht="15" hidden="false" customHeight="false" outlineLevel="0" collapsed="false">
      <c r="A1726" s="5" t="n">
        <v>2023</v>
      </c>
      <c r="B1726" s="5" t="s">
        <v>378</v>
      </c>
      <c r="C1726" s="5" t="s">
        <v>415</v>
      </c>
      <c r="D1726" s="5" t="n">
        <v>15</v>
      </c>
      <c r="E1726" s="13" t="n">
        <v>2.19</v>
      </c>
      <c r="F1726" s="14" t="n">
        <f aca="false">E1726*Assumptions!$D$6</f>
        <v>327.683699616468</v>
      </c>
      <c r="G1726" s="14" t="n">
        <v>250</v>
      </c>
      <c r="H1726" s="14" t="n">
        <v>380</v>
      </c>
      <c r="I1726" s="14" t="n">
        <f aca="false">F1726-(G1726+H1726)/2</f>
        <v>12.6836996164681</v>
      </c>
      <c r="J1726" s="5" t="str">
        <f aca="false">IF(D1726&lt;8,"LOW SAMPLE",IF(F1726&gt;H1726*(1+Assumptions!$B$10),"UNDERPAID",IF(F1726&lt;G1726*(1-Assumptions!$B$10),"OVERPAID","FAIR")))</f>
        <v>FAIR</v>
      </c>
      <c r="K1726" s="5" t="n">
        <v>11</v>
      </c>
    </row>
    <row r="1727" customFormat="false" ht="15" hidden="false" customHeight="false" outlineLevel="0" collapsed="false">
      <c r="A1727" s="5" t="n">
        <v>2023</v>
      </c>
      <c r="B1727" s="5" t="s">
        <v>378</v>
      </c>
      <c r="C1727" s="5" t="s">
        <v>416</v>
      </c>
      <c r="D1727" s="5" t="n">
        <v>21</v>
      </c>
      <c r="E1727" s="13" t="n">
        <v>5.06</v>
      </c>
      <c r="F1727" s="14" t="n">
        <f aca="false">E1727*Assumptions!$D$6</f>
        <v>757.11393610015</v>
      </c>
      <c r="G1727" s="14" t="n">
        <v>250</v>
      </c>
      <c r="H1727" s="14" t="n">
        <v>380</v>
      </c>
      <c r="I1727" s="14" t="n">
        <f aca="false">F1727-(G1727+H1727)/2</f>
        <v>442.11393610015</v>
      </c>
      <c r="J1727" s="5" t="str">
        <f aca="false">IF(D1727&lt;8,"LOW SAMPLE",IF(F1727&gt;H1727*(1+Assumptions!$B$10),"UNDERPAID",IF(F1727&lt;G1727*(1-Assumptions!$B$10),"OVERPAID","FAIR")))</f>
        <v>UNDERPAID</v>
      </c>
      <c r="K1727" s="5" t="n">
        <v>33</v>
      </c>
    </row>
    <row r="1728" customFormat="false" ht="15" hidden="false" customHeight="false" outlineLevel="0" collapsed="false">
      <c r="A1728" s="5" t="n">
        <v>2023</v>
      </c>
      <c r="B1728" s="5" t="s">
        <v>417</v>
      </c>
      <c r="C1728" s="5" t="s">
        <v>419</v>
      </c>
      <c r="D1728" s="5" t="n">
        <v>9</v>
      </c>
      <c r="E1728" s="13" t="n">
        <v>1.71</v>
      </c>
      <c r="F1728" s="14" t="n">
        <f aca="false">E1728*Assumptions!$D$6</f>
        <v>255.862614769023</v>
      </c>
      <c r="G1728" s="14" t="n">
        <v>380</v>
      </c>
      <c r="H1728" s="14" t="n">
        <v>500</v>
      </c>
      <c r="I1728" s="14" t="n">
        <f aca="false">F1728-(G1728+H1728)/2</f>
        <v>-184.137385230977</v>
      </c>
      <c r="J1728" s="5" t="str">
        <f aca="false">IF(D1728&lt;8,"LOW SAMPLE",IF(F1728&gt;H1728*(1+Assumptions!$B$10),"UNDERPAID",IF(F1728&lt;G1728*(1-Assumptions!$B$10),"OVERPAID","FAIR")))</f>
        <v>OVERPAID</v>
      </c>
      <c r="K1728" s="5" t="n">
        <v>123</v>
      </c>
    </row>
    <row r="1729" customFormat="false" ht="15" hidden="false" customHeight="false" outlineLevel="0" collapsed="false">
      <c r="A1729" s="5" t="n">
        <v>2023</v>
      </c>
      <c r="B1729" s="5" t="s">
        <v>417</v>
      </c>
      <c r="C1729" s="5" t="s">
        <v>420</v>
      </c>
      <c r="D1729" s="5" t="n">
        <v>25</v>
      </c>
      <c r="E1729" s="13" t="n">
        <v>4.51</v>
      </c>
      <c r="F1729" s="14" t="n">
        <f aca="false">E1729*Assumptions!$D$6</f>
        <v>674.818943045786</v>
      </c>
      <c r="G1729" s="14" t="n">
        <v>500</v>
      </c>
      <c r="H1729" s="14" t="n">
        <v>680</v>
      </c>
      <c r="I1729" s="14" t="n">
        <f aca="false">F1729-(G1729+H1729)/2</f>
        <v>84.8189430457858</v>
      </c>
      <c r="J1729" s="5" t="str">
        <f aca="false">IF(D1729&lt;8,"LOW SAMPLE",IF(F1729&gt;H1729*(1+Assumptions!$B$10),"UNDERPAID",IF(F1729&lt;G1729*(1-Assumptions!$B$10),"OVERPAID","FAIR")))</f>
        <v>FAIR</v>
      </c>
      <c r="K1729" s="5" t="n">
        <v>128</v>
      </c>
    </row>
    <row r="1730" customFormat="false" ht="15" hidden="false" customHeight="false" outlineLevel="0" collapsed="false">
      <c r="A1730" s="5" t="n">
        <v>2023</v>
      </c>
      <c r="B1730" s="5" t="s">
        <v>417</v>
      </c>
      <c r="C1730" s="5" t="s">
        <v>421</v>
      </c>
      <c r="D1730" s="5" t="n">
        <v>24</v>
      </c>
      <c r="E1730" s="13" t="n">
        <v>4.84</v>
      </c>
      <c r="F1730" s="14" t="n">
        <f aca="false">E1730*Assumptions!$D$6</f>
        <v>724.195938878404</v>
      </c>
      <c r="G1730" s="14" t="n">
        <v>500</v>
      </c>
      <c r="H1730" s="14" t="n">
        <v>680</v>
      </c>
      <c r="I1730" s="14" t="n">
        <f aca="false">F1730-(G1730+H1730)/2</f>
        <v>134.195938878404</v>
      </c>
      <c r="J1730" s="5" t="str">
        <f aca="false">IF(D1730&lt;8,"LOW SAMPLE",IF(F1730&gt;H1730*(1+Assumptions!$B$10),"UNDERPAID",IF(F1730&lt;G1730*(1-Assumptions!$B$10),"OVERPAID","FAIR")))</f>
        <v>FAIR</v>
      </c>
      <c r="K1730" s="5" t="n">
        <v>143</v>
      </c>
    </row>
    <row r="1731" customFormat="false" ht="15" hidden="false" customHeight="false" outlineLevel="0" collapsed="false">
      <c r="A1731" s="5" t="n">
        <v>2023</v>
      </c>
      <c r="B1731" s="5" t="s">
        <v>417</v>
      </c>
      <c r="C1731" s="5" t="s">
        <v>870</v>
      </c>
      <c r="D1731" s="5" t="n">
        <v>5</v>
      </c>
      <c r="E1731" s="13" t="n">
        <v>0.33</v>
      </c>
      <c r="F1731" s="14" t="n">
        <f aca="false">E1731*Assumptions!$D$6</f>
        <v>49.3769958326185</v>
      </c>
      <c r="G1731" s="14" t="n">
        <v>250</v>
      </c>
      <c r="H1731" s="14" t="n">
        <v>380</v>
      </c>
      <c r="I1731" s="14" t="n">
        <f aca="false">F1731-(G1731+H1731)/2</f>
        <v>-265.623004167382</v>
      </c>
      <c r="J1731" s="5" t="str">
        <f aca="false">IF(D1731&lt;8,"LOW SAMPLE",IF(F1731&gt;H1731*(1+Assumptions!$B$10),"UNDERPAID",IF(F1731&lt;G1731*(1-Assumptions!$B$10),"OVERPAID","FAIR")))</f>
        <v>LOW SAMPLE</v>
      </c>
      <c r="K1731" s="5" t="n">
        <v>0</v>
      </c>
    </row>
    <row r="1732" customFormat="false" ht="15" hidden="false" customHeight="false" outlineLevel="0" collapsed="false">
      <c r="A1732" s="5" t="n">
        <v>2023</v>
      </c>
      <c r="B1732" s="5" t="s">
        <v>417</v>
      </c>
      <c r="C1732" s="5" t="s">
        <v>422</v>
      </c>
      <c r="D1732" s="5" t="n">
        <v>17</v>
      </c>
      <c r="E1732" s="13" t="n">
        <v>3.63</v>
      </c>
      <c r="F1732" s="14" t="n">
        <f aca="false">E1732*Assumptions!$D$6</f>
        <v>543.146954158803</v>
      </c>
      <c r="G1732" s="14" t="n">
        <v>680</v>
      </c>
      <c r="H1732" s="14" t="n">
        <v>950</v>
      </c>
      <c r="I1732" s="14" t="n">
        <f aca="false">F1732-(G1732+H1732)/2</f>
        <v>-271.853045841197</v>
      </c>
      <c r="J1732" s="5" t="str">
        <f aca="false">IF(D1732&lt;8,"LOW SAMPLE",IF(F1732&gt;H1732*(1+Assumptions!$B$10),"UNDERPAID",IF(F1732&lt;G1732*(1-Assumptions!$B$10),"OVERPAID","FAIR")))</f>
        <v>OVERPAID</v>
      </c>
      <c r="K1732" s="5" t="n">
        <v>109</v>
      </c>
    </row>
    <row r="1733" customFormat="false" ht="15" hidden="false" customHeight="false" outlineLevel="0" collapsed="false">
      <c r="A1733" s="5" t="n">
        <v>2023</v>
      </c>
      <c r="B1733" s="5" t="s">
        <v>417</v>
      </c>
      <c r="C1733" s="5" t="s">
        <v>423</v>
      </c>
      <c r="D1733" s="5" t="n">
        <v>7</v>
      </c>
      <c r="E1733" s="13" t="n">
        <v>1.15</v>
      </c>
      <c r="F1733" s="14" t="n">
        <f aca="false">E1733*Assumptions!$D$6</f>
        <v>172.07134911367</v>
      </c>
      <c r="G1733" s="14" t="n">
        <v>380</v>
      </c>
      <c r="H1733" s="14" t="n">
        <v>500</v>
      </c>
      <c r="I1733" s="14" t="n">
        <f aca="false">F1733-(G1733+H1733)/2</f>
        <v>-267.92865088633</v>
      </c>
      <c r="J1733" s="5" t="str">
        <f aca="false">IF(D1733&lt;8,"LOW SAMPLE",IF(F1733&gt;H1733*(1+Assumptions!$B$10),"UNDERPAID",IF(F1733&lt;G1733*(1-Assumptions!$B$10),"OVERPAID","FAIR")))</f>
        <v>LOW SAMPLE</v>
      </c>
      <c r="K1733" s="5" t="n">
        <v>151</v>
      </c>
    </row>
    <row r="1734" customFormat="false" ht="15" hidden="false" customHeight="false" outlineLevel="0" collapsed="false">
      <c r="A1734" s="5" t="n">
        <v>2023</v>
      </c>
      <c r="B1734" s="5" t="s">
        <v>417</v>
      </c>
      <c r="C1734" s="5" t="s">
        <v>151</v>
      </c>
      <c r="D1734" s="5" t="n">
        <v>17</v>
      </c>
      <c r="E1734" s="13" t="n">
        <v>3.7</v>
      </c>
      <c r="F1734" s="14" t="n">
        <f aca="false">E1734*Assumptions!$D$6</f>
        <v>553.620862365722</v>
      </c>
      <c r="G1734" s="14" t="n">
        <v>500</v>
      </c>
      <c r="H1734" s="14" t="n">
        <v>680</v>
      </c>
      <c r="I1734" s="14" t="n">
        <f aca="false">F1734-(G1734+H1734)/2</f>
        <v>-36.3791376342776</v>
      </c>
      <c r="J1734" s="5" t="str">
        <f aca="false">IF(D1734&lt;8,"LOW SAMPLE",IF(F1734&gt;H1734*(1+Assumptions!$B$10),"UNDERPAID",IF(F1734&lt;G1734*(1-Assumptions!$B$10),"OVERPAID","FAIR")))</f>
        <v>FAIR</v>
      </c>
      <c r="K1734" s="5" t="n">
        <v>155</v>
      </c>
    </row>
    <row r="1735" customFormat="false" ht="15" hidden="false" customHeight="false" outlineLevel="0" collapsed="false">
      <c r="A1735" s="5" t="n">
        <v>2023</v>
      </c>
      <c r="B1735" s="5" t="s">
        <v>417</v>
      </c>
      <c r="C1735" s="5" t="s">
        <v>424</v>
      </c>
      <c r="D1735" s="5" t="n">
        <v>14</v>
      </c>
      <c r="E1735" s="13" t="n">
        <v>1.62</v>
      </c>
      <c r="F1735" s="14" t="n">
        <f aca="false">E1735*Assumptions!$D$6</f>
        <v>242.396161360127</v>
      </c>
      <c r="G1735" s="14" t="n">
        <v>380</v>
      </c>
      <c r="H1735" s="14" t="n">
        <v>500</v>
      </c>
      <c r="I1735" s="14" t="n">
        <f aca="false">F1735-(G1735+H1735)/2</f>
        <v>-197.603838639873</v>
      </c>
      <c r="J1735" s="5" t="str">
        <f aca="false">IF(D1735&lt;8,"LOW SAMPLE",IF(F1735&gt;H1735*(1+Assumptions!$B$10),"UNDERPAID",IF(F1735&lt;G1735*(1-Assumptions!$B$10),"OVERPAID","FAIR")))</f>
        <v>OVERPAID</v>
      </c>
      <c r="K1735" s="5" t="n">
        <v>83</v>
      </c>
    </row>
    <row r="1736" customFormat="false" ht="15" hidden="false" customHeight="false" outlineLevel="0" collapsed="false">
      <c r="A1736" s="5" t="n">
        <v>2023</v>
      </c>
      <c r="B1736" s="5" t="s">
        <v>417</v>
      </c>
      <c r="C1736" s="5" t="s">
        <v>425</v>
      </c>
      <c r="D1736" s="5" t="n">
        <v>25</v>
      </c>
      <c r="E1736" s="13" t="n">
        <v>8.2</v>
      </c>
      <c r="F1736" s="14" t="n">
        <f aca="false">E1736*Assumptions!$D$6</f>
        <v>1226.94353281052</v>
      </c>
      <c r="G1736" s="14" t="n">
        <v>1300</v>
      </c>
      <c r="H1736" s="14" t="n">
        <v>1700</v>
      </c>
      <c r="I1736" s="14" t="n">
        <f aca="false">F1736-(G1736+H1736)/2</f>
        <v>-273.05646718948</v>
      </c>
      <c r="J1736" s="5" t="str">
        <f aca="false">IF(D1736&lt;8,"LOW SAMPLE",IF(F1736&gt;H1736*(1+Assumptions!$B$10),"UNDERPAID",IF(F1736&lt;G1736*(1-Assumptions!$B$10),"OVERPAID","FAIR")))</f>
        <v>FAIR</v>
      </c>
      <c r="K1736" s="5" t="n">
        <v>151</v>
      </c>
    </row>
    <row r="1737" customFormat="false" ht="15" hidden="false" customHeight="false" outlineLevel="0" collapsed="false">
      <c r="A1737" s="5" t="n">
        <v>2023</v>
      </c>
      <c r="B1737" s="5" t="s">
        <v>417</v>
      </c>
      <c r="C1737" s="5" t="s">
        <v>426</v>
      </c>
      <c r="D1737" s="5" t="n">
        <v>16</v>
      </c>
      <c r="E1737" s="13" t="n">
        <v>2.83</v>
      </c>
      <c r="F1737" s="14" t="n">
        <f aca="false">E1737*Assumptions!$D$6</f>
        <v>423.445146079728</v>
      </c>
      <c r="G1737" s="14" t="n">
        <v>380</v>
      </c>
      <c r="H1737" s="14" t="n">
        <v>500</v>
      </c>
      <c r="I1737" s="14" t="n">
        <f aca="false">F1737-(G1737+H1737)/2</f>
        <v>-16.5548539202719</v>
      </c>
      <c r="J1737" s="5" t="str">
        <f aca="false">IF(D1737&lt;8,"LOW SAMPLE",IF(F1737&gt;H1737*(1+Assumptions!$B$10),"UNDERPAID",IF(F1737&lt;G1737*(1-Assumptions!$B$10),"OVERPAID","FAIR")))</f>
        <v>FAIR</v>
      </c>
      <c r="K1737" s="5" t="n">
        <v>131</v>
      </c>
    </row>
    <row r="1738" customFormat="false" ht="15" hidden="false" customHeight="false" outlineLevel="0" collapsed="false">
      <c r="A1738" s="5" t="n">
        <v>2023</v>
      </c>
      <c r="B1738" s="5" t="s">
        <v>417</v>
      </c>
      <c r="C1738" s="5" t="s">
        <v>427</v>
      </c>
      <c r="D1738" s="5" t="n">
        <v>15</v>
      </c>
      <c r="E1738" s="13" t="n">
        <v>4.98</v>
      </c>
      <c r="F1738" s="14" t="n">
        <f aca="false">E1738*Assumptions!$D$6</f>
        <v>745.143755292243</v>
      </c>
      <c r="G1738" s="14" t="n">
        <v>1300</v>
      </c>
      <c r="H1738" s="14" t="n">
        <v>1700</v>
      </c>
      <c r="I1738" s="14" t="n">
        <f aca="false">F1738-(G1738+H1738)/2</f>
        <v>-754.856244707758</v>
      </c>
      <c r="J1738" s="5" t="str">
        <f aca="false">IF(D1738&lt;8,"LOW SAMPLE",IF(F1738&gt;H1738*(1+Assumptions!$B$10),"UNDERPAID",IF(F1738&lt;G1738*(1-Assumptions!$B$10),"OVERPAID","FAIR")))</f>
        <v>OVERPAID</v>
      </c>
      <c r="K1738" s="5" t="n">
        <v>147</v>
      </c>
    </row>
    <row r="1739" customFormat="false" ht="15" hidden="false" customHeight="false" outlineLevel="0" collapsed="false">
      <c r="A1739" s="5" t="n">
        <v>2023</v>
      </c>
      <c r="B1739" s="5" t="s">
        <v>417</v>
      </c>
      <c r="C1739" s="5" t="s">
        <v>782</v>
      </c>
      <c r="D1739" s="5" t="n">
        <v>2</v>
      </c>
      <c r="E1739" s="13" t="n">
        <v>0.26</v>
      </c>
      <c r="F1739" s="14" t="n">
        <f aca="false">E1739*Assumptions!$D$6</f>
        <v>38.9030876256994</v>
      </c>
      <c r="G1739" s="14" t="n">
        <v>140</v>
      </c>
      <c r="H1739" s="14" t="n">
        <v>250</v>
      </c>
      <c r="I1739" s="14" t="n">
        <f aca="false">F1739-(G1739+H1739)/2</f>
        <v>-156.096912374301</v>
      </c>
      <c r="J1739" s="5" t="str">
        <f aca="false">IF(D1739&lt;8,"LOW SAMPLE",IF(F1739&gt;H1739*(1+Assumptions!$B$10),"UNDERPAID",IF(F1739&lt;G1739*(1-Assumptions!$B$10),"OVERPAID","FAIR")))</f>
        <v>LOW SAMPLE</v>
      </c>
      <c r="K1739" s="5" t="n">
        <v>1</v>
      </c>
    </row>
    <row r="1740" customFormat="false" ht="15" hidden="false" customHeight="false" outlineLevel="0" collapsed="false">
      <c r="A1740" s="5" t="n">
        <v>2023</v>
      </c>
      <c r="B1740" s="5" t="s">
        <v>417</v>
      </c>
      <c r="C1740" s="5" t="s">
        <v>428</v>
      </c>
      <c r="D1740" s="5" t="n">
        <v>25</v>
      </c>
      <c r="E1740" s="13" t="n">
        <v>4.3</v>
      </c>
      <c r="F1740" s="14" t="n">
        <f aca="false">E1740*Assumptions!$D$6</f>
        <v>643.397218425029</v>
      </c>
      <c r="G1740" s="14" t="n">
        <v>500</v>
      </c>
      <c r="H1740" s="14" t="n">
        <v>680</v>
      </c>
      <c r="I1740" s="14" t="n">
        <f aca="false">F1740-(G1740+H1740)/2</f>
        <v>53.3972184250285</v>
      </c>
      <c r="J1740" s="5" t="str">
        <f aca="false">IF(D1740&lt;8,"LOW SAMPLE",IF(F1740&gt;H1740*(1+Assumptions!$B$10),"UNDERPAID",IF(F1740&lt;G1740*(1-Assumptions!$B$10),"OVERPAID","FAIR")))</f>
        <v>FAIR</v>
      </c>
      <c r="K1740" s="5" t="n">
        <v>132</v>
      </c>
    </row>
    <row r="1741" customFormat="false" ht="15" hidden="false" customHeight="false" outlineLevel="0" collapsed="false">
      <c r="A1741" s="5" t="n">
        <v>2023</v>
      </c>
      <c r="B1741" s="5" t="s">
        <v>417</v>
      </c>
      <c r="C1741" s="5" t="s">
        <v>429</v>
      </c>
      <c r="D1741" s="5" t="n">
        <v>14</v>
      </c>
      <c r="E1741" s="13" t="n">
        <v>2.29</v>
      </c>
      <c r="F1741" s="14" t="n">
        <f aca="false">E1741*Assumptions!$D$6</f>
        <v>342.646425626352</v>
      </c>
      <c r="G1741" s="14" t="n">
        <v>380</v>
      </c>
      <c r="H1741" s="14" t="n">
        <v>500</v>
      </c>
      <c r="I1741" s="14" t="n">
        <f aca="false">F1741-(G1741+H1741)/2</f>
        <v>-97.3535743736476</v>
      </c>
      <c r="J1741" s="5" t="str">
        <f aca="false">IF(D1741&lt;8,"LOW SAMPLE",IF(F1741&gt;H1741*(1+Assumptions!$B$10),"UNDERPAID",IF(F1741&lt;G1741*(1-Assumptions!$B$10),"OVERPAID","FAIR")))</f>
        <v>FAIR</v>
      </c>
      <c r="K1741" s="5" t="n">
        <v>48</v>
      </c>
    </row>
    <row r="1742" customFormat="false" ht="15" hidden="false" customHeight="false" outlineLevel="0" collapsed="false">
      <c r="A1742" s="5" t="n">
        <v>2023</v>
      </c>
      <c r="B1742" s="5" t="s">
        <v>417</v>
      </c>
      <c r="C1742" s="5" t="s">
        <v>430</v>
      </c>
      <c r="D1742" s="5" t="n">
        <v>24</v>
      </c>
      <c r="E1742" s="13" t="n">
        <v>6.44</v>
      </c>
      <c r="F1742" s="14" t="n">
        <f aca="false">E1742*Assumptions!$D$6</f>
        <v>963.599555036555</v>
      </c>
      <c r="G1742" s="14" t="n">
        <v>680</v>
      </c>
      <c r="H1742" s="14" t="n">
        <v>950</v>
      </c>
      <c r="I1742" s="14" t="n">
        <f aca="false">F1742-(G1742+H1742)/2</f>
        <v>148.599555036555</v>
      </c>
      <c r="J1742" s="5" t="str">
        <f aca="false">IF(D1742&lt;8,"LOW SAMPLE",IF(F1742&gt;H1742*(1+Assumptions!$B$10),"UNDERPAID",IF(F1742&lt;G1742*(1-Assumptions!$B$10),"OVERPAID","FAIR")))</f>
        <v>FAIR</v>
      </c>
      <c r="K1742" s="5" t="n">
        <v>139</v>
      </c>
    </row>
    <row r="1743" customFormat="false" ht="15" hidden="false" customHeight="false" outlineLevel="0" collapsed="false">
      <c r="A1743" s="5" t="n">
        <v>2023</v>
      </c>
      <c r="B1743" s="5" t="s">
        <v>417</v>
      </c>
      <c r="C1743" s="5" t="s">
        <v>871</v>
      </c>
      <c r="D1743" s="5" t="n">
        <v>20</v>
      </c>
      <c r="E1743" s="13" t="n">
        <v>3.45</v>
      </c>
      <c r="F1743" s="14" t="n">
        <f aca="false">E1743*Assumptions!$D$6</f>
        <v>516.214047341011</v>
      </c>
      <c r="G1743" s="14" t="n">
        <v>250</v>
      </c>
      <c r="H1743" s="14" t="n">
        <v>380</v>
      </c>
      <c r="I1743" s="14" t="n">
        <f aca="false">F1743-(G1743+H1743)/2</f>
        <v>201.214047341011</v>
      </c>
      <c r="J1743" s="5" t="str">
        <f aca="false">IF(D1743&lt;8,"LOW SAMPLE",IF(F1743&gt;H1743*(1+Assumptions!$B$10),"UNDERPAID",IF(F1743&lt;G1743*(1-Assumptions!$B$10),"OVERPAID","FAIR")))</f>
        <v>UNDERPAID</v>
      </c>
      <c r="K1743" s="5" t="n">
        <v>0</v>
      </c>
    </row>
    <row r="1744" customFormat="false" ht="15" hidden="false" customHeight="false" outlineLevel="0" collapsed="false">
      <c r="A1744" s="5" t="n">
        <v>2023</v>
      </c>
      <c r="B1744" s="5" t="s">
        <v>417</v>
      </c>
      <c r="C1744" s="5" t="s">
        <v>431</v>
      </c>
      <c r="D1744" s="5" t="n">
        <v>23</v>
      </c>
      <c r="E1744" s="13" t="n">
        <v>3.65</v>
      </c>
      <c r="F1744" s="14" t="n">
        <f aca="false">E1744*Assumptions!$D$6</f>
        <v>546.13949936078</v>
      </c>
      <c r="G1744" s="14" t="n">
        <v>250</v>
      </c>
      <c r="H1744" s="14" t="n">
        <v>380</v>
      </c>
      <c r="I1744" s="14" t="n">
        <f aca="false">F1744-(G1744+H1744)/2</f>
        <v>231.13949936078</v>
      </c>
      <c r="J1744" s="5" t="str">
        <f aca="false">IF(D1744&lt;8,"LOW SAMPLE",IF(F1744&gt;H1744*(1+Assumptions!$B$10),"UNDERPAID",IF(F1744&lt;G1744*(1-Assumptions!$B$10),"OVERPAID","FAIR")))</f>
        <v>UNDERPAID</v>
      </c>
      <c r="K1744" s="5" t="n">
        <v>24</v>
      </c>
    </row>
    <row r="1745" customFormat="false" ht="15" hidden="false" customHeight="false" outlineLevel="0" collapsed="false">
      <c r="A1745" s="5" t="n">
        <v>2023</v>
      </c>
      <c r="B1745" s="5" t="s">
        <v>417</v>
      </c>
      <c r="C1745" s="5" t="s">
        <v>432</v>
      </c>
      <c r="D1745" s="5" t="n">
        <v>24</v>
      </c>
      <c r="E1745" s="13" t="n">
        <v>4.34</v>
      </c>
      <c r="F1745" s="14" t="n">
        <f aca="false">E1745*Assumptions!$D$6</f>
        <v>649.382308828982</v>
      </c>
      <c r="G1745" s="14" t="n">
        <v>500</v>
      </c>
      <c r="H1745" s="14" t="n">
        <v>680</v>
      </c>
      <c r="I1745" s="14" t="n">
        <f aca="false">F1745-(G1745+H1745)/2</f>
        <v>59.3823088289823</v>
      </c>
      <c r="J1745" s="5" t="str">
        <f aca="false">IF(D1745&lt;8,"LOW SAMPLE",IF(F1745&gt;H1745*(1+Assumptions!$B$10),"UNDERPAID",IF(F1745&lt;G1745*(1-Assumptions!$B$10),"OVERPAID","FAIR")))</f>
        <v>FAIR</v>
      </c>
      <c r="K1745" s="5" t="n">
        <v>136</v>
      </c>
    </row>
    <row r="1746" customFormat="false" ht="15" hidden="false" customHeight="false" outlineLevel="0" collapsed="false">
      <c r="A1746" s="5" t="n">
        <v>2023</v>
      </c>
      <c r="B1746" s="5" t="s">
        <v>417</v>
      </c>
      <c r="C1746" s="5" t="s">
        <v>433</v>
      </c>
      <c r="D1746" s="5" t="n">
        <v>13</v>
      </c>
      <c r="E1746" s="13" t="n">
        <v>2.18</v>
      </c>
      <c r="F1746" s="14" t="n">
        <f aca="false">E1746*Assumptions!$D$6</f>
        <v>326.18742701548</v>
      </c>
      <c r="G1746" s="14" t="n">
        <v>380</v>
      </c>
      <c r="H1746" s="14" t="n">
        <v>500</v>
      </c>
      <c r="I1746" s="14" t="n">
        <f aca="false">F1746-(G1746+H1746)/2</f>
        <v>-113.81257298452</v>
      </c>
      <c r="J1746" s="5" t="str">
        <f aca="false">IF(D1746&lt;8,"LOW SAMPLE",IF(F1746&gt;H1746*(1+Assumptions!$B$10),"UNDERPAID",IF(F1746&lt;G1746*(1-Assumptions!$B$10),"OVERPAID","FAIR")))</f>
        <v>FAIR</v>
      </c>
      <c r="K1746" s="5" t="n">
        <v>112</v>
      </c>
    </row>
    <row r="1747" customFormat="false" ht="15" hidden="false" customHeight="false" outlineLevel="0" collapsed="false">
      <c r="A1747" s="5" t="n">
        <v>2023</v>
      </c>
      <c r="B1747" s="5" t="s">
        <v>417</v>
      </c>
      <c r="C1747" s="5" t="s">
        <v>434</v>
      </c>
      <c r="D1747" s="5" t="n">
        <v>9</v>
      </c>
      <c r="E1747" s="13" t="n">
        <v>1.04</v>
      </c>
      <c r="F1747" s="14" t="n">
        <f aca="false">E1747*Assumptions!$D$6</f>
        <v>155.612350502798</v>
      </c>
      <c r="G1747" s="14" t="n">
        <v>500</v>
      </c>
      <c r="H1747" s="14" t="n">
        <v>680</v>
      </c>
      <c r="I1747" s="14" t="n">
        <f aca="false">F1747-(G1747+H1747)/2</f>
        <v>-434.387649497202</v>
      </c>
      <c r="J1747" s="5" t="str">
        <f aca="false">IF(D1747&lt;8,"LOW SAMPLE",IF(F1747&gt;H1747*(1+Assumptions!$B$10),"UNDERPAID",IF(F1747&lt;G1747*(1-Assumptions!$B$10),"OVERPAID","FAIR")))</f>
        <v>OVERPAID</v>
      </c>
      <c r="K1747" s="5" t="n">
        <v>143</v>
      </c>
    </row>
    <row r="1748" customFormat="false" ht="15" hidden="false" customHeight="false" outlineLevel="0" collapsed="false">
      <c r="A1748" s="5" t="n">
        <v>2023</v>
      </c>
      <c r="B1748" s="5" t="s">
        <v>417</v>
      </c>
      <c r="C1748" s="5" t="s">
        <v>435</v>
      </c>
      <c r="D1748" s="5" t="n">
        <v>18</v>
      </c>
      <c r="E1748" s="13" t="n">
        <v>1.99</v>
      </c>
      <c r="F1748" s="14" t="n">
        <f aca="false">E1748*Assumptions!$D$6</f>
        <v>297.758247596699</v>
      </c>
      <c r="G1748" s="14" t="n">
        <v>380</v>
      </c>
      <c r="H1748" s="14" t="n">
        <v>500</v>
      </c>
      <c r="I1748" s="14" t="n">
        <f aca="false">F1748-(G1748+H1748)/2</f>
        <v>-142.241752403301</v>
      </c>
      <c r="J1748" s="5" t="str">
        <f aca="false">IF(D1748&lt;8,"LOW SAMPLE",IF(F1748&gt;H1748*(1+Assumptions!$B$10),"UNDERPAID",IF(F1748&lt;G1748*(1-Assumptions!$B$10),"OVERPAID","FAIR")))</f>
        <v>OVERPAID</v>
      </c>
      <c r="K1748" s="5" t="n">
        <v>47</v>
      </c>
    </row>
    <row r="1749" customFormat="false" ht="15" hidden="false" customHeight="false" outlineLevel="0" collapsed="false">
      <c r="A1749" s="5" t="n">
        <v>2023</v>
      </c>
      <c r="B1749" s="5" t="s">
        <v>417</v>
      </c>
      <c r="C1749" s="5" t="s">
        <v>437</v>
      </c>
      <c r="D1749" s="5" t="n">
        <v>14</v>
      </c>
      <c r="E1749" s="13" t="n">
        <v>1.93</v>
      </c>
      <c r="F1749" s="14" t="n">
        <f aca="false">E1749*Assumptions!$D$6</f>
        <v>288.780611990769</v>
      </c>
      <c r="G1749" s="14" t="n">
        <v>140</v>
      </c>
      <c r="H1749" s="14" t="n">
        <v>250</v>
      </c>
      <c r="I1749" s="14" t="n">
        <f aca="false">F1749-(G1749+H1749)/2</f>
        <v>93.7806119907687</v>
      </c>
      <c r="J1749" s="5" t="str">
        <f aca="false">IF(D1749&lt;8,"LOW SAMPLE",IF(F1749&gt;H1749*(1+Assumptions!$B$10),"UNDERPAID",IF(F1749&lt;G1749*(1-Assumptions!$B$10),"OVERPAID","FAIR")))</f>
        <v>UNDERPAID</v>
      </c>
      <c r="K1749" s="5" t="n">
        <v>28</v>
      </c>
    </row>
    <row r="1750" customFormat="false" ht="15" hidden="false" customHeight="false" outlineLevel="0" collapsed="false">
      <c r="A1750" s="5" t="n">
        <v>2023</v>
      </c>
      <c r="B1750" s="5" t="s">
        <v>417</v>
      </c>
      <c r="C1750" s="5" t="s">
        <v>701</v>
      </c>
      <c r="D1750" s="5" t="n">
        <v>3</v>
      </c>
      <c r="E1750" s="13" t="n">
        <v>0.18</v>
      </c>
      <c r="F1750" s="14" t="n">
        <f aca="false">E1750*Assumptions!$D$6</f>
        <v>26.9329068177919</v>
      </c>
      <c r="G1750" s="14" t="n">
        <v>250</v>
      </c>
      <c r="H1750" s="14" t="n">
        <v>380</v>
      </c>
      <c r="I1750" s="14" t="n">
        <f aca="false">F1750-(G1750+H1750)/2</f>
        <v>-288.067093182208</v>
      </c>
      <c r="J1750" s="5" t="str">
        <f aca="false">IF(D1750&lt;8,"LOW SAMPLE",IF(F1750&gt;H1750*(1+Assumptions!$B$10),"UNDERPAID",IF(F1750&lt;G1750*(1-Assumptions!$B$10),"OVERPAID","FAIR")))</f>
        <v>LOW SAMPLE</v>
      </c>
      <c r="K1750" s="5" t="n">
        <v>72</v>
      </c>
    </row>
    <row r="1751" customFormat="false" ht="15" hidden="false" customHeight="false" outlineLevel="0" collapsed="false">
      <c r="A1751" s="5" t="n">
        <v>2023</v>
      </c>
      <c r="B1751" s="5" t="s">
        <v>417</v>
      </c>
      <c r="C1751" s="5" t="s">
        <v>872</v>
      </c>
      <c r="D1751" s="5" t="n">
        <v>25</v>
      </c>
      <c r="E1751" s="13" t="n">
        <v>3.21</v>
      </c>
      <c r="F1751" s="14" t="n">
        <f aca="false">E1751*Assumptions!$D$6</f>
        <v>480.303504917289</v>
      </c>
      <c r="G1751" s="14" t="n">
        <v>250</v>
      </c>
      <c r="H1751" s="14" t="n">
        <v>380</v>
      </c>
      <c r="I1751" s="14" t="n">
        <f aca="false">F1751-(G1751+H1751)/2</f>
        <v>165.303504917289</v>
      </c>
      <c r="J1751" s="5" t="str">
        <f aca="false">IF(D1751&lt;8,"LOW SAMPLE",IF(F1751&gt;H1751*(1+Assumptions!$B$10),"UNDERPAID",IF(F1751&lt;G1751*(1-Assumptions!$B$10),"OVERPAID","FAIR")))</f>
        <v>UNDERPAID</v>
      </c>
      <c r="K1751" s="5" t="n">
        <v>0</v>
      </c>
    </row>
    <row r="1752" customFormat="false" ht="15" hidden="false" customHeight="false" outlineLevel="0" collapsed="false">
      <c r="A1752" s="5" t="n">
        <v>2023</v>
      </c>
      <c r="B1752" s="5" t="s">
        <v>417</v>
      </c>
      <c r="C1752" s="5" t="s">
        <v>438</v>
      </c>
      <c r="D1752" s="5" t="n">
        <v>23</v>
      </c>
      <c r="E1752" s="13" t="n">
        <v>3.55</v>
      </c>
      <c r="F1752" s="14" t="n">
        <f aca="false">E1752*Assumptions!$D$6</f>
        <v>531.176773350896</v>
      </c>
      <c r="G1752" s="14" t="n">
        <v>140</v>
      </c>
      <c r="H1752" s="14" t="n">
        <v>250</v>
      </c>
      <c r="I1752" s="14" t="n">
        <f aca="false">F1752-(G1752+H1752)/2</f>
        <v>336.176773350896</v>
      </c>
      <c r="J1752" s="5" t="str">
        <f aca="false">IF(D1752&lt;8,"LOW SAMPLE",IF(F1752&gt;H1752*(1+Assumptions!$B$10),"UNDERPAID",IF(F1752&lt;G1752*(1-Assumptions!$B$10),"OVERPAID","FAIR")))</f>
        <v>UNDERPAID</v>
      </c>
      <c r="K1752" s="5" t="n">
        <v>10</v>
      </c>
    </row>
    <row r="1753" customFormat="false" ht="15" hidden="false" customHeight="false" outlineLevel="0" collapsed="false">
      <c r="A1753" s="5" t="n">
        <v>2023</v>
      </c>
      <c r="B1753" s="5" t="s">
        <v>417</v>
      </c>
      <c r="C1753" s="5" t="s">
        <v>439</v>
      </c>
      <c r="D1753" s="5" t="n">
        <v>23</v>
      </c>
      <c r="E1753" s="13" t="n">
        <v>4.94</v>
      </c>
      <c r="F1753" s="14" t="n">
        <f aca="false">E1753*Assumptions!$D$6</f>
        <v>739.158664888289</v>
      </c>
      <c r="G1753" s="14" t="n">
        <v>500</v>
      </c>
      <c r="H1753" s="14" t="n">
        <v>680</v>
      </c>
      <c r="I1753" s="14" t="n">
        <f aca="false">F1753-(G1753+H1753)/2</f>
        <v>149.158664888289</v>
      </c>
      <c r="J1753" s="5" t="str">
        <f aca="false">IF(D1753&lt;8,"LOW SAMPLE",IF(F1753&gt;H1753*(1+Assumptions!$B$10),"UNDERPAID",IF(F1753&lt;G1753*(1-Assumptions!$B$10),"OVERPAID","FAIR")))</f>
        <v>FAIR</v>
      </c>
      <c r="K1753" s="5" t="n">
        <v>62</v>
      </c>
    </row>
    <row r="1754" customFormat="false" ht="15" hidden="false" customHeight="false" outlineLevel="0" collapsed="false">
      <c r="A1754" s="5" t="n">
        <v>2023</v>
      </c>
      <c r="B1754" s="5" t="s">
        <v>417</v>
      </c>
      <c r="C1754" s="5" t="s">
        <v>702</v>
      </c>
      <c r="D1754" s="5" t="n">
        <v>24</v>
      </c>
      <c r="E1754" s="13" t="n">
        <v>4.45</v>
      </c>
      <c r="F1754" s="14" t="n">
        <f aca="false">E1754*Assumptions!$D$6</f>
        <v>665.841307439855</v>
      </c>
      <c r="G1754" s="14" t="n">
        <v>380</v>
      </c>
      <c r="H1754" s="14" t="n">
        <v>500</v>
      </c>
      <c r="I1754" s="14" t="n">
        <f aca="false">F1754-(G1754+H1754)/2</f>
        <v>225.841307439855</v>
      </c>
      <c r="J1754" s="5" t="str">
        <f aca="false">IF(D1754&lt;8,"LOW SAMPLE",IF(F1754&gt;H1754*(1+Assumptions!$B$10),"UNDERPAID",IF(F1754&lt;G1754*(1-Assumptions!$B$10),"OVERPAID","FAIR")))</f>
        <v>UNDERPAID</v>
      </c>
      <c r="K1754" s="5" t="n">
        <v>150</v>
      </c>
    </row>
    <row r="1755" customFormat="false" ht="15" hidden="false" customHeight="false" outlineLevel="0" collapsed="false">
      <c r="A1755" s="5" t="n">
        <v>2023</v>
      </c>
      <c r="B1755" s="5" t="s">
        <v>417</v>
      </c>
      <c r="C1755" s="5" t="s">
        <v>441</v>
      </c>
      <c r="D1755" s="5" t="n">
        <v>22</v>
      </c>
      <c r="E1755" s="13" t="n">
        <v>6.29</v>
      </c>
      <c r="F1755" s="14" t="n">
        <f aca="false">E1755*Assumptions!$D$6</f>
        <v>941.155466021728</v>
      </c>
      <c r="G1755" s="14" t="n">
        <v>1300</v>
      </c>
      <c r="H1755" s="14" t="n">
        <v>1700</v>
      </c>
      <c r="I1755" s="14" t="n">
        <f aca="false">F1755-(G1755+H1755)/2</f>
        <v>-558.844533978272</v>
      </c>
      <c r="J1755" s="5" t="str">
        <f aca="false">IF(D1755&lt;8,"LOW SAMPLE",IF(F1755&gt;H1755*(1+Assumptions!$B$10),"UNDERPAID",IF(F1755&lt;G1755*(1-Assumptions!$B$10),"OVERPAID","FAIR")))</f>
        <v>OVERPAID</v>
      </c>
      <c r="K1755" s="5" t="n">
        <v>155</v>
      </c>
    </row>
    <row r="1756" customFormat="false" ht="15" hidden="false" customHeight="false" outlineLevel="0" collapsed="false">
      <c r="A1756" s="5" t="n">
        <v>2023</v>
      </c>
      <c r="B1756" s="5" t="s">
        <v>417</v>
      </c>
      <c r="C1756" s="5" t="s">
        <v>442</v>
      </c>
      <c r="D1756" s="5" t="n">
        <v>12</v>
      </c>
      <c r="E1756" s="13" t="n">
        <v>1.89</v>
      </c>
      <c r="F1756" s="14" t="n">
        <f aca="false">E1756*Assumptions!$D$6</f>
        <v>282.795521586815</v>
      </c>
      <c r="G1756" s="14" t="n">
        <v>380</v>
      </c>
      <c r="H1756" s="14" t="n">
        <v>500</v>
      </c>
      <c r="I1756" s="14" t="n">
        <f aca="false">F1756-(G1756+H1756)/2</f>
        <v>-157.204478413185</v>
      </c>
      <c r="J1756" s="5" t="str">
        <f aca="false">IF(D1756&lt;8,"LOW SAMPLE",IF(F1756&gt;H1756*(1+Assumptions!$B$10),"UNDERPAID",IF(F1756&lt;G1756*(1-Assumptions!$B$10),"OVERPAID","FAIR")))</f>
        <v>OVERPAID</v>
      </c>
      <c r="K1756" s="5" t="n">
        <v>122</v>
      </c>
    </row>
    <row r="1757" customFormat="false" ht="15" hidden="false" customHeight="false" outlineLevel="0" collapsed="false">
      <c r="A1757" s="5" t="n">
        <v>2023</v>
      </c>
      <c r="B1757" s="5" t="s">
        <v>417</v>
      </c>
      <c r="C1757" s="5" t="s">
        <v>448</v>
      </c>
      <c r="D1757" s="5" t="n">
        <v>23</v>
      </c>
      <c r="E1757" s="13" t="n">
        <v>6.18</v>
      </c>
      <c r="F1757" s="14" t="n">
        <f aca="false">E1757*Assumptions!$D$6</f>
        <v>924.696467410855</v>
      </c>
      <c r="G1757" s="14" t="n">
        <v>950</v>
      </c>
      <c r="H1757" s="14" t="n">
        <v>1300</v>
      </c>
      <c r="I1757" s="14" t="n">
        <f aca="false">F1757-(G1757+H1757)/2</f>
        <v>-200.303532589145</v>
      </c>
      <c r="J1757" s="5" t="str">
        <f aca="false">IF(D1757&lt;8,"LOW SAMPLE",IF(F1757&gt;H1757*(1+Assumptions!$B$10),"UNDERPAID",IF(F1757&lt;G1757*(1-Assumptions!$B$10),"OVERPAID","FAIR")))</f>
        <v>FAIR</v>
      </c>
      <c r="K1757" s="5" t="n">
        <v>140</v>
      </c>
    </row>
    <row r="1758" customFormat="false" ht="15" hidden="false" customHeight="false" outlineLevel="0" collapsed="false">
      <c r="A1758" s="5" t="n">
        <v>2023</v>
      </c>
      <c r="B1758" s="5" t="s">
        <v>417</v>
      </c>
      <c r="C1758" s="5" t="s">
        <v>873</v>
      </c>
      <c r="D1758" s="5" t="n">
        <v>4</v>
      </c>
      <c r="E1758" s="13" t="n">
        <v>0.42</v>
      </c>
      <c r="F1758" s="14" t="n">
        <f aca="false">E1758*Assumptions!$D$6</f>
        <v>62.8434492415144</v>
      </c>
      <c r="G1758" s="14" t="n">
        <v>250</v>
      </c>
      <c r="H1758" s="14" t="n">
        <v>380</v>
      </c>
      <c r="I1758" s="14" t="n">
        <f aca="false">F1758-(G1758+H1758)/2</f>
        <v>-252.156550758486</v>
      </c>
      <c r="J1758" s="5" t="str">
        <f aca="false">IF(D1758&lt;8,"LOW SAMPLE",IF(F1758&gt;H1758*(1+Assumptions!$B$10),"UNDERPAID",IF(F1758&lt;G1758*(1-Assumptions!$B$10),"OVERPAID","FAIR")))</f>
        <v>LOW SAMPLE</v>
      </c>
      <c r="K1758" s="5" t="n">
        <v>0</v>
      </c>
    </row>
    <row r="1759" customFormat="false" ht="15" hidden="false" customHeight="false" outlineLevel="0" collapsed="false">
      <c r="A1759" s="5" t="n">
        <v>2023</v>
      </c>
      <c r="B1759" s="5" t="s">
        <v>417</v>
      </c>
      <c r="C1759" s="5" t="s">
        <v>449</v>
      </c>
      <c r="D1759" s="5" t="n">
        <v>8</v>
      </c>
      <c r="E1759" s="13" t="n">
        <v>1.26</v>
      </c>
      <c r="F1759" s="14" t="n">
        <f aca="false">E1759*Assumptions!$D$6</f>
        <v>188.530347724543</v>
      </c>
      <c r="G1759" s="14" t="n">
        <v>380</v>
      </c>
      <c r="H1759" s="14" t="n">
        <v>500</v>
      </c>
      <c r="I1759" s="14" t="n">
        <f aca="false">F1759-(G1759+H1759)/2</f>
        <v>-251.469652275457</v>
      </c>
      <c r="J1759" s="5" t="str">
        <f aca="false">IF(D1759&lt;8,"LOW SAMPLE",IF(F1759&gt;H1759*(1+Assumptions!$B$10),"UNDERPAID",IF(F1759&lt;G1759*(1-Assumptions!$B$10),"OVERPAID","FAIR")))</f>
        <v>OVERPAID</v>
      </c>
      <c r="K1759" s="5" t="n">
        <v>142</v>
      </c>
    </row>
    <row r="1760" customFormat="false" ht="15" hidden="false" customHeight="false" outlineLevel="0" collapsed="false">
      <c r="A1760" s="5" t="n">
        <v>2023</v>
      </c>
      <c r="B1760" s="5" t="s">
        <v>417</v>
      </c>
      <c r="C1760" s="5" t="s">
        <v>450</v>
      </c>
      <c r="D1760" s="5" t="n">
        <v>23</v>
      </c>
      <c r="E1760" s="13" t="n">
        <v>4.02</v>
      </c>
      <c r="F1760" s="14" t="n">
        <f aca="false">E1760*Assumptions!$D$6</f>
        <v>601.501585597352</v>
      </c>
      <c r="G1760" s="14" t="n">
        <v>380</v>
      </c>
      <c r="H1760" s="14" t="n">
        <v>500</v>
      </c>
      <c r="I1760" s="14" t="n">
        <f aca="false">F1760-(G1760+H1760)/2</f>
        <v>161.501585597352</v>
      </c>
      <c r="J1760" s="5" t="str">
        <f aca="false">IF(D1760&lt;8,"LOW SAMPLE",IF(F1760&gt;H1760*(1+Assumptions!$B$10),"UNDERPAID",IF(F1760&lt;G1760*(1-Assumptions!$B$10),"OVERPAID","FAIR")))</f>
        <v>UNDERPAID</v>
      </c>
      <c r="K1760" s="5" t="n">
        <v>51</v>
      </c>
    </row>
    <row r="1761" customFormat="false" ht="15" hidden="false" customHeight="false" outlineLevel="0" collapsed="false">
      <c r="A1761" s="5" t="n">
        <v>2023</v>
      </c>
      <c r="B1761" s="5" t="s">
        <v>417</v>
      </c>
      <c r="C1761" s="5" t="s">
        <v>451</v>
      </c>
      <c r="D1761" s="5" t="n">
        <v>25</v>
      </c>
      <c r="E1761" s="13" t="n">
        <v>5.32</v>
      </c>
      <c r="F1761" s="14" t="n">
        <f aca="false">E1761*Assumptions!$D$6</f>
        <v>796.017023725849</v>
      </c>
      <c r="G1761" s="14" t="n">
        <v>380</v>
      </c>
      <c r="H1761" s="14" t="n">
        <v>500</v>
      </c>
      <c r="I1761" s="14" t="n">
        <f aca="false">F1761-(G1761+H1761)/2</f>
        <v>356.017023725849</v>
      </c>
      <c r="J1761" s="5" t="str">
        <f aca="false">IF(D1761&lt;8,"LOW SAMPLE",IF(F1761&gt;H1761*(1+Assumptions!$B$10),"UNDERPAID",IF(F1761&lt;G1761*(1-Assumptions!$B$10),"OVERPAID","FAIR")))</f>
        <v>UNDERPAID</v>
      </c>
      <c r="K1761" s="5" t="n">
        <v>52</v>
      </c>
    </row>
    <row r="1762" customFormat="false" ht="15" hidden="false" customHeight="false" outlineLevel="0" collapsed="false">
      <c r="A1762" s="5" t="n">
        <v>2023</v>
      </c>
      <c r="B1762" s="5" t="s">
        <v>452</v>
      </c>
      <c r="C1762" s="5" t="s">
        <v>453</v>
      </c>
      <c r="D1762" s="5" t="n">
        <v>6</v>
      </c>
      <c r="E1762" s="13" t="n">
        <v>0.94</v>
      </c>
      <c r="F1762" s="14" t="n">
        <f aca="false">E1762*Assumptions!$D$6</f>
        <v>140.649624492913</v>
      </c>
      <c r="G1762" s="14" t="n">
        <v>380</v>
      </c>
      <c r="H1762" s="14" t="n">
        <v>500</v>
      </c>
      <c r="I1762" s="14" t="n">
        <f aca="false">F1762-(G1762+H1762)/2</f>
        <v>-299.350375507087</v>
      </c>
      <c r="J1762" s="5" t="str">
        <f aca="false">IF(D1762&lt;8,"LOW SAMPLE",IF(F1762&gt;H1762*(1+Assumptions!$B$10),"UNDERPAID",IF(F1762&lt;G1762*(1-Assumptions!$B$10),"OVERPAID","FAIR")))</f>
        <v>LOW SAMPLE</v>
      </c>
      <c r="K1762" s="5" t="n">
        <v>109</v>
      </c>
    </row>
    <row r="1763" customFormat="false" ht="15" hidden="false" customHeight="false" outlineLevel="0" collapsed="false">
      <c r="A1763" s="5" t="n">
        <v>2023</v>
      </c>
      <c r="B1763" s="5" t="s">
        <v>452</v>
      </c>
      <c r="C1763" s="5" t="s">
        <v>454</v>
      </c>
      <c r="D1763" s="5" t="n">
        <v>19</v>
      </c>
      <c r="E1763" s="13" t="n">
        <v>3.08</v>
      </c>
      <c r="F1763" s="14" t="n">
        <f aca="false">E1763*Assumptions!$D$6</f>
        <v>460.851961104439</v>
      </c>
      <c r="G1763" s="14" t="n">
        <v>380</v>
      </c>
      <c r="H1763" s="14" t="n">
        <v>500</v>
      </c>
      <c r="I1763" s="14" t="n">
        <f aca="false">F1763-(G1763+H1763)/2</f>
        <v>20.8519611044391</v>
      </c>
      <c r="J1763" s="5" t="str">
        <f aca="false">IF(D1763&lt;8,"LOW SAMPLE",IF(F1763&gt;H1763*(1+Assumptions!$B$10),"UNDERPAID",IF(F1763&lt;G1763*(1-Assumptions!$B$10),"OVERPAID","FAIR")))</f>
        <v>FAIR</v>
      </c>
      <c r="K1763" s="5" t="n">
        <v>106</v>
      </c>
    </row>
    <row r="1764" customFormat="false" ht="15" hidden="false" customHeight="false" outlineLevel="0" collapsed="false">
      <c r="A1764" s="5" t="n">
        <v>2023</v>
      </c>
      <c r="B1764" s="5" t="s">
        <v>452</v>
      </c>
      <c r="C1764" s="5" t="s">
        <v>455</v>
      </c>
      <c r="D1764" s="5" t="n">
        <v>2</v>
      </c>
      <c r="E1764" s="13" t="n">
        <v>0.15</v>
      </c>
      <c r="F1764" s="14" t="n">
        <f aca="false">E1764*Assumptions!$D$6</f>
        <v>22.4440890148266</v>
      </c>
      <c r="G1764" s="14" t="n">
        <v>250</v>
      </c>
      <c r="H1764" s="14" t="n">
        <v>380</v>
      </c>
      <c r="I1764" s="14" t="n">
        <f aca="false">F1764-(G1764+H1764)/2</f>
        <v>-292.555910985173</v>
      </c>
      <c r="J1764" s="5" t="str">
        <f aca="false">IF(D1764&lt;8,"LOW SAMPLE",IF(F1764&gt;H1764*(1+Assumptions!$B$10),"UNDERPAID",IF(F1764&lt;G1764*(1-Assumptions!$B$10),"OVERPAID","FAIR")))</f>
        <v>LOW SAMPLE</v>
      </c>
      <c r="K1764" s="5" t="n">
        <v>32</v>
      </c>
    </row>
    <row r="1765" customFormat="false" ht="15" hidden="false" customHeight="false" outlineLevel="0" collapsed="false">
      <c r="A1765" s="5" t="n">
        <v>2023</v>
      </c>
      <c r="B1765" s="5" t="s">
        <v>452</v>
      </c>
      <c r="C1765" s="5" t="s">
        <v>457</v>
      </c>
      <c r="D1765" s="5" t="n">
        <v>23</v>
      </c>
      <c r="E1765" s="13" t="n">
        <v>4.21</v>
      </c>
      <c r="F1765" s="14" t="n">
        <f aca="false">E1765*Assumptions!$D$6</f>
        <v>629.930765016133</v>
      </c>
      <c r="G1765" s="14" t="n">
        <v>380</v>
      </c>
      <c r="H1765" s="14" t="n">
        <v>500</v>
      </c>
      <c r="I1765" s="14" t="n">
        <f aca="false">F1765-(G1765+H1765)/2</f>
        <v>189.930765016133</v>
      </c>
      <c r="J1765" s="5" t="str">
        <f aca="false">IF(D1765&lt;8,"LOW SAMPLE",IF(F1765&gt;H1765*(1+Assumptions!$B$10),"UNDERPAID",IF(F1765&lt;G1765*(1-Assumptions!$B$10),"OVERPAID","FAIR")))</f>
        <v>UNDERPAID</v>
      </c>
      <c r="K1765" s="5" t="n">
        <v>55</v>
      </c>
    </row>
    <row r="1766" customFormat="false" ht="15" hidden="false" customHeight="false" outlineLevel="0" collapsed="false">
      <c r="A1766" s="5" t="n">
        <v>2023</v>
      </c>
      <c r="B1766" s="5" t="s">
        <v>452</v>
      </c>
      <c r="C1766" s="5" t="s">
        <v>458</v>
      </c>
      <c r="D1766" s="5" t="n">
        <v>9</v>
      </c>
      <c r="E1766" s="13" t="n">
        <v>1.61</v>
      </c>
      <c r="F1766" s="14" t="n">
        <f aca="false">E1766*Assumptions!$D$6</f>
        <v>240.899888759139</v>
      </c>
      <c r="G1766" s="14" t="n">
        <v>380</v>
      </c>
      <c r="H1766" s="14" t="n">
        <v>500</v>
      </c>
      <c r="I1766" s="14" t="n">
        <f aca="false">F1766-(G1766+H1766)/2</f>
        <v>-199.100111240861</v>
      </c>
      <c r="J1766" s="5" t="str">
        <f aca="false">IF(D1766&lt;8,"LOW SAMPLE",IF(F1766&gt;H1766*(1+Assumptions!$B$10),"UNDERPAID",IF(F1766&lt;G1766*(1-Assumptions!$B$10),"OVERPAID","FAIR")))</f>
        <v>OVERPAID</v>
      </c>
      <c r="K1766" s="5" t="n">
        <v>130</v>
      </c>
    </row>
    <row r="1767" customFormat="false" ht="15" hidden="false" customHeight="false" outlineLevel="0" collapsed="false">
      <c r="A1767" s="5" t="n">
        <v>2023</v>
      </c>
      <c r="B1767" s="5" t="s">
        <v>452</v>
      </c>
      <c r="C1767" s="5" t="s">
        <v>459</v>
      </c>
      <c r="D1767" s="5" t="n">
        <v>19</v>
      </c>
      <c r="E1767" s="13" t="n">
        <v>2.35</v>
      </c>
      <c r="F1767" s="14" t="n">
        <f aca="false">E1767*Assumptions!$D$6</f>
        <v>351.624061232283</v>
      </c>
      <c r="G1767" s="14" t="n">
        <v>250</v>
      </c>
      <c r="H1767" s="14" t="n">
        <v>380</v>
      </c>
      <c r="I1767" s="14" t="n">
        <f aca="false">F1767-(G1767+H1767)/2</f>
        <v>36.6240612322831</v>
      </c>
      <c r="J1767" s="5" t="str">
        <f aca="false">IF(D1767&lt;8,"LOW SAMPLE",IF(F1767&gt;H1767*(1+Assumptions!$B$10),"UNDERPAID",IF(F1767&lt;G1767*(1-Assumptions!$B$10),"OVERPAID","FAIR")))</f>
        <v>FAIR</v>
      </c>
      <c r="K1767" s="5" t="n">
        <v>52</v>
      </c>
    </row>
    <row r="1768" customFormat="false" ht="15" hidden="false" customHeight="false" outlineLevel="0" collapsed="false">
      <c r="A1768" s="5" t="n">
        <v>2023</v>
      </c>
      <c r="B1768" s="5" t="s">
        <v>452</v>
      </c>
      <c r="C1768" s="5" t="s">
        <v>874</v>
      </c>
      <c r="D1768" s="5" t="n">
        <v>4</v>
      </c>
      <c r="E1768" s="13" t="n">
        <v>0.18</v>
      </c>
      <c r="F1768" s="14" t="n">
        <f aca="false">E1768*Assumptions!$D$6</f>
        <v>26.9329068177919</v>
      </c>
      <c r="G1768" s="14" t="n">
        <v>250</v>
      </c>
      <c r="H1768" s="14" t="n">
        <v>380</v>
      </c>
      <c r="I1768" s="14" t="n">
        <f aca="false">F1768-(G1768+H1768)/2</f>
        <v>-288.067093182208</v>
      </c>
      <c r="J1768" s="5" t="str">
        <f aca="false">IF(D1768&lt;8,"LOW SAMPLE",IF(F1768&gt;H1768*(1+Assumptions!$B$10),"UNDERPAID",IF(F1768&lt;G1768*(1-Assumptions!$B$10),"OVERPAID","FAIR")))</f>
        <v>LOW SAMPLE</v>
      </c>
      <c r="K1768" s="5" t="n">
        <v>0</v>
      </c>
    </row>
    <row r="1769" customFormat="false" ht="15" hidden="false" customHeight="false" outlineLevel="0" collapsed="false">
      <c r="A1769" s="5" t="n">
        <v>2023</v>
      </c>
      <c r="B1769" s="5" t="s">
        <v>452</v>
      </c>
      <c r="C1769" s="5" t="s">
        <v>530</v>
      </c>
      <c r="D1769" s="5" t="n">
        <v>9</v>
      </c>
      <c r="E1769" s="13" t="n">
        <v>1.33</v>
      </c>
      <c r="F1769" s="14" t="n">
        <f aca="false">E1769*Assumptions!$D$6</f>
        <v>199.004255931462</v>
      </c>
      <c r="G1769" s="14" t="n">
        <v>250</v>
      </c>
      <c r="H1769" s="14" t="n">
        <v>380</v>
      </c>
      <c r="I1769" s="14" t="n">
        <f aca="false">F1769-(G1769+H1769)/2</f>
        <v>-115.995744068538</v>
      </c>
      <c r="J1769" s="5" t="str">
        <f aca="false">IF(D1769&lt;8,"LOW SAMPLE",IF(F1769&gt;H1769*(1+Assumptions!$B$10),"UNDERPAID",IF(F1769&lt;G1769*(1-Assumptions!$B$10),"OVERPAID","FAIR")))</f>
        <v>OVERPAID</v>
      </c>
      <c r="K1769" s="5" t="n">
        <v>19</v>
      </c>
    </row>
    <row r="1770" customFormat="false" ht="15" hidden="false" customHeight="false" outlineLevel="0" collapsed="false">
      <c r="A1770" s="5" t="n">
        <v>2023</v>
      </c>
      <c r="B1770" s="5" t="s">
        <v>452</v>
      </c>
      <c r="C1770" s="5" t="s">
        <v>460</v>
      </c>
      <c r="D1770" s="5" t="n">
        <v>16</v>
      </c>
      <c r="E1770" s="13" t="n">
        <v>3.54</v>
      </c>
      <c r="F1770" s="14" t="n">
        <f aca="false">E1770*Assumptions!$D$6</f>
        <v>529.680500749907</v>
      </c>
      <c r="G1770" s="14" t="n">
        <v>500</v>
      </c>
      <c r="H1770" s="14" t="n">
        <v>680</v>
      </c>
      <c r="I1770" s="14" t="n">
        <f aca="false">F1770-(G1770+H1770)/2</f>
        <v>-60.3194992500927</v>
      </c>
      <c r="J1770" s="5" t="str">
        <f aca="false">IF(D1770&lt;8,"LOW SAMPLE",IF(F1770&gt;H1770*(1+Assumptions!$B$10),"UNDERPAID",IF(F1770&lt;G1770*(1-Assumptions!$B$10),"OVERPAID","FAIR")))</f>
        <v>FAIR</v>
      </c>
      <c r="K1770" s="5" t="n">
        <v>83</v>
      </c>
    </row>
    <row r="1771" customFormat="false" ht="15" hidden="false" customHeight="false" outlineLevel="0" collapsed="false">
      <c r="A1771" s="5" t="n">
        <v>2023</v>
      </c>
      <c r="B1771" s="5" t="s">
        <v>452</v>
      </c>
      <c r="C1771" s="5" t="s">
        <v>461</v>
      </c>
      <c r="D1771" s="5" t="n">
        <v>7</v>
      </c>
      <c r="E1771" s="13" t="n">
        <v>0.93</v>
      </c>
      <c r="F1771" s="14" t="n">
        <f aca="false">E1771*Assumptions!$D$6</f>
        <v>139.153351891925</v>
      </c>
      <c r="G1771" s="14" t="n">
        <v>140</v>
      </c>
      <c r="H1771" s="14" t="n">
        <v>250</v>
      </c>
      <c r="I1771" s="14" t="n">
        <f aca="false">F1771-(G1771+H1771)/2</f>
        <v>-55.8466481080752</v>
      </c>
      <c r="J1771" s="5" t="str">
        <f aca="false">IF(D1771&lt;8,"LOW SAMPLE",IF(F1771&gt;H1771*(1+Assumptions!$B$10),"UNDERPAID",IF(F1771&lt;G1771*(1-Assumptions!$B$10),"OVERPAID","FAIR")))</f>
        <v>LOW SAMPLE</v>
      </c>
      <c r="K1771" s="5" t="n">
        <v>2</v>
      </c>
    </row>
    <row r="1772" customFormat="false" ht="15" hidden="false" customHeight="false" outlineLevel="0" collapsed="false">
      <c r="A1772" s="5" t="n">
        <v>2023</v>
      </c>
      <c r="B1772" s="5" t="s">
        <v>452</v>
      </c>
      <c r="C1772" s="5" t="s">
        <v>462</v>
      </c>
      <c r="D1772" s="5" t="n">
        <v>6</v>
      </c>
      <c r="E1772" s="13" t="n">
        <v>0.45</v>
      </c>
      <c r="F1772" s="14" t="n">
        <f aca="false">E1772*Assumptions!$D$6</f>
        <v>67.3322670444797</v>
      </c>
      <c r="G1772" s="14" t="n">
        <v>140</v>
      </c>
      <c r="H1772" s="14" t="n">
        <v>250</v>
      </c>
      <c r="I1772" s="14" t="n">
        <f aca="false">F1772-(G1772+H1772)/2</f>
        <v>-127.66773295552</v>
      </c>
      <c r="J1772" s="5" t="str">
        <f aca="false">IF(D1772&lt;8,"LOW SAMPLE",IF(F1772&gt;H1772*(1+Assumptions!$B$10),"UNDERPAID",IF(F1772&lt;G1772*(1-Assumptions!$B$10),"OVERPAID","FAIR")))</f>
        <v>LOW SAMPLE</v>
      </c>
      <c r="K1772" s="5" t="n">
        <v>24</v>
      </c>
    </row>
    <row r="1773" customFormat="false" ht="15" hidden="false" customHeight="false" outlineLevel="0" collapsed="false">
      <c r="A1773" s="5" t="n">
        <v>2023</v>
      </c>
      <c r="B1773" s="5" t="s">
        <v>452</v>
      </c>
      <c r="C1773" s="5" t="s">
        <v>875</v>
      </c>
      <c r="D1773" s="5" t="n">
        <v>3</v>
      </c>
      <c r="E1773" s="13" t="n">
        <v>0.33</v>
      </c>
      <c r="F1773" s="14" t="n">
        <f aca="false">E1773*Assumptions!$D$6</f>
        <v>49.3769958326185</v>
      </c>
      <c r="G1773" s="14" t="n">
        <v>250</v>
      </c>
      <c r="H1773" s="14" t="n">
        <v>380</v>
      </c>
      <c r="I1773" s="14" t="n">
        <f aca="false">F1773-(G1773+H1773)/2</f>
        <v>-265.623004167382</v>
      </c>
      <c r="J1773" s="5" t="str">
        <f aca="false">IF(D1773&lt;8,"LOW SAMPLE",IF(F1773&gt;H1773*(1+Assumptions!$B$10),"UNDERPAID",IF(F1773&lt;G1773*(1-Assumptions!$B$10),"OVERPAID","FAIR")))</f>
        <v>LOW SAMPLE</v>
      </c>
      <c r="K1773" s="5" t="n">
        <v>0</v>
      </c>
    </row>
    <row r="1774" customFormat="false" ht="15" hidden="false" customHeight="false" outlineLevel="0" collapsed="false">
      <c r="A1774" s="5" t="n">
        <v>2023</v>
      </c>
      <c r="B1774" s="5" t="s">
        <v>452</v>
      </c>
      <c r="C1774" s="5" t="s">
        <v>464</v>
      </c>
      <c r="D1774" s="5" t="n">
        <v>16</v>
      </c>
      <c r="E1774" s="13" t="n">
        <v>2.07</v>
      </c>
      <c r="F1774" s="14" t="n">
        <f aca="false">E1774*Assumptions!$D$6</f>
        <v>309.728428404607</v>
      </c>
      <c r="G1774" s="14" t="n">
        <v>380</v>
      </c>
      <c r="H1774" s="14" t="n">
        <v>500</v>
      </c>
      <c r="I1774" s="14" t="n">
        <f aca="false">F1774-(G1774+H1774)/2</f>
        <v>-130.271571595393</v>
      </c>
      <c r="J1774" s="5" t="str">
        <f aca="false">IF(D1774&lt;8,"LOW SAMPLE",IF(F1774&gt;H1774*(1+Assumptions!$B$10),"UNDERPAID",IF(F1774&lt;G1774*(1-Assumptions!$B$10),"OVERPAID","FAIR")))</f>
        <v>OVERPAID</v>
      </c>
      <c r="K1774" s="5" t="n">
        <v>52</v>
      </c>
    </row>
    <row r="1775" customFormat="false" ht="15" hidden="false" customHeight="false" outlineLevel="0" collapsed="false">
      <c r="A1775" s="5" t="n">
        <v>2023</v>
      </c>
      <c r="B1775" s="5" t="s">
        <v>452</v>
      </c>
      <c r="C1775" s="5" t="s">
        <v>386</v>
      </c>
      <c r="D1775" s="5" t="n">
        <v>11</v>
      </c>
      <c r="E1775" s="13" t="n">
        <v>1.48</v>
      </c>
      <c r="F1775" s="14" t="n">
        <f aca="false">E1775*Assumptions!$D$6</f>
        <v>221.448344946289</v>
      </c>
      <c r="G1775" s="14" t="n">
        <v>250</v>
      </c>
      <c r="H1775" s="14" t="n">
        <v>380</v>
      </c>
      <c r="I1775" s="14" t="n">
        <f aca="false">F1775-(G1775+H1775)/2</f>
        <v>-93.5516550537111</v>
      </c>
      <c r="J1775" s="5" t="str">
        <f aca="false">IF(D1775&lt;8,"LOW SAMPLE",IF(F1775&gt;H1775*(1+Assumptions!$B$10),"UNDERPAID",IF(F1775&lt;G1775*(1-Assumptions!$B$10),"OVERPAID","FAIR")))</f>
        <v>FAIR</v>
      </c>
      <c r="K1775" s="5" t="n">
        <v>96</v>
      </c>
    </row>
    <row r="1776" customFormat="false" ht="15" hidden="false" customHeight="false" outlineLevel="0" collapsed="false">
      <c r="A1776" s="5" t="n">
        <v>2023</v>
      </c>
      <c r="B1776" s="5" t="s">
        <v>452</v>
      </c>
      <c r="C1776" s="5" t="s">
        <v>235</v>
      </c>
      <c r="D1776" s="5" t="n">
        <v>18</v>
      </c>
      <c r="E1776" s="13" t="n">
        <v>2.5</v>
      </c>
      <c r="F1776" s="14" t="n">
        <f aca="false">E1776*Assumptions!$D$6</f>
        <v>374.06815024711</v>
      </c>
      <c r="G1776" s="14" t="n">
        <v>380</v>
      </c>
      <c r="H1776" s="14" t="n">
        <v>500</v>
      </c>
      <c r="I1776" s="14" t="n">
        <f aca="false">F1776-(G1776+H1776)/2</f>
        <v>-65.9318497528903</v>
      </c>
      <c r="J1776" s="5" t="str">
        <f aca="false">IF(D1776&lt;8,"LOW SAMPLE",IF(F1776&gt;H1776*(1+Assumptions!$B$10),"UNDERPAID",IF(F1776&lt;G1776*(1-Assumptions!$B$10),"OVERPAID","FAIR")))</f>
        <v>FAIR</v>
      </c>
      <c r="K1776" s="5" t="n">
        <v>108</v>
      </c>
    </row>
    <row r="1777" customFormat="false" ht="15" hidden="false" customHeight="false" outlineLevel="0" collapsed="false">
      <c r="A1777" s="5" t="n">
        <v>2023</v>
      </c>
      <c r="B1777" s="5" t="s">
        <v>452</v>
      </c>
      <c r="C1777" s="5" t="s">
        <v>466</v>
      </c>
      <c r="D1777" s="5" t="n">
        <v>14</v>
      </c>
      <c r="E1777" s="13" t="n">
        <v>2.02</v>
      </c>
      <c r="F1777" s="14" t="n">
        <f aca="false">E1777*Assumptions!$D$6</f>
        <v>302.247065399665</v>
      </c>
      <c r="G1777" s="14" t="n">
        <v>140</v>
      </c>
      <c r="H1777" s="14" t="n">
        <v>250</v>
      </c>
      <c r="I1777" s="14" t="n">
        <f aca="false">F1777-(G1777+H1777)/2</f>
        <v>107.247065399665</v>
      </c>
      <c r="J1777" s="5" t="str">
        <f aca="false">IF(D1777&lt;8,"LOW SAMPLE",IF(F1777&gt;H1777*(1+Assumptions!$B$10),"UNDERPAID",IF(F1777&lt;G1777*(1-Assumptions!$B$10),"OVERPAID","FAIR")))</f>
        <v>UNDERPAID</v>
      </c>
      <c r="K1777" s="5" t="n">
        <v>8</v>
      </c>
    </row>
    <row r="1778" customFormat="false" ht="15" hidden="false" customHeight="false" outlineLevel="0" collapsed="false">
      <c r="A1778" s="5" t="n">
        <v>2023</v>
      </c>
      <c r="B1778" s="5" t="s">
        <v>452</v>
      </c>
      <c r="C1778" s="5" t="s">
        <v>784</v>
      </c>
      <c r="D1778" s="5" t="n">
        <v>5</v>
      </c>
      <c r="E1778" s="13" t="n">
        <v>0.46</v>
      </c>
      <c r="F1778" s="14" t="n">
        <f aca="false">E1778*Assumptions!$D$6</f>
        <v>68.8285396454682</v>
      </c>
      <c r="G1778" s="14" t="n">
        <v>140</v>
      </c>
      <c r="H1778" s="14" t="n">
        <v>250</v>
      </c>
      <c r="I1778" s="14" t="n">
        <f aca="false">F1778-(G1778+H1778)/2</f>
        <v>-126.171460354532</v>
      </c>
      <c r="J1778" s="5" t="str">
        <f aca="false">IF(D1778&lt;8,"LOW SAMPLE",IF(F1778&gt;H1778*(1+Assumptions!$B$10),"UNDERPAID",IF(F1778&lt;G1778*(1-Assumptions!$B$10),"OVERPAID","FAIR")))</f>
        <v>LOW SAMPLE</v>
      </c>
      <c r="K1778" s="5" t="n">
        <v>19</v>
      </c>
    </row>
    <row r="1779" customFormat="false" ht="15" hidden="false" customHeight="false" outlineLevel="0" collapsed="false">
      <c r="A1779" s="5" t="n">
        <v>2023</v>
      </c>
      <c r="B1779" s="5" t="s">
        <v>452</v>
      </c>
      <c r="C1779" s="5" t="s">
        <v>876</v>
      </c>
      <c r="D1779" s="5" t="n">
        <v>8</v>
      </c>
      <c r="E1779" s="13" t="n">
        <v>1.27</v>
      </c>
      <c r="F1779" s="14" t="n">
        <f aca="false">E1779*Assumptions!$D$6</f>
        <v>190.026620325532</v>
      </c>
      <c r="G1779" s="14" t="n">
        <v>250</v>
      </c>
      <c r="H1779" s="14" t="n">
        <v>380</v>
      </c>
      <c r="I1779" s="14" t="n">
        <f aca="false">F1779-(G1779+H1779)/2</f>
        <v>-124.973379674468</v>
      </c>
      <c r="J1779" s="5" t="str">
        <f aca="false">IF(D1779&lt;8,"LOW SAMPLE",IF(F1779&gt;H1779*(1+Assumptions!$B$10),"UNDERPAID",IF(F1779&lt;G1779*(1-Assumptions!$B$10),"OVERPAID","FAIR")))</f>
        <v>OVERPAID</v>
      </c>
      <c r="K1779" s="5" t="n">
        <v>0</v>
      </c>
    </row>
    <row r="1780" customFormat="false" ht="15" hidden="false" customHeight="false" outlineLevel="0" collapsed="false">
      <c r="A1780" s="5" t="n">
        <v>2023</v>
      </c>
      <c r="B1780" s="5" t="s">
        <v>452</v>
      </c>
      <c r="C1780" s="5" t="s">
        <v>238</v>
      </c>
      <c r="D1780" s="5" t="n">
        <v>15</v>
      </c>
      <c r="E1780" s="13" t="n">
        <v>2.09</v>
      </c>
      <c r="F1780" s="14" t="n">
        <f aca="false">E1780*Assumptions!$D$6</f>
        <v>312.720973606584</v>
      </c>
      <c r="G1780" s="14" t="n">
        <v>380</v>
      </c>
      <c r="H1780" s="14" t="n">
        <v>500</v>
      </c>
      <c r="I1780" s="14" t="n">
        <f aca="false">F1780-(G1780+H1780)/2</f>
        <v>-127.279026393416</v>
      </c>
      <c r="J1780" s="5" t="str">
        <f aca="false">IF(D1780&lt;8,"LOW SAMPLE",IF(F1780&gt;H1780*(1+Assumptions!$B$10),"UNDERPAID",IF(F1780&lt;G1780*(1-Assumptions!$B$10),"OVERPAID","FAIR")))</f>
        <v>OVERPAID</v>
      </c>
      <c r="K1780" s="5" t="n">
        <v>64</v>
      </c>
    </row>
    <row r="1781" customFormat="false" ht="15" hidden="false" customHeight="false" outlineLevel="0" collapsed="false">
      <c r="A1781" s="5" t="n">
        <v>2023</v>
      </c>
      <c r="B1781" s="5" t="s">
        <v>452</v>
      </c>
      <c r="C1781" s="5" t="s">
        <v>877</v>
      </c>
      <c r="D1781" s="5" t="n">
        <v>23</v>
      </c>
      <c r="E1781" s="13" t="n">
        <v>4.86</v>
      </c>
      <c r="F1781" s="14" t="n">
        <f aca="false">E1781*Assumptions!$D$6</f>
        <v>727.188484080381</v>
      </c>
      <c r="G1781" s="14" t="n">
        <v>250</v>
      </c>
      <c r="H1781" s="14" t="n">
        <v>380</v>
      </c>
      <c r="I1781" s="14" t="n">
        <f aca="false">F1781-(G1781+H1781)/2</f>
        <v>412.188484080381</v>
      </c>
      <c r="J1781" s="5" t="str">
        <f aca="false">IF(D1781&lt;8,"LOW SAMPLE",IF(F1781&gt;H1781*(1+Assumptions!$B$10),"UNDERPAID",IF(F1781&lt;G1781*(1-Assumptions!$B$10),"OVERPAID","FAIR")))</f>
        <v>UNDERPAID</v>
      </c>
      <c r="K1781" s="5" t="n">
        <v>0</v>
      </c>
    </row>
    <row r="1782" customFormat="false" ht="15" hidden="false" customHeight="false" outlineLevel="0" collapsed="false">
      <c r="A1782" s="5" t="n">
        <v>2023</v>
      </c>
      <c r="B1782" s="5" t="s">
        <v>452</v>
      </c>
      <c r="C1782" s="5" t="s">
        <v>352</v>
      </c>
      <c r="D1782" s="5" t="n">
        <v>14</v>
      </c>
      <c r="E1782" s="13" t="n">
        <v>2.21</v>
      </c>
      <c r="F1782" s="14" t="n">
        <f aca="false">E1782*Assumptions!$D$6</f>
        <v>330.676244818445</v>
      </c>
      <c r="G1782" s="14" t="n">
        <v>500</v>
      </c>
      <c r="H1782" s="14" t="n">
        <v>680</v>
      </c>
      <c r="I1782" s="14" t="n">
        <f aca="false">F1782-(G1782+H1782)/2</f>
        <v>-259.323755181555</v>
      </c>
      <c r="J1782" s="5" t="str">
        <f aca="false">IF(D1782&lt;8,"LOW SAMPLE",IF(F1782&gt;H1782*(1+Assumptions!$B$10),"UNDERPAID",IF(F1782&lt;G1782*(1-Assumptions!$B$10),"OVERPAID","FAIR")))</f>
        <v>OVERPAID</v>
      </c>
      <c r="K1782" s="5" t="n">
        <v>104</v>
      </c>
    </row>
    <row r="1783" customFormat="false" ht="15" hidden="false" customHeight="false" outlineLevel="0" collapsed="false">
      <c r="A1783" s="5" t="n">
        <v>2023</v>
      </c>
      <c r="B1783" s="5" t="s">
        <v>452</v>
      </c>
      <c r="C1783" s="5" t="s">
        <v>467</v>
      </c>
      <c r="D1783" s="5" t="n">
        <v>2</v>
      </c>
      <c r="E1783" s="13" t="n">
        <v>0.19</v>
      </c>
      <c r="F1783" s="14" t="n">
        <f aca="false">E1783*Assumptions!$D$6</f>
        <v>28.4291794187803</v>
      </c>
      <c r="G1783" s="14" t="n">
        <v>250</v>
      </c>
      <c r="H1783" s="14" t="n">
        <v>380</v>
      </c>
      <c r="I1783" s="14" t="n">
        <f aca="false">F1783-(G1783+H1783)/2</f>
        <v>-286.57082058122</v>
      </c>
      <c r="J1783" s="5" t="str">
        <f aca="false">IF(D1783&lt;8,"LOW SAMPLE",IF(F1783&gt;H1783*(1+Assumptions!$B$10),"UNDERPAID",IF(F1783&lt;G1783*(1-Assumptions!$B$10),"OVERPAID","FAIR")))</f>
        <v>LOW SAMPLE</v>
      </c>
      <c r="K1783" s="5" t="n">
        <v>42</v>
      </c>
    </row>
    <row r="1784" customFormat="false" ht="15" hidden="false" customHeight="false" outlineLevel="0" collapsed="false">
      <c r="A1784" s="5" t="n">
        <v>2023</v>
      </c>
      <c r="B1784" s="5" t="s">
        <v>452</v>
      </c>
      <c r="C1784" s="5" t="s">
        <v>468</v>
      </c>
      <c r="D1784" s="5" t="n">
        <v>22</v>
      </c>
      <c r="E1784" s="13" t="n">
        <v>3.9</v>
      </c>
      <c r="F1784" s="14" t="n">
        <f aca="false">E1784*Assumptions!$D$6</f>
        <v>583.546314385491</v>
      </c>
      <c r="G1784" s="14" t="n">
        <v>380</v>
      </c>
      <c r="H1784" s="14" t="n">
        <v>500</v>
      </c>
      <c r="I1784" s="14" t="n">
        <f aca="false">F1784-(G1784+H1784)/2</f>
        <v>143.546314385491</v>
      </c>
      <c r="J1784" s="5" t="str">
        <f aca="false">IF(D1784&lt;8,"LOW SAMPLE",IF(F1784&gt;H1784*(1+Assumptions!$B$10),"UNDERPAID",IF(F1784&lt;G1784*(1-Assumptions!$B$10),"OVERPAID","FAIR")))</f>
        <v>UNDERPAID</v>
      </c>
      <c r="K1784" s="5" t="n">
        <v>158</v>
      </c>
    </row>
    <row r="1785" customFormat="false" ht="15" hidden="false" customHeight="false" outlineLevel="0" collapsed="false">
      <c r="A1785" s="5" t="n">
        <v>2023</v>
      </c>
      <c r="B1785" s="5" t="s">
        <v>452</v>
      </c>
      <c r="C1785" s="5" t="s">
        <v>785</v>
      </c>
      <c r="D1785" s="5" t="n">
        <v>5</v>
      </c>
      <c r="E1785" s="13" t="n">
        <v>0.32</v>
      </c>
      <c r="F1785" s="14" t="n">
        <f aca="false">E1785*Assumptions!$D$6</f>
        <v>47.88072323163</v>
      </c>
      <c r="G1785" s="14" t="n">
        <v>140</v>
      </c>
      <c r="H1785" s="14" t="n">
        <v>250</v>
      </c>
      <c r="I1785" s="14" t="n">
        <f aca="false">F1785-(G1785+H1785)/2</f>
        <v>-147.11927676837</v>
      </c>
      <c r="J1785" s="5" t="str">
        <f aca="false">IF(D1785&lt;8,"LOW SAMPLE",IF(F1785&gt;H1785*(1+Assumptions!$B$10),"UNDERPAID",IF(F1785&lt;G1785*(1-Assumptions!$B$10),"OVERPAID","FAIR")))</f>
        <v>LOW SAMPLE</v>
      </c>
      <c r="K1785" s="5" t="n">
        <v>3</v>
      </c>
    </row>
    <row r="1786" customFormat="false" ht="15" hidden="false" customHeight="false" outlineLevel="0" collapsed="false">
      <c r="A1786" s="5" t="n">
        <v>2023</v>
      </c>
      <c r="B1786" s="5" t="s">
        <v>452</v>
      </c>
      <c r="C1786" s="5" t="s">
        <v>469</v>
      </c>
      <c r="D1786" s="5" t="n">
        <v>21</v>
      </c>
      <c r="E1786" s="13" t="n">
        <v>3.02</v>
      </c>
      <c r="F1786" s="14" t="n">
        <f aca="false">E1786*Assumptions!$D$6</f>
        <v>451.874325498509</v>
      </c>
      <c r="G1786" s="14" t="n">
        <v>380</v>
      </c>
      <c r="H1786" s="14" t="n">
        <v>500</v>
      </c>
      <c r="I1786" s="14" t="n">
        <f aca="false">F1786-(G1786+H1786)/2</f>
        <v>11.8743254985085</v>
      </c>
      <c r="J1786" s="5" t="str">
        <f aca="false">IF(D1786&lt;8,"LOW SAMPLE",IF(F1786&gt;H1786*(1+Assumptions!$B$10),"UNDERPAID",IF(F1786&lt;G1786*(1-Assumptions!$B$10),"OVERPAID","FAIR")))</f>
        <v>FAIR</v>
      </c>
      <c r="K1786" s="5" t="n">
        <v>89</v>
      </c>
    </row>
    <row r="1787" customFormat="false" ht="15" hidden="false" customHeight="false" outlineLevel="0" collapsed="false">
      <c r="A1787" s="5" t="n">
        <v>2023</v>
      </c>
      <c r="B1787" s="5" t="s">
        <v>452</v>
      </c>
      <c r="C1787" s="5" t="s">
        <v>787</v>
      </c>
      <c r="D1787" s="5" t="n">
        <v>10</v>
      </c>
      <c r="E1787" s="13" t="n">
        <v>1.07</v>
      </c>
      <c r="F1787" s="14" t="n">
        <f aca="false">E1787*Assumptions!$D$6</f>
        <v>160.101168305763</v>
      </c>
      <c r="G1787" s="14" t="n">
        <v>140</v>
      </c>
      <c r="H1787" s="14" t="n">
        <v>250</v>
      </c>
      <c r="I1787" s="14" t="n">
        <f aca="false">F1787-(G1787+H1787)/2</f>
        <v>-34.8988316942371</v>
      </c>
      <c r="J1787" s="5" t="str">
        <f aca="false">IF(D1787&lt;8,"LOW SAMPLE",IF(F1787&gt;H1787*(1+Assumptions!$B$10),"UNDERPAID",IF(F1787&lt;G1787*(1-Assumptions!$B$10),"OVERPAID","FAIR")))</f>
        <v>FAIR</v>
      </c>
      <c r="K1787" s="5" t="n">
        <v>1</v>
      </c>
    </row>
    <row r="1788" customFormat="false" ht="15" hidden="false" customHeight="false" outlineLevel="0" collapsed="false">
      <c r="A1788" s="5" t="n">
        <v>2023</v>
      </c>
      <c r="B1788" s="5" t="s">
        <v>452</v>
      </c>
      <c r="C1788" s="5" t="s">
        <v>473</v>
      </c>
      <c r="D1788" s="5" t="n">
        <v>18</v>
      </c>
      <c r="E1788" s="13" t="n">
        <v>3.59</v>
      </c>
      <c r="F1788" s="14" t="n">
        <f aca="false">E1788*Assumptions!$D$6</f>
        <v>537.16186375485</v>
      </c>
      <c r="G1788" s="14" t="n">
        <v>680</v>
      </c>
      <c r="H1788" s="14" t="n">
        <v>950</v>
      </c>
      <c r="I1788" s="14" t="n">
        <f aca="false">F1788-(G1788+H1788)/2</f>
        <v>-277.838136245151</v>
      </c>
      <c r="J1788" s="5" t="str">
        <f aca="false">IF(D1788&lt;8,"LOW SAMPLE",IF(F1788&gt;H1788*(1+Assumptions!$B$10),"UNDERPAID",IF(F1788&lt;G1788*(1-Assumptions!$B$10),"OVERPAID","FAIR")))</f>
        <v>OVERPAID</v>
      </c>
      <c r="K1788" s="5" t="n">
        <v>116</v>
      </c>
    </row>
    <row r="1789" customFormat="false" ht="15" hidden="false" customHeight="false" outlineLevel="0" collapsed="false">
      <c r="A1789" s="5" t="n">
        <v>2023</v>
      </c>
      <c r="B1789" s="5" t="s">
        <v>452</v>
      </c>
      <c r="C1789" s="5" t="s">
        <v>788</v>
      </c>
      <c r="D1789" s="5" t="n">
        <v>1</v>
      </c>
      <c r="E1789" s="13" t="n">
        <v>0.09</v>
      </c>
      <c r="F1789" s="14" t="n">
        <f aca="false">E1789*Assumptions!$D$6</f>
        <v>13.4664534088959</v>
      </c>
      <c r="G1789" s="14" t="n">
        <v>140</v>
      </c>
      <c r="H1789" s="14" t="n">
        <v>250</v>
      </c>
      <c r="I1789" s="14" t="n">
        <f aca="false">F1789-(G1789+H1789)/2</f>
        <v>-181.533546591104</v>
      </c>
      <c r="J1789" s="5" t="str">
        <f aca="false">IF(D1789&lt;8,"LOW SAMPLE",IF(F1789&gt;H1789*(1+Assumptions!$B$10),"UNDERPAID",IF(F1789&lt;G1789*(1-Assumptions!$B$10),"OVERPAID","FAIR")))</f>
        <v>LOW SAMPLE</v>
      </c>
      <c r="K1789" s="5" t="n">
        <v>4</v>
      </c>
    </row>
    <row r="1790" customFormat="false" ht="15" hidden="false" customHeight="false" outlineLevel="0" collapsed="false">
      <c r="A1790" s="5" t="n">
        <v>2023</v>
      </c>
      <c r="B1790" s="5" t="s">
        <v>452</v>
      </c>
      <c r="C1790" s="5" t="s">
        <v>474</v>
      </c>
      <c r="D1790" s="5" t="n">
        <v>12</v>
      </c>
      <c r="E1790" s="13" t="n">
        <v>1.21</v>
      </c>
      <c r="F1790" s="14" t="n">
        <f aca="false">E1790*Assumptions!$D$6</f>
        <v>181.048984719601</v>
      </c>
      <c r="G1790" s="14" t="n">
        <v>380</v>
      </c>
      <c r="H1790" s="14" t="n">
        <v>500</v>
      </c>
      <c r="I1790" s="14" t="n">
        <f aca="false">F1790-(G1790+H1790)/2</f>
        <v>-258.951015280399</v>
      </c>
      <c r="J1790" s="5" t="str">
        <f aca="false">IF(D1790&lt;8,"LOW SAMPLE",IF(F1790&gt;H1790*(1+Assumptions!$B$10),"UNDERPAID",IF(F1790&lt;G1790*(1-Assumptions!$B$10),"OVERPAID","FAIR")))</f>
        <v>OVERPAID</v>
      </c>
      <c r="K1790" s="5" t="n">
        <v>112</v>
      </c>
    </row>
    <row r="1791" customFormat="false" ht="15" hidden="false" customHeight="false" outlineLevel="0" collapsed="false">
      <c r="A1791" s="5" t="n">
        <v>2023</v>
      </c>
      <c r="B1791" s="5" t="s">
        <v>452</v>
      </c>
      <c r="C1791" s="5" t="s">
        <v>476</v>
      </c>
      <c r="D1791" s="5" t="n">
        <v>4</v>
      </c>
      <c r="E1791" s="13" t="n">
        <v>0.55</v>
      </c>
      <c r="F1791" s="14" t="n">
        <f aca="false">E1791*Assumptions!$D$6</f>
        <v>82.2949930543641</v>
      </c>
      <c r="G1791" s="14" t="n">
        <v>250</v>
      </c>
      <c r="H1791" s="14" t="n">
        <v>380</v>
      </c>
      <c r="I1791" s="14" t="n">
        <f aca="false">F1791-(G1791+H1791)/2</f>
        <v>-232.705006945636</v>
      </c>
      <c r="J1791" s="5" t="str">
        <f aca="false">IF(D1791&lt;8,"LOW SAMPLE",IF(F1791&gt;H1791*(1+Assumptions!$B$10),"UNDERPAID",IF(F1791&lt;G1791*(1-Assumptions!$B$10),"OVERPAID","FAIR")))</f>
        <v>LOW SAMPLE</v>
      </c>
      <c r="K1791" s="5" t="n">
        <v>43</v>
      </c>
    </row>
    <row r="1792" customFormat="false" ht="15" hidden="false" customHeight="false" outlineLevel="0" collapsed="false">
      <c r="A1792" s="5" t="n">
        <v>2023</v>
      </c>
      <c r="B1792" s="5" t="s">
        <v>452</v>
      </c>
      <c r="C1792" s="5" t="s">
        <v>404</v>
      </c>
      <c r="D1792" s="5" t="n">
        <v>16</v>
      </c>
      <c r="E1792" s="13" t="n">
        <v>2.74</v>
      </c>
      <c r="F1792" s="14" t="n">
        <f aca="false">E1792*Assumptions!$D$6</f>
        <v>409.978692670832</v>
      </c>
      <c r="G1792" s="14" t="n">
        <v>380</v>
      </c>
      <c r="H1792" s="14" t="n">
        <v>500</v>
      </c>
      <c r="I1792" s="14" t="n">
        <f aca="false">F1792-(G1792+H1792)/2</f>
        <v>-30.0213073291678</v>
      </c>
      <c r="J1792" s="5" t="str">
        <f aca="false">IF(D1792&lt;8,"LOW SAMPLE",IF(F1792&gt;H1792*(1+Assumptions!$B$10),"UNDERPAID",IF(F1792&lt;G1792*(1-Assumptions!$B$10),"OVERPAID","FAIR")))</f>
        <v>FAIR</v>
      </c>
      <c r="K1792" s="5" t="n">
        <v>153</v>
      </c>
    </row>
    <row r="1793" customFormat="false" ht="15" hidden="false" customHeight="false" outlineLevel="0" collapsed="false">
      <c r="A1793" s="5" t="n">
        <v>2023</v>
      </c>
      <c r="B1793" s="5" t="s">
        <v>452</v>
      </c>
      <c r="C1793" s="5" t="s">
        <v>477</v>
      </c>
      <c r="D1793" s="5" t="n">
        <v>14</v>
      </c>
      <c r="E1793" s="13" t="n">
        <v>3.91</v>
      </c>
      <c r="F1793" s="14" t="n">
        <f aca="false">E1793*Assumptions!$D$6</f>
        <v>585.04258698648</v>
      </c>
      <c r="G1793" s="14" t="n">
        <v>500</v>
      </c>
      <c r="H1793" s="14" t="n">
        <v>680</v>
      </c>
      <c r="I1793" s="14" t="n">
        <f aca="false">F1793-(G1793+H1793)/2</f>
        <v>-4.95741301352052</v>
      </c>
      <c r="J1793" s="5" t="str">
        <f aca="false">IF(D1793&lt;8,"LOW SAMPLE",IF(F1793&gt;H1793*(1+Assumptions!$B$10),"UNDERPAID",IF(F1793&lt;G1793*(1-Assumptions!$B$10),"OVERPAID","FAIR")))</f>
        <v>FAIR</v>
      </c>
      <c r="K1793" s="5" t="n">
        <v>71</v>
      </c>
    </row>
    <row r="1794" customFormat="false" ht="15" hidden="false" customHeight="false" outlineLevel="0" collapsed="false">
      <c r="A1794" s="5" t="n">
        <v>2023</v>
      </c>
      <c r="B1794" s="5" t="s">
        <v>452</v>
      </c>
      <c r="C1794" s="5" t="s">
        <v>478</v>
      </c>
      <c r="D1794" s="5" t="n">
        <v>22</v>
      </c>
      <c r="E1794" s="13" t="n">
        <v>3.72</v>
      </c>
      <c r="F1794" s="14" t="n">
        <f aca="false">E1794*Assumptions!$D$6</f>
        <v>556.613407567699</v>
      </c>
      <c r="G1794" s="14" t="n">
        <v>500</v>
      </c>
      <c r="H1794" s="14" t="n">
        <v>680</v>
      </c>
      <c r="I1794" s="14" t="n">
        <f aca="false">F1794-(G1794+H1794)/2</f>
        <v>-33.3865924323009</v>
      </c>
      <c r="J1794" s="5" t="str">
        <f aca="false">IF(D1794&lt;8,"LOW SAMPLE",IF(F1794&gt;H1794*(1+Assumptions!$B$10),"UNDERPAID",IF(F1794&lt;G1794*(1-Assumptions!$B$10),"OVERPAID","FAIR")))</f>
        <v>FAIR</v>
      </c>
      <c r="K1794" s="5" t="n">
        <v>136</v>
      </c>
    </row>
    <row r="1795" customFormat="false" ht="15" hidden="false" customHeight="false" outlineLevel="0" collapsed="false">
      <c r="A1795" s="5" t="n">
        <v>2023</v>
      </c>
      <c r="B1795" s="5" t="s">
        <v>452</v>
      </c>
      <c r="C1795" s="5" t="s">
        <v>789</v>
      </c>
      <c r="D1795" s="5" t="n">
        <v>12</v>
      </c>
      <c r="E1795" s="13" t="n">
        <v>1.05</v>
      </c>
      <c r="F1795" s="14" t="n">
        <f aca="false">E1795*Assumptions!$D$6</f>
        <v>157.108623103786</v>
      </c>
      <c r="G1795" s="14" t="n">
        <v>140</v>
      </c>
      <c r="H1795" s="14" t="n">
        <v>250</v>
      </c>
      <c r="I1795" s="14" t="n">
        <f aca="false">F1795-(G1795+H1795)/2</f>
        <v>-37.8913768962139</v>
      </c>
      <c r="J1795" s="5" t="str">
        <f aca="false">IF(D1795&lt;8,"LOW SAMPLE",IF(F1795&gt;H1795*(1+Assumptions!$B$10),"UNDERPAID",IF(F1795&lt;G1795*(1-Assumptions!$B$10),"OVERPAID","FAIR")))</f>
        <v>FAIR</v>
      </c>
      <c r="K1795" s="5" t="n">
        <v>1</v>
      </c>
    </row>
    <row r="1796" customFormat="false" ht="15" hidden="false" customHeight="false" outlineLevel="0" collapsed="false">
      <c r="A1796" s="5" t="n">
        <v>2023</v>
      </c>
      <c r="B1796" s="5" t="s">
        <v>452</v>
      </c>
      <c r="C1796" s="5" t="s">
        <v>479</v>
      </c>
      <c r="D1796" s="5" t="n">
        <v>23</v>
      </c>
      <c r="E1796" s="13" t="n">
        <v>5.48</v>
      </c>
      <c r="F1796" s="14" t="n">
        <f aca="false">E1796*Assumptions!$D$6</f>
        <v>819.957385341665</v>
      </c>
      <c r="G1796" s="14" t="n">
        <v>380</v>
      </c>
      <c r="H1796" s="14" t="n">
        <v>500</v>
      </c>
      <c r="I1796" s="14" t="n">
        <f aca="false">F1796-(G1796+H1796)/2</f>
        <v>379.957385341664</v>
      </c>
      <c r="J1796" s="5" t="str">
        <f aca="false">IF(D1796&lt;8,"LOW SAMPLE",IF(F1796&gt;H1796*(1+Assumptions!$B$10),"UNDERPAID",IF(F1796&lt;G1796*(1-Assumptions!$B$10),"OVERPAID","FAIR")))</f>
        <v>UNDERPAID</v>
      </c>
      <c r="K1796" s="5" t="n">
        <v>71</v>
      </c>
    </row>
    <row r="1797" customFormat="false" ht="15" hidden="false" customHeight="false" outlineLevel="0" collapsed="false">
      <c r="A1797" s="5" t="n">
        <v>2023</v>
      </c>
      <c r="B1797" s="5" t="s">
        <v>452</v>
      </c>
      <c r="C1797" s="5" t="s">
        <v>790</v>
      </c>
      <c r="D1797" s="5" t="n">
        <v>21</v>
      </c>
      <c r="E1797" s="13" t="n">
        <v>3.13</v>
      </c>
      <c r="F1797" s="14" t="n">
        <f aca="false">E1797*Assumptions!$D$6</f>
        <v>468.333324109381</v>
      </c>
      <c r="G1797" s="14" t="n">
        <v>250</v>
      </c>
      <c r="H1797" s="14" t="n">
        <v>380</v>
      </c>
      <c r="I1797" s="14" t="n">
        <f aca="false">F1797-(G1797+H1797)/2</f>
        <v>153.333324109381</v>
      </c>
      <c r="J1797" s="5" t="str">
        <f aca="false">IF(D1797&lt;8,"LOW SAMPLE",IF(F1797&gt;H1797*(1+Assumptions!$B$10),"UNDERPAID",IF(F1797&lt;G1797*(1-Assumptions!$B$10),"OVERPAID","FAIR")))</f>
        <v>UNDERPAID</v>
      </c>
      <c r="K1797" s="5" t="n">
        <v>15</v>
      </c>
    </row>
    <row r="1798" customFormat="false" ht="15" hidden="false" customHeight="false" outlineLevel="0" collapsed="false">
      <c r="A1798" s="5" t="n">
        <v>2023</v>
      </c>
      <c r="B1798" s="5" t="s">
        <v>452</v>
      </c>
      <c r="C1798" s="5" t="s">
        <v>480</v>
      </c>
      <c r="D1798" s="5" t="n">
        <v>6</v>
      </c>
      <c r="E1798" s="13" t="n">
        <v>0.43</v>
      </c>
      <c r="F1798" s="14" t="n">
        <f aca="false">E1798*Assumptions!$D$6</f>
        <v>64.3397218425029</v>
      </c>
      <c r="G1798" s="14" t="n">
        <v>140</v>
      </c>
      <c r="H1798" s="14" t="n">
        <v>250</v>
      </c>
      <c r="I1798" s="14" t="n">
        <f aca="false">F1798-(G1798+H1798)/2</f>
        <v>-130.660278157497</v>
      </c>
      <c r="J1798" s="5" t="str">
        <f aca="false">IF(D1798&lt;8,"LOW SAMPLE",IF(F1798&gt;H1798*(1+Assumptions!$B$10),"UNDERPAID",IF(F1798&lt;G1798*(1-Assumptions!$B$10),"OVERPAID","FAIR")))</f>
        <v>LOW SAMPLE</v>
      </c>
      <c r="K1798" s="5" t="n">
        <v>6</v>
      </c>
    </row>
    <row r="1799" customFormat="false" ht="15" hidden="false" customHeight="false" outlineLevel="0" collapsed="false">
      <c r="A1799" s="5" t="n">
        <v>2023</v>
      </c>
      <c r="B1799" s="5" t="s">
        <v>452</v>
      </c>
      <c r="C1799" s="5" t="s">
        <v>878</v>
      </c>
      <c r="D1799" s="5" t="n">
        <v>2</v>
      </c>
      <c r="E1799" s="13" t="n">
        <v>0.06</v>
      </c>
      <c r="F1799" s="14" t="n">
        <f aca="false">E1799*Assumptions!$D$6</f>
        <v>8.97763560593063</v>
      </c>
      <c r="G1799" s="14" t="n">
        <v>250</v>
      </c>
      <c r="H1799" s="14" t="n">
        <v>380</v>
      </c>
      <c r="I1799" s="14" t="n">
        <f aca="false">F1799-(G1799+H1799)/2</f>
        <v>-306.022364394069</v>
      </c>
      <c r="J1799" s="5" t="str">
        <f aca="false">IF(D1799&lt;8,"LOW SAMPLE",IF(F1799&gt;H1799*(1+Assumptions!$B$10),"UNDERPAID",IF(F1799&lt;G1799*(1-Assumptions!$B$10),"OVERPAID","FAIR")))</f>
        <v>LOW SAMPLE</v>
      </c>
      <c r="K1799" s="5" t="n">
        <v>0</v>
      </c>
    </row>
    <row r="1800" customFormat="false" ht="15" hidden="false" customHeight="false" outlineLevel="0" collapsed="false">
      <c r="A1800" s="5" t="n">
        <v>2023</v>
      </c>
      <c r="B1800" s="5" t="s">
        <v>452</v>
      </c>
      <c r="C1800" s="5" t="s">
        <v>483</v>
      </c>
      <c r="D1800" s="5" t="n">
        <v>12</v>
      </c>
      <c r="E1800" s="13" t="n">
        <v>3.07</v>
      </c>
      <c r="F1800" s="14" t="n">
        <f aca="false">E1800*Assumptions!$D$6</f>
        <v>459.355688503451</v>
      </c>
      <c r="G1800" s="14" t="n">
        <v>380</v>
      </c>
      <c r="H1800" s="14" t="n">
        <v>500</v>
      </c>
      <c r="I1800" s="14" t="n">
        <f aca="false">F1800-(G1800+H1800)/2</f>
        <v>19.3556885034506</v>
      </c>
      <c r="J1800" s="5" t="str">
        <f aca="false">IF(D1800&lt;8,"LOW SAMPLE",IF(F1800&gt;H1800*(1+Assumptions!$B$10),"UNDERPAID",IF(F1800&lt;G1800*(1-Assumptions!$B$10),"OVERPAID","FAIR")))</f>
        <v>FAIR</v>
      </c>
      <c r="K1800" s="5" t="n">
        <v>57</v>
      </c>
    </row>
    <row r="1801" customFormat="false" ht="15" hidden="false" customHeight="false" outlineLevel="0" collapsed="false">
      <c r="A1801" s="5" t="n">
        <v>2023</v>
      </c>
      <c r="B1801" s="5" t="s">
        <v>452</v>
      </c>
      <c r="C1801" s="5" t="s">
        <v>485</v>
      </c>
      <c r="D1801" s="5" t="n">
        <v>20</v>
      </c>
      <c r="E1801" s="13" t="n">
        <v>4.24</v>
      </c>
      <c r="F1801" s="14" t="n">
        <f aca="false">E1801*Assumptions!$D$6</f>
        <v>634.419582819098</v>
      </c>
      <c r="G1801" s="14" t="n">
        <v>680</v>
      </c>
      <c r="H1801" s="14" t="n">
        <v>950</v>
      </c>
      <c r="I1801" s="14" t="n">
        <f aca="false">F1801-(G1801+H1801)/2</f>
        <v>-180.580417180902</v>
      </c>
      <c r="J1801" s="5" t="str">
        <f aca="false">IF(D1801&lt;8,"LOW SAMPLE",IF(F1801&gt;H1801*(1+Assumptions!$B$10),"UNDERPAID",IF(F1801&lt;G1801*(1-Assumptions!$B$10),"OVERPAID","FAIR")))</f>
        <v>FAIR</v>
      </c>
      <c r="K1801" s="5" t="n">
        <v>170</v>
      </c>
    </row>
    <row r="1802" customFormat="false" ht="15" hidden="false" customHeight="false" outlineLevel="0" collapsed="false">
      <c r="A1802" s="5" t="n">
        <v>2023</v>
      </c>
      <c r="B1802" s="5" t="s">
        <v>452</v>
      </c>
      <c r="C1802" s="5" t="s">
        <v>487</v>
      </c>
      <c r="D1802" s="5" t="n">
        <v>14</v>
      </c>
      <c r="E1802" s="13" t="n">
        <v>1.87</v>
      </c>
      <c r="F1802" s="14" t="n">
        <f aca="false">E1802*Assumptions!$D$6</f>
        <v>279.802976384838</v>
      </c>
      <c r="G1802" s="14" t="n">
        <v>250</v>
      </c>
      <c r="H1802" s="14" t="n">
        <v>380</v>
      </c>
      <c r="I1802" s="14" t="n">
        <f aca="false">F1802-(G1802+H1802)/2</f>
        <v>-35.197023615162</v>
      </c>
      <c r="J1802" s="5" t="str">
        <f aca="false">IF(D1802&lt;8,"LOW SAMPLE",IF(F1802&gt;H1802*(1+Assumptions!$B$10),"UNDERPAID",IF(F1802&lt;G1802*(1-Assumptions!$B$10),"OVERPAID","FAIR")))</f>
        <v>FAIR</v>
      </c>
      <c r="K1802" s="5" t="n">
        <v>31</v>
      </c>
    </row>
    <row r="1803" customFormat="false" ht="15" hidden="false" customHeight="false" outlineLevel="0" collapsed="false">
      <c r="A1803" s="5" t="n">
        <v>2023</v>
      </c>
      <c r="B1803" s="5" t="s">
        <v>452</v>
      </c>
      <c r="C1803" s="5" t="s">
        <v>489</v>
      </c>
      <c r="D1803" s="5" t="n">
        <v>9</v>
      </c>
      <c r="E1803" s="13" t="n">
        <v>1.6</v>
      </c>
      <c r="F1803" s="14" t="n">
        <f aca="false">E1803*Assumptions!$D$6</f>
        <v>239.40361615815</v>
      </c>
      <c r="G1803" s="14" t="n">
        <v>140</v>
      </c>
      <c r="H1803" s="14" t="n">
        <v>250</v>
      </c>
      <c r="I1803" s="14" t="n">
        <f aca="false">F1803-(G1803+H1803)/2</f>
        <v>44.4036161581502</v>
      </c>
      <c r="J1803" s="5" t="str">
        <f aca="false">IF(D1803&lt;8,"LOW SAMPLE",IF(F1803&gt;H1803*(1+Assumptions!$B$10),"UNDERPAID",IF(F1803&lt;G1803*(1-Assumptions!$B$10),"OVERPAID","FAIR")))</f>
        <v>FAIR</v>
      </c>
      <c r="K1803" s="5" t="n">
        <v>24</v>
      </c>
    </row>
    <row r="1804" customFormat="false" ht="15" hidden="false" customHeight="false" outlineLevel="0" collapsed="false">
      <c r="A1804" s="5" t="n">
        <v>2023</v>
      </c>
      <c r="B1804" s="5" t="s">
        <v>452</v>
      </c>
      <c r="C1804" s="5" t="s">
        <v>490</v>
      </c>
      <c r="D1804" s="5" t="n">
        <v>16</v>
      </c>
      <c r="E1804" s="13" t="n">
        <v>2.81</v>
      </c>
      <c r="F1804" s="14" t="n">
        <f aca="false">E1804*Assumptions!$D$6</f>
        <v>420.452600877751</v>
      </c>
      <c r="G1804" s="14" t="n">
        <v>140</v>
      </c>
      <c r="H1804" s="14" t="n">
        <v>250</v>
      </c>
      <c r="I1804" s="14" t="n">
        <f aca="false">F1804-(G1804+H1804)/2</f>
        <v>225.452600877751</v>
      </c>
      <c r="J1804" s="5" t="str">
        <f aca="false">IF(D1804&lt;8,"LOW SAMPLE",IF(F1804&gt;H1804*(1+Assumptions!$B$10),"UNDERPAID",IF(F1804&lt;G1804*(1-Assumptions!$B$10),"OVERPAID","FAIR")))</f>
        <v>UNDERPAID</v>
      </c>
      <c r="K1804" s="5" t="n">
        <v>16</v>
      </c>
    </row>
    <row r="1805" customFormat="false" ht="15" hidden="false" customHeight="false" outlineLevel="0" collapsed="false">
      <c r="A1805" s="5" t="n">
        <v>2023</v>
      </c>
      <c r="B1805" s="5" t="s">
        <v>491</v>
      </c>
      <c r="C1805" s="5" t="s">
        <v>492</v>
      </c>
      <c r="D1805" s="5" t="n">
        <v>24</v>
      </c>
      <c r="E1805" s="13" t="n">
        <v>4.49</v>
      </c>
      <c r="F1805" s="14" t="n">
        <f aca="false">E1805*Assumptions!$D$6</f>
        <v>671.826397843809</v>
      </c>
      <c r="G1805" s="14" t="n">
        <v>500</v>
      </c>
      <c r="H1805" s="14" t="n">
        <v>680</v>
      </c>
      <c r="I1805" s="14" t="n">
        <f aca="false">F1805-(G1805+H1805)/2</f>
        <v>81.826397843809</v>
      </c>
      <c r="J1805" s="5" t="str">
        <f aca="false">IF(D1805&lt;8,"LOW SAMPLE",IF(F1805&gt;H1805*(1+Assumptions!$B$10),"UNDERPAID",IF(F1805&lt;G1805*(1-Assumptions!$B$10),"OVERPAID","FAIR")))</f>
        <v>FAIR</v>
      </c>
      <c r="K1805" s="5" t="n">
        <v>107</v>
      </c>
    </row>
    <row r="1806" customFormat="false" ht="15" hidden="false" customHeight="false" outlineLevel="0" collapsed="false">
      <c r="A1806" s="5" t="n">
        <v>2023</v>
      </c>
      <c r="B1806" s="5" t="s">
        <v>491</v>
      </c>
      <c r="C1806" s="5" t="s">
        <v>791</v>
      </c>
      <c r="D1806" s="5" t="n">
        <v>4</v>
      </c>
      <c r="E1806" s="13" t="n">
        <v>0.65</v>
      </c>
      <c r="F1806" s="14" t="n">
        <f aca="false">E1806*Assumptions!$D$6</f>
        <v>97.2577190642485</v>
      </c>
      <c r="G1806" s="14" t="n">
        <v>140</v>
      </c>
      <c r="H1806" s="14" t="n">
        <v>250</v>
      </c>
      <c r="I1806" s="14" t="n">
        <f aca="false">F1806-(G1806+H1806)/2</f>
        <v>-97.7422809357515</v>
      </c>
      <c r="J1806" s="5" t="str">
        <f aca="false">IF(D1806&lt;8,"LOW SAMPLE",IF(F1806&gt;H1806*(1+Assumptions!$B$10),"UNDERPAID",IF(F1806&lt;G1806*(1-Assumptions!$B$10),"OVERPAID","FAIR")))</f>
        <v>LOW SAMPLE</v>
      </c>
      <c r="K1806" s="5" t="n">
        <v>2</v>
      </c>
    </row>
    <row r="1807" customFormat="false" ht="15" hidden="false" customHeight="false" outlineLevel="0" collapsed="false">
      <c r="A1807" s="5" t="n">
        <v>2023</v>
      </c>
      <c r="B1807" s="5" t="s">
        <v>491</v>
      </c>
      <c r="C1807" s="5" t="s">
        <v>494</v>
      </c>
      <c r="D1807" s="5" t="n">
        <v>14</v>
      </c>
      <c r="E1807" s="13" t="n">
        <v>3.64</v>
      </c>
      <c r="F1807" s="14" t="n">
        <f aca="false">E1807*Assumptions!$D$6</f>
        <v>544.643226759792</v>
      </c>
      <c r="G1807" s="14" t="n">
        <v>680</v>
      </c>
      <c r="H1807" s="14" t="n">
        <v>950</v>
      </c>
      <c r="I1807" s="14" t="n">
        <f aca="false">F1807-(G1807+H1807)/2</f>
        <v>-270.356773240208</v>
      </c>
      <c r="J1807" s="5" t="str">
        <f aca="false">IF(D1807&lt;8,"LOW SAMPLE",IF(F1807&gt;H1807*(1+Assumptions!$B$10),"UNDERPAID",IF(F1807&lt;G1807*(1-Assumptions!$B$10),"OVERPAID","FAIR")))</f>
        <v>OVERPAID</v>
      </c>
      <c r="K1807" s="5" t="n">
        <v>140</v>
      </c>
    </row>
    <row r="1808" customFormat="false" ht="15" hidden="false" customHeight="false" outlineLevel="0" collapsed="false">
      <c r="A1808" s="5" t="n">
        <v>2023</v>
      </c>
      <c r="B1808" s="5" t="s">
        <v>491</v>
      </c>
      <c r="C1808" s="5" t="s">
        <v>495</v>
      </c>
      <c r="D1808" s="5" t="n">
        <v>25</v>
      </c>
      <c r="E1808" s="13" t="n">
        <v>6.62</v>
      </c>
      <c r="F1808" s="14" t="n">
        <f aca="false">E1808*Assumptions!$D$6</f>
        <v>990.532461854346</v>
      </c>
      <c r="G1808" s="14" t="n">
        <v>500</v>
      </c>
      <c r="H1808" s="14" t="n">
        <v>680</v>
      </c>
      <c r="I1808" s="14" t="n">
        <f aca="false">F1808-(G1808+H1808)/2</f>
        <v>400.532461854346</v>
      </c>
      <c r="J1808" s="5" t="str">
        <f aca="false">IF(D1808&lt;8,"LOW SAMPLE",IF(F1808&gt;H1808*(1+Assumptions!$B$10),"UNDERPAID",IF(F1808&lt;G1808*(1-Assumptions!$B$10),"OVERPAID","FAIR")))</f>
        <v>UNDERPAID</v>
      </c>
      <c r="K1808" s="5" t="n">
        <v>81</v>
      </c>
    </row>
    <row r="1809" customFormat="false" ht="15" hidden="false" customHeight="false" outlineLevel="0" collapsed="false">
      <c r="A1809" s="5" t="n">
        <v>2023</v>
      </c>
      <c r="B1809" s="5" t="s">
        <v>491</v>
      </c>
      <c r="C1809" s="5" t="s">
        <v>496</v>
      </c>
      <c r="D1809" s="5" t="n">
        <v>25</v>
      </c>
      <c r="E1809" s="13" t="n">
        <v>6.53</v>
      </c>
      <c r="F1809" s="14" t="n">
        <f aca="false">E1809*Assumptions!$D$6</f>
        <v>977.066008445451</v>
      </c>
      <c r="G1809" s="14" t="n">
        <v>680</v>
      </c>
      <c r="H1809" s="14" t="n">
        <v>950</v>
      </c>
      <c r="I1809" s="14" t="n">
        <f aca="false">F1809-(G1809+H1809)/2</f>
        <v>162.066008445451</v>
      </c>
      <c r="J1809" s="5" t="str">
        <f aca="false">IF(D1809&lt;8,"LOW SAMPLE",IF(F1809&gt;H1809*(1+Assumptions!$B$10),"UNDERPAID",IF(F1809&lt;G1809*(1-Assumptions!$B$10),"OVERPAID","FAIR")))</f>
        <v>FAIR</v>
      </c>
      <c r="K1809" s="5" t="n">
        <v>121</v>
      </c>
    </row>
    <row r="1810" customFormat="false" ht="15" hidden="false" customHeight="false" outlineLevel="0" collapsed="false">
      <c r="A1810" s="5" t="n">
        <v>2023</v>
      </c>
      <c r="B1810" s="5" t="s">
        <v>491</v>
      </c>
      <c r="C1810" s="5" t="s">
        <v>879</v>
      </c>
      <c r="D1810" s="5" t="n">
        <v>3</v>
      </c>
      <c r="E1810" s="13" t="n">
        <v>0.38</v>
      </c>
      <c r="F1810" s="14" t="n">
        <f aca="false">E1810*Assumptions!$D$6</f>
        <v>56.8583588375607</v>
      </c>
      <c r="G1810" s="14" t="n">
        <v>250</v>
      </c>
      <c r="H1810" s="14" t="n">
        <v>380</v>
      </c>
      <c r="I1810" s="14" t="n">
        <f aca="false">F1810-(G1810+H1810)/2</f>
        <v>-258.141641162439</v>
      </c>
      <c r="J1810" s="5" t="str">
        <f aca="false">IF(D1810&lt;8,"LOW SAMPLE",IF(F1810&gt;H1810*(1+Assumptions!$B$10),"UNDERPAID",IF(F1810&lt;G1810*(1-Assumptions!$B$10),"OVERPAID","FAIR")))</f>
        <v>LOW SAMPLE</v>
      </c>
      <c r="K1810" s="5" t="n">
        <v>0</v>
      </c>
    </row>
    <row r="1811" customFormat="false" ht="15" hidden="false" customHeight="false" outlineLevel="0" collapsed="false">
      <c r="A1811" s="5" t="n">
        <v>2023</v>
      </c>
      <c r="B1811" s="5" t="s">
        <v>491</v>
      </c>
      <c r="C1811" s="5" t="s">
        <v>497</v>
      </c>
      <c r="D1811" s="5" t="n">
        <v>23</v>
      </c>
      <c r="E1811" s="13" t="n">
        <v>3.78</v>
      </c>
      <c r="F1811" s="14" t="n">
        <f aca="false">E1811*Assumptions!$D$6</f>
        <v>565.59104317363</v>
      </c>
      <c r="G1811" s="14" t="n">
        <v>500</v>
      </c>
      <c r="H1811" s="14" t="n">
        <v>680</v>
      </c>
      <c r="I1811" s="14" t="n">
        <f aca="false">F1811-(G1811+H1811)/2</f>
        <v>-24.4089568263702</v>
      </c>
      <c r="J1811" s="5" t="str">
        <f aca="false">IF(D1811&lt;8,"LOW SAMPLE",IF(F1811&gt;H1811*(1+Assumptions!$B$10),"UNDERPAID",IF(F1811&lt;G1811*(1-Assumptions!$B$10),"OVERPAID","FAIR")))</f>
        <v>FAIR</v>
      </c>
      <c r="K1811" s="5" t="n">
        <v>150</v>
      </c>
    </row>
    <row r="1812" customFormat="false" ht="15" hidden="false" customHeight="false" outlineLevel="0" collapsed="false">
      <c r="A1812" s="5" t="n">
        <v>2023</v>
      </c>
      <c r="B1812" s="5" t="s">
        <v>491</v>
      </c>
      <c r="C1812" s="5" t="s">
        <v>498</v>
      </c>
      <c r="D1812" s="5" t="n">
        <v>21</v>
      </c>
      <c r="E1812" s="13" t="n">
        <v>3.34</v>
      </c>
      <c r="F1812" s="14" t="n">
        <f aca="false">E1812*Assumptions!$D$6</f>
        <v>499.755048730138</v>
      </c>
      <c r="G1812" s="14" t="n">
        <v>140</v>
      </c>
      <c r="H1812" s="14" t="n">
        <v>250</v>
      </c>
      <c r="I1812" s="14" t="n">
        <f aca="false">F1812-(G1812+H1812)/2</f>
        <v>304.755048730138</v>
      </c>
      <c r="J1812" s="5" t="str">
        <f aca="false">IF(D1812&lt;8,"LOW SAMPLE",IF(F1812&gt;H1812*(1+Assumptions!$B$10),"UNDERPAID",IF(F1812&lt;G1812*(1-Assumptions!$B$10),"OVERPAID","FAIR")))</f>
        <v>UNDERPAID</v>
      </c>
      <c r="K1812" s="5" t="n">
        <v>1</v>
      </c>
    </row>
    <row r="1813" customFormat="false" ht="15" hidden="false" customHeight="false" outlineLevel="0" collapsed="false">
      <c r="A1813" s="5" t="n">
        <v>2023</v>
      </c>
      <c r="B1813" s="5" t="s">
        <v>491</v>
      </c>
      <c r="C1813" s="5" t="s">
        <v>309</v>
      </c>
      <c r="D1813" s="5" t="n">
        <v>10</v>
      </c>
      <c r="E1813" s="13" t="n">
        <v>1.13</v>
      </c>
      <c r="F1813" s="14" t="n">
        <f aca="false">E1813*Assumptions!$D$6</f>
        <v>169.078803911694</v>
      </c>
      <c r="G1813" s="14" t="n">
        <v>140</v>
      </c>
      <c r="H1813" s="14" t="n">
        <v>250</v>
      </c>
      <c r="I1813" s="14" t="n">
        <f aca="false">F1813-(G1813+H1813)/2</f>
        <v>-25.9211960883065</v>
      </c>
      <c r="J1813" s="5" t="str">
        <f aca="false">IF(D1813&lt;8,"LOW SAMPLE",IF(F1813&gt;H1813*(1+Assumptions!$B$10),"UNDERPAID",IF(F1813&lt;G1813*(1-Assumptions!$B$10),"OVERPAID","FAIR")))</f>
        <v>FAIR</v>
      </c>
      <c r="K1813" s="5" t="n">
        <v>7</v>
      </c>
    </row>
    <row r="1814" customFormat="false" ht="15" hidden="false" customHeight="false" outlineLevel="0" collapsed="false">
      <c r="A1814" s="5" t="n">
        <v>2023</v>
      </c>
      <c r="B1814" s="5" t="s">
        <v>491</v>
      </c>
      <c r="C1814" s="5" t="s">
        <v>792</v>
      </c>
      <c r="D1814" s="5" t="n">
        <v>7</v>
      </c>
      <c r="E1814" s="13" t="n">
        <v>0.71</v>
      </c>
      <c r="F1814" s="14" t="n">
        <f aca="false">E1814*Assumptions!$D$6</f>
        <v>106.235354670179</v>
      </c>
      <c r="G1814" s="14" t="n">
        <v>140</v>
      </c>
      <c r="H1814" s="14" t="n">
        <v>250</v>
      </c>
      <c r="I1814" s="14" t="n">
        <f aca="false">F1814-(G1814+H1814)/2</f>
        <v>-88.7646453298209</v>
      </c>
      <c r="J1814" s="5" t="str">
        <f aca="false">IF(D1814&lt;8,"LOW SAMPLE",IF(F1814&gt;H1814*(1+Assumptions!$B$10),"UNDERPAID",IF(F1814&lt;G1814*(1-Assumptions!$B$10),"OVERPAID","FAIR")))</f>
        <v>LOW SAMPLE</v>
      </c>
      <c r="K1814" s="5" t="n">
        <v>11</v>
      </c>
    </row>
    <row r="1815" customFormat="false" ht="15" hidden="false" customHeight="false" outlineLevel="0" collapsed="false">
      <c r="A1815" s="5" t="n">
        <v>2023</v>
      </c>
      <c r="B1815" s="5" t="s">
        <v>491</v>
      </c>
      <c r="C1815" s="5" t="s">
        <v>793</v>
      </c>
      <c r="D1815" s="5" t="n">
        <v>5</v>
      </c>
      <c r="E1815" s="13" t="n">
        <v>0.38</v>
      </c>
      <c r="F1815" s="14" t="n">
        <f aca="false">E1815*Assumptions!$D$6</f>
        <v>56.8583588375607</v>
      </c>
      <c r="G1815" s="14" t="n">
        <v>140</v>
      </c>
      <c r="H1815" s="14" t="n">
        <v>250</v>
      </c>
      <c r="I1815" s="14" t="n">
        <f aca="false">F1815-(G1815+H1815)/2</f>
        <v>-138.141641162439</v>
      </c>
      <c r="J1815" s="5" t="str">
        <f aca="false">IF(D1815&lt;8,"LOW SAMPLE",IF(F1815&gt;H1815*(1+Assumptions!$B$10),"UNDERPAID",IF(F1815&lt;G1815*(1-Assumptions!$B$10),"OVERPAID","FAIR")))</f>
        <v>LOW SAMPLE</v>
      </c>
      <c r="K1815" s="5" t="n">
        <v>8</v>
      </c>
    </row>
    <row r="1816" customFormat="false" ht="15" hidden="false" customHeight="false" outlineLevel="0" collapsed="false">
      <c r="A1816" s="5" t="n">
        <v>2023</v>
      </c>
      <c r="B1816" s="5" t="s">
        <v>491</v>
      </c>
      <c r="C1816" s="5" t="s">
        <v>786</v>
      </c>
      <c r="D1816" s="5" t="n">
        <v>24</v>
      </c>
      <c r="E1816" s="13" t="n">
        <v>5.36</v>
      </c>
      <c r="F1816" s="14" t="n">
        <f aca="false">E1816*Assumptions!$D$6</f>
        <v>802.002114129803</v>
      </c>
      <c r="G1816" s="14" t="n">
        <v>380</v>
      </c>
      <c r="H1816" s="14" t="n">
        <v>500</v>
      </c>
      <c r="I1816" s="14" t="n">
        <f aca="false">F1816-(G1816+H1816)/2</f>
        <v>362.002114129803</v>
      </c>
      <c r="J1816" s="5" t="str">
        <f aca="false">IF(D1816&lt;8,"LOW SAMPLE",IF(F1816&gt;H1816*(1+Assumptions!$B$10),"UNDERPAID",IF(F1816&lt;G1816*(1-Assumptions!$B$10),"OVERPAID","FAIR")))</f>
        <v>UNDERPAID</v>
      </c>
      <c r="K1816" s="5" t="n">
        <v>17</v>
      </c>
    </row>
    <row r="1817" customFormat="false" ht="15" hidden="false" customHeight="false" outlineLevel="0" collapsed="false">
      <c r="A1817" s="5" t="n">
        <v>2023</v>
      </c>
      <c r="B1817" s="5" t="s">
        <v>491</v>
      </c>
      <c r="C1817" s="5" t="s">
        <v>501</v>
      </c>
      <c r="D1817" s="5" t="n">
        <v>22</v>
      </c>
      <c r="E1817" s="13" t="n">
        <v>2.69</v>
      </c>
      <c r="F1817" s="14" t="n">
        <f aca="false">E1817*Assumptions!$D$6</f>
        <v>402.49732966589</v>
      </c>
      <c r="G1817" s="14" t="n">
        <v>140</v>
      </c>
      <c r="H1817" s="14" t="n">
        <v>250</v>
      </c>
      <c r="I1817" s="14" t="n">
        <f aca="false">F1817-(G1817+H1817)/2</f>
        <v>207.49732966589</v>
      </c>
      <c r="J1817" s="5" t="str">
        <f aca="false">IF(D1817&lt;8,"LOW SAMPLE",IF(F1817&gt;H1817*(1+Assumptions!$B$10),"UNDERPAID",IF(F1817&lt;G1817*(1-Assumptions!$B$10),"OVERPAID","FAIR")))</f>
        <v>UNDERPAID</v>
      </c>
      <c r="K1817" s="5" t="n">
        <v>10</v>
      </c>
    </row>
    <row r="1818" customFormat="false" ht="15" hidden="false" customHeight="false" outlineLevel="0" collapsed="false">
      <c r="A1818" s="5" t="n">
        <v>2023</v>
      </c>
      <c r="B1818" s="5" t="s">
        <v>491</v>
      </c>
      <c r="C1818" s="5" t="s">
        <v>280</v>
      </c>
      <c r="D1818" s="5" t="n">
        <v>22</v>
      </c>
      <c r="E1818" s="13" t="n">
        <v>5.36</v>
      </c>
      <c r="F1818" s="14" t="n">
        <f aca="false">E1818*Assumptions!$D$6</f>
        <v>802.002114129803</v>
      </c>
      <c r="G1818" s="14" t="n">
        <v>500</v>
      </c>
      <c r="H1818" s="14" t="n">
        <v>680</v>
      </c>
      <c r="I1818" s="14" t="n">
        <f aca="false">F1818-(G1818+H1818)/2</f>
        <v>212.002114129803</v>
      </c>
      <c r="J1818" s="5" t="str">
        <f aca="false">IF(D1818&lt;8,"LOW SAMPLE",IF(F1818&gt;H1818*(1+Assumptions!$B$10),"UNDERPAID",IF(F1818&lt;G1818*(1-Assumptions!$B$10),"OVERPAID","FAIR")))</f>
        <v>UNDERPAID</v>
      </c>
      <c r="K1818" s="5" t="n">
        <v>86</v>
      </c>
    </row>
    <row r="1819" customFormat="false" ht="15" hidden="false" customHeight="false" outlineLevel="0" collapsed="false">
      <c r="A1819" s="5" t="n">
        <v>2023</v>
      </c>
      <c r="B1819" s="5" t="s">
        <v>491</v>
      </c>
      <c r="C1819" s="5" t="s">
        <v>794</v>
      </c>
      <c r="D1819" s="5" t="n">
        <v>3</v>
      </c>
      <c r="E1819" s="13" t="n">
        <v>0.17</v>
      </c>
      <c r="F1819" s="14" t="n">
        <f aca="false">E1819*Assumptions!$D$6</f>
        <v>25.4366342168035</v>
      </c>
      <c r="G1819" s="14" t="n">
        <v>140</v>
      </c>
      <c r="H1819" s="14" t="n">
        <v>250</v>
      </c>
      <c r="I1819" s="14" t="n">
        <f aca="false">F1819-(G1819+H1819)/2</f>
        <v>-169.563365783197</v>
      </c>
      <c r="J1819" s="5" t="str">
        <f aca="false">IF(D1819&lt;8,"LOW SAMPLE",IF(F1819&gt;H1819*(1+Assumptions!$B$10),"UNDERPAID",IF(F1819&lt;G1819*(1-Assumptions!$B$10),"OVERPAID","FAIR")))</f>
        <v>LOW SAMPLE</v>
      </c>
      <c r="K1819" s="5" t="n">
        <v>1</v>
      </c>
    </row>
    <row r="1820" customFormat="false" ht="15" hidden="false" customHeight="false" outlineLevel="0" collapsed="false">
      <c r="A1820" s="5" t="n">
        <v>2023</v>
      </c>
      <c r="B1820" s="5" t="s">
        <v>491</v>
      </c>
      <c r="C1820" s="5" t="s">
        <v>502</v>
      </c>
      <c r="D1820" s="5" t="n">
        <v>22</v>
      </c>
      <c r="E1820" s="13" t="n">
        <v>3.64</v>
      </c>
      <c r="F1820" s="14" t="n">
        <f aca="false">E1820*Assumptions!$D$6</f>
        <v>544.643226759792</v>
      </c>
      <c r="G1820" s="14" t="n">
        <v>380</v>
      </c>
      <c r="H1820" s="14" t="n">
        <v>500</v>
      </c>
      <c r="I1820" s="14" t="n">
        <f aca="false">F1820-(G1820+H1820)/2</f>
        <v>104.643226759792</v>
      </c>
      <c r="J1820" s="5" t="str">
        <f aca="false">IF(D1820&lt;8,"LOW SAMPLE",IF(F1820&gt;H1820*(1+Assumptions!$B$10),"UNDERPAID",IF(F1820&lt;G1820*(1-Assumptions!$B$10),"OVERPAID","FAIR")))</f>
        <v>FAIR</v>
      </c>
      <c r="K1820" s="5" t="n">
        <v>49</v>
      </c>
    </row>
    <row r="1821" customFormat="false" ht="15" hidden="false" customHeight="false" outlineLevel="0" collapsed="false">
      <c r="A1821" s="5" t="n">
        <v>2023</v>
      </c>
      <c r="B1821" s="5" t="s">
        <v>491</v>
      </c>
      <c r="C1821" s="5" t="s">
        <v>504</v>
      </c>
      <c r="D1821" s="5" t="n">
        <v>15</v>
      </c>
      <c r="E1821" s="13" t="n">
        <v>2.32</v>
      </c>
      <c r="F1821" s="14" t="n">
        <f aca="false">E1821*Assumptions!$D$6</f>
        <v>347.135243429318</v>
      </c>
      <c r="G1821" s="14" t="n">
        <v>250</v>
      </c>
      <c r="H1821" s="14" t="n">
        <v>380</v>
      </c>
      <c r="I1821" s="14" t="n">
        <f aca="false">F1821-(G1821+H1821)/2</f>
        <v>32.1352434293177</v>
      </c>
      <c r="J1821" s="5" t="str">
        <f aca="false">IF(D1821&lt;8,"LOW SAMPLE",IF(F1821&gt;H1821*(1+Assumptions!$B$10),"UNDERPAID",IF(F1821&lt;G1821*(1-Assumptions!$B$10),"OVERPAID","FAIR")))</f>
        <v>FAIR</v>
      </c>
      <c r="K1821" s="5" t="n">
        <v>20</v>
      </c>
    </row>
    <row r="1822" customFormat="false" ht="15" hidden="false" customHeight="false" outlineLevel="0" collapsed="false">
      <c r="A1822" s="5" t="n">
        <v>2023</v>
      </c>
      <c r="B1822" s="5" t="s">
        <v>491</v>
      </c>
      <c r="C1822" s="5" t="s">
        <v>506</v>
      </c>
      <c r="D1822" s="5" t="n">
        <v>24</v>
      </c>
      <c r="E1822" s="13" t="n">
        <v>4.25</v>
      </c>
      <c r="F1822" s="14" t="n">
        <f aca="false">E1822*Assumptions!$D$6</f>
        <v>635.915855420087</v>
      </c>
      <c r="G1822" s="14" t="n">
        <v>250</v>
      </c>
      <c r="H1822" s="14" t="n">
        <v>380</v>
      </c>
      <c r="I1822" s="14" t="n">
        <f aca="false">F1822-(G1822+H1822)/2</f>
        <v>320.915855420087</v>
      </c>
      <c r="J1822" s="5" t="str">
        <f aca="false">IF(D1822&lt;8,"LOW SAMPLE",IF(F1822&gt;H1822*(1+Assumptions!$B$10),"UNDERPAID",IF(F1822&lt;G1822*(1-Assumptions!$B$10),"OVERPAID","FAIR")))</f>
        <v>UNDERPAID</v>
      </c>
      <c r="K1822" s="5" t="n">
        <v>33</v>
      </c>
    </row>
    <row r="1823" customFormat="false" ht="15" hidden="false" customHeight="false" outlineLevel="0" collapsed="false">
      <c r="A1823" s="5" t="n">
        <v>2023</v>
      </c>
      <c r="B1823" s="5" t="s">
        <v>491</v>
      </c>
      <c r="C1823" s="5" t="s">
        <v>507</v>
      </c>
      <c r="D1823" s="5" t="n">
        <v>2</v>
      </c>
      <c r="E1823" s="13" t="n">
        <v>0.32</v>
      </c>
      <c r="F1823" s="14" t="n">
        <f aca="false">E1823*Assumptions!$D$6</f>
        <v>47.88072323163</v>
      </c>
      <c r="G1823" s="14" t="n">
        <v>380</v>
      </c>
      <c r="H1823" s="14" t="n">
        <v>500</v>
      </c>
      <c r="I1823" s="14" t="n">
        <f aca="false">F1823-(G1823+H1823)/2</f>
        <v>-392.11927676837</v>
      </c>
      <c r="J1823" s="5" t="str">
        <f aca="false">IF(D1823&lt;8,"LOW SAMPLE",IF(F1823&gt;H1823*(1+Assumptions!$B$10),"UNDERPAID",IF(F1823&lt;G1823*(1-Assumptions!$B$10),"OVERPAID","FAIR")))</f>
        <v>LOW SAMPLE</v>
      </c>
      <c r="K1823" s="5" t="n">
        <v>47</v>
      </c>
    </row>
    <row r="1824" customFormat="false" ht="15" hidden="false" customHeight="false" outlineLevel="0" collapsed="false">
      <c r="A1824" s="5" t="n">
        <v>2023</v>
      </c>
      <c r="B1824" s="5" t="s">
        <v>491</v>
      </c>
      <c r="C1824" s="5" t="s">
        <v>880</v>
      </c>
      <c r="D1824" s="5" t="n">
        <v>13</v>
      </c>
      <c r="E1824" s="13" t="n">
        <v>2.07</v>
      </c>
      <c r="F1824" s="14" t="n">
        <f aca="false">E1824*Assumptions!$D$6</f>
        <v>309.728428404607</v>
      </c>
      <c r="G1824" s="14" t="n">
        <v>250</v>
      </c>
      <c r="H1824" s="14" t="n">
        <v>380</v>
      </c>
      <c r="I1824" s="14" t="n">
        <f aca="false">F1824-(G1824+H1824)/2</f>
        <v>-5.27157159539325</v>
      </c>
      <c r="J1824" s="5" t="str">
        <f aca="false">IF(D1824&lt;8,"LOW SAMPLE",IF(F1824&gt;H1824*(1+Assumptions!$B$10),"UNDERPAID",IF(F1824&lt;G1824*(1-Assumptions!$B$10),"OVERPAID","FAIR")))</f>
        <v>FAIR</v>
      </c>
      <c r="K1824" s="5" t="n">
        <v>0</v>
      </c>
    </row>
    <row r="1825" customFormat="false" ht="15" hidden="false" customHeight="false" outlineLevel="0" collapsed="false">
      <c r="A1825" s="5" t="n">
        <v>2023</v>
      </c>
      <c r="B1825" s="5" t="s">
        <v>491</v>
      </c>
      <c r="C1825" s="5" t="s">
        <v>508</v>
      </c>
      <c r="D1825" s="5" t="n">
        <v>25</v>
      </c>
      <c r="E1825" s="13" t="n">
        <v>4.86</v>
      </c>
      <c r="F1825" s="14" t="n">
        <f aca="false">E1825*Assumptions!$D$6</f>
        <v>727.188484080381</v>
      </c>
      <c r="G1825" s="14" t="n">
        <v>950</v>
      </c>
      <c r="H1825" s="14" t="n">
        <v>1300</v>
      </c>
      <c r="I1825" s="14" t="n">
        <f aca="false">F1825-(G1825+H1825)/2</f>
        <v>-397.811515919619</v>
      </c>
      <c r="J1825" s="5" t="str">
        <f aca="false">IF(D1825&lt;8,"LOW SAMPLE",IF(F1825&gt;H1825*(1+Assumptions!$B$10),"UNDERPAID",IF(F1825&lt;G1825*(1-Assumptions!$B$10),"OVERPAID","FAIR")))</f>
        <v>OVERPAID</v>
      </c>
      <c r="K1825" s="5" t="n">
        <v>154</v>
      </c>
    </row>
    <row r="1826" customFormat="false" ht="15" hidden="false" customHeight="false" outlineLevel="0" collapsed="false">
      <c r="A1826" s="5" t="n">
        <v>2023</v>
      </c>
      <c r="B1826" s="5" t="s">
        <v>491</v>
      </c>
      <c r="C1826" s="5" t="s">
        <v>509</v>
      </c>
      <c r="D1826" s="5" t="n">
        <v>3</v>
      </c>
      <c r="E1826" s="13" t="n">
        <v>0.25</v>
      </c>
      <c r="F1826" s="14" t="n">
        <f aca="false">E1826*Assumptions!$D$6</f>
        <v>37.406815024711</v>
      </c>
      <c r="G1826" s="14" t="n">
        <v>250</v>
      </c>
      <c r="H1826" s="14" t="n">
        <v>380</v>
      </c>
      <c r="I1826" s="14" t="n">
        <f aca="false">F1826-(G1826+H1826)/2</f>
        <v>-277.593184975289</v>
      </c>
      <c r="J1826" s="5" t="str">
        <f aca="false">IF(D1826&lt;8,"LOW SAMPLE",IF(F1826&gt;H1826*(1+Assumptions!$B$10),"UNDERPAID",IF(F1826&lt;G1826*(1-Assumptions!$B$10),"OVERPAID","FAIR")))</f>
        <v>LOW SAMPLE</v>
      </c>
      <c r="K1826" s="5" t="n">
        <v>93</v>
      </c>
    </row>
    <row r="1827" customFormat="false" ht="15" hidden="false" customHeight="false" outlineLevel="0" collapsed="false">
      <c r="A1827" s="5" t="n">
        <v>2023</v>
      </c>
      <c r="B1827" s="5" t="s">
        <v>491</v>
      </c>
      <c r="C1827" s="5" t="s">
        <v>328</v>
      </c>
      <c r="D1827" s="5" t="n">
        <v>3</v>
      </c>
      <c r="E1827" s="13" t="n">
        <v>0.4</v>
      </c>
      <c r="F1827" s="14" t="n">
        <f aca="false">E1827*Assumptions!$D$6</f>
        <v>59.8509040395376</v>
      </c>
      <c r="G1827" s="14" t="n">
        <v>250</v>
      </c>
      <c r="H1827" s="14" t="n">
        <v>380</v>
      </c>
      <c r="I1827" s="14" t="n">
        <f aca="false">F1827-(G1827+H1827)/2</f>
        <v>-255.149095960462</v>
      </c>
      <c r="J1827" s="5" t="str">
        <f aca="false">IF(D1827&lt;8,"LOW SAMPLE",IF(F1827&gt;H1827*(1+Assumptions!$B$10),"UNDERPAID",IF(F1827&lt;G1827*(1-Assumptions!$B$10),"OVERPAID","FAIR")))</f>
        <v>LOW SAMPLE</v>
      </c>
      <c r="K1827" s="5" t="n">
        <v>41</v>
      </c>
    </row>
    <row r="1828" customFormat="false" ht="15" hidden="false" customHeight="false" outlineLevel="0" collapsed="false">
      <c r="A1828" s="5" t="n">
        <v>2023</v>
      </c>
      <c r="B1828" s="5" t="s">
        <v>491</v>
      </c>
      <c r="C1828" s="5" t="s">
        <v>511</v>
      </c>
      <c r="D1828" s="5" t="n">
        <v>11</v>
      </c>
      <c r="E1828" s="13" t="n">
        <v>1.22</v>
      </c>
      <c r="F1828" s="14" t="n">
        <f aca="false">E1828*Assumptions!$D$6</f>
        <v>182.54525732059</v>
      </c>
      <c r="G1828" s="14" t="n">
        <v>380</v>
      </c>
      <c r="H1828" s="14" t="n">
        <v>500</v>
      </c>
      <c r="I1828" s="14" t="n">
        <f aca="false">F1828-(G1828+H1828)/2</f>
        <v>-257.454742679411</v>
      </c>
      <c r="J1828" s="5" t="str">
        <f aca="false">IF(D1828&lt;8,"LOW SAMPLE",IF(F1828&gt;H1828*(1+Assumptions!$B$10),"UNDERPAID",IF(F1828&lt;G1828*(1-Assumptions!$B$10),"OVERPAID","FAIR")))</f>
        <v>OVERPAID</v>
      </c>
      <c r="K1828" s="5" t="n">
        <v>82</v>
      </c>
    </row>
    <row r="1829" customFormat="false" ht="15" hidden="false" customHeight="false" outlineLevel="0" collapsed="false">
      <c r="A1829" s="5" t="n">
        <v>2023</v>
      </c>
      <c r="B1829" s="5" t="s">
        <v>491</v>
      </c>
      <c r="C1829" s="5" t="s">
        <v>513</v>
      </c>
      <c r="D1829" s="5" t="n">
        <v>22</v>
      </c>
      <c r="E1829" s="13" t="n">
        <v>4.06</v>
      </c>
      <c r="F1829" s="14" t="n">
        <f aca="false">E1829*Assumptions!$D$6</f>
        <v>607.486676001306</v>
      </c>
      <c r="G1829" s="14" t="n">
        <v>500</v>
      </c>
      <c r="H1829" s="14" t="n">
        <v>680</v>
      </c>
      <c r="I1829" s="14" t="n">
        <f aca="false">F1829-(G1829+H1829)/2</f>
        <v>17.486676001306</v>
      </c>
      <c r="J1829" s="5" t="str">
        <f aca="false">IF(D1829&lt;8,"LOW SAMPLE",IF(F1829&gt;H1829*(1+Assumptions!$B$10),"UNDERPAID",IF(F1829&lt;G1829*(1-Assumptions!$B$10),"OVERPAID","FAIR")))</f>
        <v>FAIR</v>
      </c>
      <c r="K1829" s="5" t="n">
        <v>117</v>
      </c>
    </row>
    <row r="1830" customFormat="false" ht="15" hidden="false" customHeight="false" outlineLevel="0" collapsed="false">
      <c r="A1830" s="5" t="n">
        <v>2023</v>
      </c>
      <c r="B1830" s="5" t="s">
        <v>491</v>
      </c>
      <c r="C1830" s="5" t="s">
        <v>795</v>
      </c>
      <c r="D1830" s="5" t="n">
        <v>4</v>
      </c>
      <c r="E1830" s="13" t="n">
        <v>0.53</v>
      </c>
      <c r="F1830" s="14" t="n">
        <f aca="false">E1830*Assumptions!$D$6</f>
        <v>79.3024478523873</v>
      </c>
      <c r="G1830" s="14" t="n">
        <v>140</v>
      </c>
      <c r="H1830" s="14" t="n">
        <v>250</v>
      </c>
      <c r="I1830" s="14" t="n">
        <f aca="false">F1830-(G1830+H1830)/2</f>
        <v>-115.697552147613</v>
      </c>
      <c r="J1830" s="5" t="str">
        <f aca="false">IF(D1830&lt;8,"LOW SAMPLE",IF(F1830&gt;H1830*(1+Assumptions!$B$10),"UNDERPAID",IF(F1830&lt;G1830*(1-Assumptions!$B$10),"OVERPAID","FAIR")))</f>
        <v>LOW SAMPLE</v>
      </c>
      <c r="K1830" s="5" t="n">
        <v>7</v>
      </c>
    </row>
    <row r="1831" customFormat="false" ht="15" hidden="false" customHeight="false" outlineLevel="0" collapsed="false">
      <c r="A1831" s="5" t="n">
        <v>2023</v>
      </c>
      <c r="B1831" s="5" t="s">
        <v>491</v>
      </c>
      <c r="C1831" s="5" t="s">
        <v>515</v>
      </c>
      <c r="D1831" s="5" t="n">
        <v>25</v>
      </c>
      <c r="E1831" s="13" t="n">
        <v>4.64</v>
      </c>
      <c r="F1831" s="14" t="n">
        <f aca="false">E1831*Assumptions!$D$6</f>
        <v>694.270486858635</v>
      </c>
      <c r="G1831" s="14" t="n">
        <v>500</v>
      </c>
      <c r="H1831" s="14" t="n">
        <v>680</v>
      </c>
      <c r="I1831" s="14" t="n">
        <f aca="false">F1831-(G1831+H1831)/2</f>
        <v>104.270486858635</v>
      </c>
      <c r="J1831" s="5" t="str">
        <f aca="false">IF(D1831&lt;8,"LOW SAMPLE",IF(F1831&gt;H1831*(1+Assumptions!$B$10),"UNDERPAID",IF(F1831&lt;G1831*(1-Assumptions!$B$10),"OVERPAID","FAIR")))</f>
        <v>FAIR</v>
      </c>
      <c r="K1831" s="5" t="n">
        <v>114</v>
      </c>
    </row>
    <row r="1832" customFormat="false" ht="15" hidden="false" customHeight="false" outlineLevel="0" collapsed="false">
      <c r="A1832" s="5" t="n">
        <v>2023</v>
      </c>
      <c r="B1832" s="5" t="s">
        <v>491</v>
      </c>
      <c r="C1832" s="5" t="s">
        <v>516</v>
      </c>
      <c r="D1832" s="5" t="n">
        <v>14</v>
      </c>
      <c r="E1832" s="13" t="n">
        <v>2.56</v>
      </c>
      <c r="F1832" s="14" t="n">
        <f aca="false">E1832*Assumptions!$D$6</f>
        <v>383.04578585304</v>
      </c>
      <c r="G1832" s="14" t="n">
        <v>380</v>
      </c>
      <c r="H1832" s="14" t="n">
        <v>500</v>
      </c>
      <c r="I1832" s="14" t="n">
        <f aca="false">F1832-(G1832+H1832)/2</f>
        <v>-56.9542141469597</v>
      </c>
      <c r="J1832" s="5" t="str">
        <f aca="false">IF(D1832&lt;8,"LOW SAMPLE",IF(F1832&gt;H1832*(1+Assumptions!$B$10),"UNDERPAID",IF(F1832&lt;G1832*(1-Assumptions!$B$10),"OVERPAID","FAIR")))</f>
        <v>FAIR</v>
      </c>
      <c r="K1832" s="5" t="n">
        <v>110</v>
      </c>
    </row>
    <row r="1833" customFormat="false" ht="15" hidden="false" customHeight="false" outlineLevel="0" collapsed="false">
      <c r="A1833" s="5" t="n">
        <v>2023</v>
      </c>
      <c r="B1833" s="5" t="s">
        <v>491</v>
      </c>
      <c r="C1833" s="5" t="s">
        <v>518</v>
      </c>
      <c r="D1833" s="5" t="n">
        <v>21</v>
      </c>
      <c r="E1833" s="13" t="n">
        <v>4.34</v>
      </c>
      <c r="F1833" s="14" t="n">
        <f aca="false">E1833*Assumptions!$D$6</f>
        <v>649.382308828982</v>
      </c>
      <c r="G1833" s="14" t="n">
        <v>500</v>
      </c>
      <c r="H1833" s="14" t="n">
        <v>680</v>
      </c>
      <c r="I1833" s="14" t="n">
        <f aca="false">F1833-(G1833+H1833)/2</f>
        <v>59.3823088289823</v>
      </c>
      <c r="J1833" s="5" t="str">
        <f aca="false">IF(D1833&lt;8,"LOW SAMPLE",IF(F1833&gt;H1833*(1+Assumptions!$B$10),"UNDERPAID",IF(F1833&lt;G1833*(1-Assumptions!$B$10),"OVERPAID","FAIR")))</f>
        <v>FAIR</v>
      </c>
      <c r="K1833" s="5" t="n">
        <v>76</v>
      </c>
    </row>
    <row r="1834" customFormat="false" ht="15" hidden="false" customHeight="false" outlineLevel="0" collapsed="false">
      <c r="A1834" s="5" t="n">
        <v>2023</v>
      </c>
      <c r="B1834" s="5" t="s">
        <v>491</v>
      </c>
      <c r="C1834" s="5" t="s">
        <v>519</v>
      </c>
      <c r="D1834" s="5" t="n">
        <v>1</v>
      </c>
      <c r="E1834" s="13" t="n">
        <v>0.17</v>
      </c>
      <c r="F1834" s="14" t="n">
        <f aca="false">E1834*Assumptions!$D$6</f>
        <v>25.4366342168035</v>
      </c>
      <c r="G1834" s="14" t="n">
        <v>380</v>
      </c>
      <c r="H1834" s="14" t="n">
        <v>500</v>
      </c>
      <c r="I1834" s="14" t="n">
        <f aca="false">F1834-(G1834+H1834)/2</f>
        <v>-414.563365783197</v>
      </c>
      <c r="J1834" s="5" t="str">
        <f aca="false">IF(D1834&lt;8,"LOW SAMPLE",IF(F1834&gt;H1834*(1+Assumptions!$B$10),"UNDERPAID",IF(F1834&lt;G1834*(1-Assumptions!$B$10),"OVERPAID","FAIR")))</f>
        <v>LOW SAMPLE</v>
      </c>
      <c r="K1834" s="5" t="n">
        <v>122</v>
      </c>
    </row>
    <row r="1835" customFormat="false" ht="15" hidden="false" customHeight="false" outlineLevel="0" collapsed="false">
      <c r="A1835" s="5" t="n">
        <v>2023</v>
      </c>
      <c r="B1835" s="5" t="s">
        <v>491</v>
      </c>
      <c r="C1835" s="5" t="s">
        <v>520</v>
      </c>
      <c r="D1835" s="5" t="n">
        <v>13</v>
      </c>
      <c r="E1835" s="13" t="n">
        <v>1.62</v>
      </c>
      <c r="F1835" s="14" t="n">
        <f aca="false">E1835*Assumptions!$D$6</f>
        <v>242.396161360127</v>
      </c>
      <c r="G1835" s="14" t="n">
        <v>500</v>
      </c>
      <c r="H1835" s="14" t="n">
        <v>680</v>
      </c>
      <c r="I1835" s="14" t="n">
        <f aca="false">F1835-(G1835+H1835)/2</f>
        <v>-347.603838639873</v>
      </c>
      <c r="J1835" s="5" t="str">
        <f aca="false">IF(D1835&lt;8,"LOW SAMPLE",IF(F1835&gt;H1835*(1+Assumptions!$B$10),"UNDERPAID",IF(F1835&lt;G1835*(1-Assumptions!$B$10),"OVERPAID","FAIR")))</f>
        <v>OVERPAID</v>
      </c>
      <c r="K1835" s="5" t="n">
        <v>147</v>
      </c>
    </row>
    <row r="1836" customFormat="false" ht="15" hidden="false" customHeight="false" outlineLevel="0" collapsed="false">
      <c r="A1836" s="5" t="n">
        <v>2023</v>
      </c>
      <c r="B1836" s="5" t="s">
        <v>491</v>
      </c>
      <c r="C1836" s="5" t="s">
        <v>522</v>
      </c>
      <c r="D1836" s="5" t="n">
        <v>21</v>
      </c>
      <c r="E1836" s="13" t="n">
        <v>3.1</v>
      </c>
      <c r="F1836" s="14" t="n">
        <f aca="false">E1836*Assumptions!$D$6</f>
        <v>463.844506306416</v>
      </c>
      <c r="G1836" s="14" t="n">
        <v>950</v>
      </c>
      <c r="H1836" s="14" t="n">
        <v>1300</v>
      </c>
      <c r="I1836" s="14" t="n">
        <f aca="false">F1836-(G1836+H1836)/2</f>
        <v>-661.155493693584</v>
      </c>
      <c r="J1836" s="5" t="str">
        <f aca="false">IF(D1836&lt;8,"LOW SAMPLE",IF(F1836&gt;H1836*(1+Assumptions!$B$10),"UNDERPAID",IF(F1836&lt;G1836*(1-Assumptions!$B$10),"OVERPAID","FAIR")))</f>
        <v>OVERPAID</v>
      </c>
      <c r="K1836" s="5" t="n">
        <v>172</v>
      </c>
    </row>
    <row r="1837" customFormat="false" ht="15" hidden="false" customHeight="false" outlineLevel="0" collapsed="false">
      <c r="A1837" s="5" t="n">
        <v>2023</v>
      </c>
      <c r="B1837" s="5" t="s">
        <v>491</v>
      </c>
      <c r="C1837" s="5" t="s">
        <v>523</v>
      </c>
      <c r="D1837" s="5" t="n">
        <v>19</v>
      </c>
      <c r="E1837" s="13" t="n">
        <v>2.42</v>
      </c>
      <c r="F1837" s="14" t="n">
        <f aca="false">E1837*Assumptions!$D$6</f>
        <v>362.097969439202</v>
      </c>
      <c r="G1837" s="14" t="n">
        <v>380</v>
      </c>
      <c r="H1837" s="14" t="n">
        <v>500</v>
      </c>
      <c r="I1837" s="14" t="n">
        <f aca="false">F1837-(G1837+H1837)/2</f>
        <v>-77.9020305607979</v>
      </c>
      <c r="J1837" s="5" t="str">
        <f aca="false">IF(D1837&lt;8,"LOW SAMPLE",IF(F1837&gt;H1837*(1+Assumptions!$B$10),"UNDERPAID",IF(F1837&lt;G1837*(1-Assumptions!$B$10),"OVERPAID","FAIR")))</f>
        <v>FAIR</v>
      </c>
      <c r="K1837" s="5" t="n">
        <v>70</v>
      </c>
    </row>
    <row r="1838" customFormat="false" ht="15" hidden="false" customHeight="false" outlineLevel="0" collapsed="false">
      <c r="A1838" s="5" t="n">
        <v>2023</v>
      </c>
      <c r="B1838" s="5" t="s">
        <v>491</v>
      </c>
      <c r="C1838" s="5" t="s">
        <v>524</v>
      </c>
      <c r="D1838" s="5" t="n">
        <v>25</v>
      </c>
      <c r="E1838" s="13" t="n">
        <v>5.45</v>
      </c>
      <c r="F1838" s="14" t="n">
        <f aca="false">E1838*Assumptions!$D$6</f>
        <v>815.468567538699</v>
      </c>
      <c r="G1838" s="14" t="n">
        <v>500</v>
      </c>
      <c r="H1838" s="14" t="n">
        <v>680</v>
      </c>
      <c r="I1838" s="14" t="n">
        <f aca="false">F1838-(G1838+H1838)/2</f>
        <v>225.468567538699</v>
      </c>
      <c r="J1838" s="5" t="str">
        <f aca="false">IF(D1838&lt;8,"LOW SAMPLE",IF(F1838&gt;H1838*(1+Assumptions!$B$10),"UNDERPAID",IF(F1838&lt;G1838*(1-Assumptions!$B$10),"OVERPAID","FAIR")))</f>
        <v>UNDERPAID</v>
      </c>
      <c r="K1838" s="5" t="n">
        <v>56</v>
      </c>
    </row>
    <row r="1839" customFormat="false" ht="15" hidden="false" customHeight="false" outlineLevel="0" collapsed="false">
      <c r="A1839" s="5" t="n">
        <v>2023</v>
      </c>
      <c r="B1839" s="5" t="s">
        <v>491</v>
      </c>
      <c r="C1839" s="5" t="s">
        <v>823</v>
      </c>
      <c r="D1839" s="5" t="n">
        <v>19</v>
      </c>
      <c r="E1839" s="13" t="n">
        <v>3.47</v>
      </c>
      <c r="F1839" s="14" t="n">
        <f aca="false">E1839*Assumptions!$D$6</f>
        <v>519.206592542988</v>
      </c>
      <c r="G1839" s="14" t="n">
        <v>380</v>
      </c>
      <c r="H1839" s="14" t="n">
        <v>500</v>
      </c>
      <c r="I1839" s="14" t="n">
        <f aca="false">F1839-(G1839+H1839)/2</f>
        <v>79.2065925429882</v>
      </c>
      <c r="J1839" s="5" t="str">
        <f aca="false">IF(D1839&lt;8,"LOW SAMPLE",IF(F1839&gt;H1839*(1+Assumptions!$B$10),"UNDERPAID",IF(F1839&lt;G1839*(1-Assumptions!$B$10),"OVERPAID","FAIR")))</f>
        <v>FAIR</v>
      </c>
      <c r="K1839" s="5" t="n">
        <v>51</v>
      </c>
    </row>
    <row r="1840" customFormat="false" ht="15" hidden="false" customHeight="false" outlineLevel="0" collapsed="false">
      <c r="A1840" s="5" t="n">
        <v>2023</v>
      </c>
      <c r="B1840" s="5" t="s">
        <v>491</v>
      </c>
      <c r="C1840" s="5" t="s">
        <v>525</v>
      </c>
      <c r="D1840" s="5" t="n">
        <v>16</v>
      </c>
      <c r="E1840" s="13" t="n">
        <v>2.31</v>
      </c>
      <c r="F1840" s="14" t="n">
        <f aca="false">E1840*Assumptions!$D$6</f>
        <v>345.638970828329</v>
      </c>
      <c r="G1840" s="14" t="n">
        <v>250</v>
      </c>
      <c r="H1840" s="14" t="n">
        <v>380</v>
      </c>
      <c r="I1840" s="14" t="n">
        <f aca="false">F1840-(G1840+H1840)/2</f>
        <v>30.6389708283293</v>
      </c>
      <c r="J1840" s="5" t="str">
        <f aca="false">IF(D1840&lt;8,"LOW SAMPLE",IF(F1840&gt;H1840*(1+Assumptions!$B$10),"UNDERPAID",IF(F1840&lt;G1840*(1-Assumptions!$B$10),"OVERPAID","FAIR")))</f>
        <v>FAIR</v>
      </c>
      <c r="K1840" s="5" t="n">
        <v>57</v>
      </c>
    </row>
    <row r="1841" customFormat="false" ht="15" hidden="false" customHeight="false" outlineLevel="0" collapsed="false">
      <c r="A1841" s="5" t="n">
        <v>2023</v>
      </c>
      <c r="B1841" s="5" t="s">
        <v>491</v>
      </c>
      <c r="C1841" s="5" t="s">
        <v>526</v>
      </c>
      <c r="D1841" s="5" t="n">
        <v>25</v>
      </c>
      <c r="E1841" s="13" t="n">
        <v>6.25</v>
      </c>
      <c r="F1841" s="14" t="n">
        <f aca="false">E1841*Assumptions!$D$6</f>
        <v>935.170375617774</v>
      </c>
      <c r="G1841" s="14" t="n">
        <v>500</v>
      </c>
      <c r="H1841" s="14" t="n">
        <v>680</v>
      </c>
      <c r="I1841" s="14" t="n">
        <f aca="false">F1841-(G1841+H1841)/2</f>
        <v>345.170375617774</v>
      </c>
      <c r="J1841" s="5" t="str">
        <f aca="false">IF(D1841&lt;8,"LOW SAMPLE",IF(F1841&gt;H1841*(1+Assumptions!$B$10),"UNDERPAID",IF(F1841&lt;G1841*(1-Assumptions!$B$10),"OVERPAID","FAIR")))</f>
        <v>UNDERPAID</v>
      </c>
      <c r="K1841" s="5" t="n">
        <v>68</v>
      </c>
    </row>
    <row r="1842" customFormat="false" ht="15" hidden="false" customHeight="false" outlineLevel="0" collapsed="false">
      <c r="A1842" s="5" t="n">
        <v>2023</v>
      </c>
      <c r="B1842" s="5" t="s">
        <v>527</v>
      </c>
      <c r="C1842" s="5" t="s">
        <v>529</v>
      </c>
      <c r="D1842" s="5" t="n">
        <v>13</v>
      </c>
      <c r="E1842" s="13" t="n">
        <v>2.05</v>
      </c>
      <c r="F1842" s="14" t="n">
        <f aca="false">E1842*Assumptions!$D$6</f>
        <v>306.73588320263</v>
      </c>
      <c r="G1842" s="14" t="n">
        <v>250</v>
      </c>
      <c r="H1842" s="14" t="n">
        <v>380</v>
      </c>
      <c r="I1842" s="14" t="n">
        <f aca="false">F1842-(G1842+H1842)/2</f>
        <v>-8.26411679737009</v>
      </c>
      <c r="J1842" s="5" t="str">
        <f aca="false">IF(D1842&lt;8,"LOW SAMPLE",IF(F1842&gt;H1842*(1+Assumptions!$B$10),"UNDERPAID",IF(F1842&lt;G1842*(1-Assumptions!$B$10),"OVERPAID","FAIR")))</f>
        <v>FAIR</v>
      </c>
      <c r="K1842" s="5" t="n">
        <v>12</v>
      </c>
    </row>
    <row r="1843" customFormat="false" ht="15" hidden="false" customHeight="false" outlineLevel="0" collapsed="false">
      <c r="A1843" s="5" t="n">
        <v>2023</v>
      </c>
      <c r="B1843" s="5" t="s">
        <v>527</v>
      </c>
      <c r="C1843" s="5" t="s">
        <v>531</v>
      </c>
      <c r="D1843" s="5" t="n">
        <v>23</v>
      </c>
      <c r="E1843" s="13" t="n">
        <v>3.95</v>
      </c>
      <c r="F1843" s="14" t="n">
        <f aca="false">E1843*Assumptions!$D$6</f>
        <v>591.027677390433</v>
      </c>
      <c r="G1843" s="14" t="n">
        <v>500</v>
      </c>
      <c r="H1843" s="14" t="n">
        <v>680</v>
      </c>
      <c r="I1843" s="14" t="n">
        <f aca="false">F1843-(G1843+H1843)/2</f>
        <v>1.02767739043327</v>
      </c>
      <c r="J1843" s="5" t="str">
        <f aca="false">IF(D1843&lt;8,"LOW SAMPLE",IF(F1843&gt;H1843*(1+Assumptions!$B$10),"UNDERPAID",IF(F1843&lt;G1843*(1-Assumptions!$B$10),"OVERPAID","FAIR")))</f>
        <v>FAIR</v>
      </c>
      <c r="K1843" s="5" t="n">
        <v>137</v>
      </c>
    </row>
    <row r="1844" customFormat="false" ht="15" hidden="false" customHeight="false" outlineLevel="0" collapsed="false">
      <c r="A1844" s="5" t="n">
        <v>2023</v>
      </c>
      <c r="B1844" s="5" t="s">
        <v>527</v>
      </c>
      <c r="C1844" s="5" t="s">
        <v>534</v>
      </c>
      <c r="D1844" s="5" t="n">
        <v>20</v>
      </c>
      <c r="E1844" s="13" t="n">
        <v>4.27</v>
      </c>
      <c r="F1844" s="14" t="n">
        <f aca="false">E1844*Assumptions!$D$6</f>
        <v>638.908400622063</v>
      </c>
      <c r="G1844" s="14" t="n">
        <v>500</v>
      </c>
      <c r="H1844" s="14" t="n">
        <v>680</v>
      </c>
      <c r="I1844" s="14" t="n">
        <f aca="false">F1844-(G1844+H1844)/2</f>
        <v>48.9084006220633</v>
      </c>
      <c r="J1844" s="5" t="str">
        <f aca="false">IF(D1844&lt;8,"LOW SAMPLE",IF(F1844&gt;H1844*(1+Assumptions!$B$10),"UNDERPAID",IF(F1844&lt;G1844*(1-Assumptions!$B$10),"OVERPAID","FAIR")))</f>
        <v>FAIR</v>
      </c>
      <c r="K1844" s="5" t="n">
        <v>119</v>
      </c>
    </row>
    <row r="1845" customFormat="false" ht="15" hidden="false" customHeight="false" outlineLevel="0" collapsed="false">
      <c r="A1845" s="5" t="n">
        <v>2023</v>
      </c>
      <c r="B1845" s="5" t="s">
        <v>527</v>
      </c>
      <c r="C1845" s="5" t="s">
        <v>535</v>
      </c>
      <c r="D1845" s="5" t="n">
        <v>20</v>
      </c>
      <c r="E1845" s="13" t="n">
        <v>5.42</v>
      </c>
      <c r="F1845" s="14" t="n">
        <f aca="false">E1845*Assumptions!$D$6</f>
        <v>810.979749735734</v>
      </c>
      <c r="G1845" s="14" t="n">
        <v>500</v>
      </c>
      <c r="H1845" s="14" t="n">
        <v>680</v>
      </c>
      <c r="I1845" s="14" t="n">
        <f aca="false">F1845-(G1845+H1845)/2</f>
        <v>220.979749735734</v>
      </c>
      <c r="J1845" s="5" t="str">
        <f aca="false">IF(D1845&lt;8,"LOW SAMPLE",IF(F1845&gt;H1845*(1+Assumptions!$B$10),"UNDERPAID",IF(F1845&lt;G1845*(1-Assumptions!$B$10),"OVERPAID","FAIR")))</f>
        <v>UNDERPAID</v>
      </c>
      <c r="K1845" s="5" t="n">
        <v>161</v>
      </c>
    </row>
    <row r="1846" customFormat="false" ht="15" hidden="false" customHeight="false" outlineLevel="0" collapsed="false">
      <c r="A1846" s="5" t="n">
        <v>2023</v>
      </c>
      <c r="B1846" s="5" t="s">
        <v>527</v>
      </c>
      <c r="C1846" s="5" t="s">
        <v>536</v>
      </c>
      <c r="D1846" s="5" t="n">
        <v>22</v>
      </c>
      <c r="E1846" s="13" t="n">
        <v>2.75</v>
      </c>
      <c r="F1846" s="14" t="n">
        <f aca="false">E1846*Assumptions!$D$6</f>
        <v>411.474965271821</v>
      </c>
      <c r="G1846" s="14" t="n">
        <v>380</v>
      </c>
      <c r="H1846" s="14" t="n">
        <v>500</v>
      </c>
      <c r="I1846" s="14" t="n">
        <f aca="false">F1846-(G1846+H1846)/2</f>
        <v>-28.5250347281794</v>
      </c>
      <c r="J1846" s="5" t="str">
        <f aca="false">IF(D1846&lt;8,"LOW SAMPLE",IF(F1846&gt;H1846*(1+Assumptions!$B$10),"UNDERPAID",IF(F1846&lt;G1846*(1-Assumptions!$B$10),"OVERPAID","FAIR")))</f>
        <v>FAIR</v>
      </c>
      <c r="K1846" s="5" t="n">
        <v>162</v>
      </c>
    </row>
    <row r="1847" customFormat="false" ht="15" hidden="false" customHeight="false" outlineLevel="0" collapsed="false">
      <c r="A1847" s="5" t="n">
        <v>2023</v>
      </c>
      <c r="B1847" s="5" t="s">
        <v>527</v>
      </c>
      <c r="C1847" s="5" t="s">
        <v>537</v>
      </c>
      <c r="D1847" s="5" t="n">
        <v>13</v>
      </c>
      <c r="E1847" s="13" t="n">
        <v>1.22</v>
      </c>
      <c r="F1847" s="14" t="n">
        <f aca="false">E1847*Assumptions!$D$6</f>
        <v>182.54525732059</v>
      </c>
      <c r="G1847" s="14" t="n">
        <v>140</v>
      </c>
      <c r="H1847" s="14" t="n">
        <v>250</v>
      </c>
      <c r="I1847" s="14" t="n">
        <f aca="false">F1847-(G1847+H1847)/2</f>
        <v>-12.4547426794105</v>
      </c>
      <c r="J1847" s="5" t="str">
        <f aca="false">IF(D1847&lt;8,"LOW SAMPLE",IF(F1847&gt;H1847*(1+Assumptions!$B$10),"UNDERPAID",IF(F1847&lt;G1847*(1-Assumptions!$B$10),"OVERPAID","FAIR")))</f>
        <v>FAIR</v>
      </c>
      <c r="K1847" s="5" t="n">
        <v>19</v>
      </c>
    </row>
    <row r="1848" customFormat="false" ht="15" hidden="false" customHeight="false" outlineLevel="0" collapsed="false">
      <c r="A1848" s="5" t="n">
        <v>2023</v>
      </c>
      <c r="B1848" s="5" t="s">
        <v>527</v>
      </c>
      <c r="C1848" s="5" t="s">
        <v>798</v>
      </c>
      <c r="D1848" s="5" t="n">
        <v>8</v>
      </c>
      <c r="E1848" s="13" t="n">
        <v>1.86</v>
      </c>
      <c r="F1848" s="14" t="n">
        <f aca="false">E1848*Assumptions!$D$6</f>
        <v>278.30670378385</v>
      </c>
      <c r="G1848" s="14" t="n">
        <v>380</v>
      </c>
      <c r="H1848" s="14" t="n">
        <v>500</v>
      </c>
      <c r="I1848" s="14" t="n">
        <f aca="false">F1848-(G1848+H1848)/2</f>
        <v>-161.69329621615</v>
      </c>
      <c r="J1848" s="5" t="str">
        <f aca="false">IF(D1848&lt;8,"LOW SAMPLE",IF(F1848&gt;H1848*(1+Assumptions!$B$10),"UNDERPAID",IF(F1848&lt;G1848*(1-Assumptions!$B$10),"OVERPAID","FAIR")))</f>
        <v>OVERPAID</v>
      </c>
      <c r="K1848" s="5" t="n">
        <v>49</v>
      </c>
    </row>
    <row r="1849" customFormat="false" ht="15" hidden="false" customHeight="false" outlineLevel="0" collapsed="false">
      <c r="A1849" s="5" t="n">
        <v>2023</v>
      </c>
      <c r="B1849" s="5" t="s">
        <v>527</v>
      </c>
      <c r="C1849" s="5" t="s">
        <v>538</v>
      </c>
      <c r="D1849" s="5" t="n">
        <v>20</v>
      </c>
      <c r="E1849" s="13" t="n">
        <v>3.12</v>
      </c>
      <c r="F1849" s="14" t="n">
        <f aca="false">E1849*Assumptions!$D$6</f>
        <v>466.837051508393</v>
      </c>
      <c r="G1849" s="14" t="n">
        <v>500</v>
      </c>
      <c r="H1849" s="14" t="n">
        <v>680</v>
      </c>
      <c r="I1849" s="14" t="n">
        <f aca="false">F1849-(G1849+H1849)/2</f>
        <v>-123.162948491607</v>
      </c>
      <c r="J1849" s="5" t="str">
        <f aca="false">IF(D1849&lt;8,"LOW SAMPLE",IF(F1849&gt;H1849*(1+Assumptions!$B$10),"UNDERPAID",IF(F1849&lt;G1849*(1-Assumptions!$B$10),"OVERPAID","FAIR")))</f>
        <v>FAIR</v>
      </c>
      <c r="K1849" s="5" t="n">
        <v>97</v>
      </c>
    </row>
    <row r="1850" customFormat="false" ht="15" hidden="false" customHeight="false" outlineLevel="0" collapsed="false">
      <c r="A1850" s="5" t="n">
        <v>2023</v>
      </c>
      <c r="B1850" s="5" t="s">
        <v>527</v>
      </c>
      <c r="C1850" s="5" t="s">
        <v>539</v>
      </c>
      <c r="D1850" s="5" t="n">
        <v>21</v>
      </c>
      <c r="E1850" s="13" t="n">
        <v>4.31</v>
      </c>
      <c r="F1850" s="14" t="n">
        <f aca="false">E1850*Assumptions!$D$6</f>
        <v>644.893491026017</v>
      </c>
      <c r="G1850" s="14" t="n">
        <v>680</v>
      </c>
      <c r="H1850" s="14" t="n">
        <v>950</v>
      </c>
      <c r="I1850" s="14" t="n">
        <f aca="false">F1850-(G1850+H1850)/2</f>
        <v>-170.106508973983</v>
      </c>
      <c r="J1850" s="5" t="str">
        <f aca="false">IF(D1850&lt;8,"LOW SAMPLE",IF(F1850&gt;H1850*(1+Assumptions!$B$10),"UNDERPAID",IF(F1850&lt;G1850*(1-Assumptions!$B$10),"OVERPAID","FAIR")))</f>
        <v>FAIR</v>
      </c>
      <c r="K1850" s="5" t="n">
        <v>169</v>
      </c>
    </row>
    <row r="1851" customFormat="false" ht="15" hidden="false" customHeight="false" outlineLevel="0" collapsed="false">
      <c r="A1851" s="5" t="n">
        <v>2023</v>
      </c>
      <c r="B1851" s="5" t="s">
        <v>527</v>
      </c>
      <c r="C1851" s="5" t="s">
        <v>540</v>
      </c>
      <c r="D1851" s="5" t="n">
        <v>19</v>
      </c>
      <c r="E1851" s="13" t="n">
        <v>3.49</v>
      </c>
      <c r="F1851" s="14" t="n">
        <f aca="false">E1851*Assumptions!$D$6</f>
        <v>522.199137744965</v>
      </c>
      <c r="G1851" s="14" t="n">
        <v>250</v>
      </c>
      <c r="H1851" s="14" t="n">
        <v>380</v>
      </c>
      <c r="I1851" s="14" t="n">
        <f aca="false">F1851-(G1851+H1851)/2</f>
        <v>207.199137744965</v>
      </c>
      <c r="J1851" s="5" t="str">
        <f aca="false">IF(D1851&lt;8,"LOW SAMPLE",IF(F1851&gt;H1851*(1+Assumptions!$B$10),"UNDERPAID",IF(F1851&lt;G1851*(1-Assumptions!$B$10),"OVERPAID","FAIR")))</f>
        <v>UNDERPAID</v>
      </c>
      <c r="K1851" s="5" t="n">
        <v>44</v>
      </c>
    </row>
    <row r="1852" customFormat="false" ht="15" hidden="false" customHeight="false" outlineLevel="0" collapsed="false">
      <c r="A1852" s="5" t="n">
        <v>2023</v>
      </c>
      <c r="B1852" s="5" t="s">
        <v>527</v>
      </c>
      <c r="C1852" s="5" t="s">
        <v>881</v>
      </c>
      <c r="D1852" s="5" t="n">
        <v>4</v>
      </c>
      <c r="E1852" s="13" t="n">
        <v>0.32</v>
      </c>
      <c r="F1852" s="14" t="n">
        <f aca="false">E1852*Assumptions!$D$6</f>
        <v>47.88072323163</v>
      </c>
      <c r="G1852" s="14" t="n">
        <v>250</v>
      </c>
      <c r="H1852" s="14" t="n">
        <v>380</v>
      </c>
      <c r="I1852" s="14" t="n">
        <f aca="false">F1852-(G1852+H1852)/2</f>
        <v>-267.11927676837</v>
      </c>
      <c r="J1852" s="5" t="str">
        <f aca="false">IF(D1852&lt;8,"LOW SAMPLE",IF(F1852&gt;H1852*(1+Assumptions!$B$10),"UNDERPAID",IF(F1852&lt;G1852*(1-Assumptions!$B$10),"OVERPAID","FAIR")))</f>
        <v>LOW SAMPLE</v>
      </c>
      <c r="K1852" s="5" t="n">
        <v>0</v>
      </c>
    </row>
    <row r="1853" customFormat="false" ht="15" hidden="false" customHeight="false" outlineLevel="0" collapsed="false">
      <c r="A1853" s="5" t="n">
        <v>2023</v>
      </c>
      <c r="B1853" s="5" t="s">
        <v>527</v>
      </c>
      <c r="C1853" s="5" t="s">
        <v>276</v>
      </c>
      <c r="D1853" s="5" t="n">
        <v>16</v>
      </c>
      <c r="E1853" s="13" t="n">
        <v>3.63</v>
      </c>
      <c r="F1853" s="14" t="n">
        <f aca="false">E1853*Assumptions!$D$6</f>
        <v>543.146954158803</v>
      </c>
      <c r="G1853" s="14" t="n">
        <v>380</v>
      </c>
      <c r="H1853" s="14" t="n">
        <v>500</v>
      </c>
      <c r="I1853" s="14" t="n">
        <f aca="false">F1853-(G1853+H1853)/2</f>
        <v>103.146954158803</v>
      </c>
      <c r="J1853" s="5" t="str">
        <f aca="false">IF(D1853&lt;8,"LOW SAMPLE",IF(F1853&gt;H1853*(1+Assumptions!$B$10),"UNDERPAID",IF(F1853&lt;G1853*(1-Assumptions!$B$10),"OVERPAID","FAIR")))</f>
        <v>FAIR</v>
      </c>
      <c r="K1853" s="5" t="n">
        <v>114</v>
      </c>
    </row>
    <row r="1854" customFormat="false" ht="15" hidden="false" customHeight="false" outlineLevel="0" collapsed="false">
      <c r="A1854" s="5" t="n">
        <v>2023</v>
      </c>
      <c r="B1854" s="5" t="s">
        <v>527</v>
      </c>
      <c r="C1854" s="5" t="s">
        <v>882</v>
      </c>
      <c r="D1854" s="5" t="n">
        <v>1</v>
      </c>
      <c r="E1854" s="13" t="n">
        <v>0.25</v>
      </c>
      <c r="F1854" s="14" t="n">
        <f aca="false">E1854*Assumptions!$D$6</f>
        <v>37.406815024711</v>
      </c>
      <c r="G1854" s="14" t="n">
        <v>250</v>
      </c>
      <c r="H1854" s="14" t="n">
        <v>380</v>
      </c>
      <c r="I1854" s="14" t="n">
        <f aca="false">F1854-(G1854+H1854)/2</f>
        <v>-277.593184975289</v>
      </c>
      <c r="J1854" s="5" t="str">
        <f aca="false">IF(D1854&lt;8,"LOW SAMPLE",IF(F1854&gt;H1854*(1+Assumptions!$B$10),"UNDERPAID",IF(F1854&lt;G1854*(1-Assumptions!$B$10),"OVERPAID","FAIR")))</f>
        <v>LOW SAMPLE</v>
      </c>
      <c r="K1854" s="5" t="n">
        <v>0</v>
      </c>
    </row>
    <row r="1855" customFormat="false" ht="15" hidden="false" customHeight="false" outlineLevel="0" collapsed="false">
      <c r="A1855" s="5" t="n">
        <v>2023</v>
      </c>
      <c r="B1855" s="5" t="s">
        <v>527</v>
      </c>
      <c r="C1855" s="5" t="s">
        <v>543</v>
      </c>
      <c r="D1855" s="5" t="n">
        <v>16</v>
      </c>
      <c r="E1855" s="13" t="n">
        <v>3.36</v>
      </c>
      <c r="F1855" s="14" t="n">
        <f aca="false">E1855*Assumptions!$D$6</f>
        <v>502.747593932115</v>
      </c>
      <c r="G1855" s="14" t="n">
        <v>680</v>
      </c>
      <c r="H1855" s="14" t="n">
        <v>950</v>
      </c>
      <c r="I1855" s="14" t="n">
        <f aca="false">F1855-(G1855+H1855)/2</f>
        <v>-312.252406067885</v>
      </c>
      <c r="J1855" s="5" t="str">
        <f aca="false">IF(D1855&lt;8,"LOW SAMPLE",IF(F1855&gt;H1855*(1+Assumptions!$B$10),"UNDERPAID",IF(F1855&lt;G1855*(1-Assumptions!$B$10),"OVERPAID","FAIR")))</f>
        <v>OVERPAID</v>
      </c>
      <c r="K1855" s="5" t="n">
        <v>137</v>
      </c>
    </row>
    <row r="1856" customFormat="false" ht="15" hidden="false" customHeight="false" outlineLevel="0" collapsed="false">
      <c r="A1856" s="5" t="n">
        <v>2023</v>
      </c>
      <c r="B1856" s="5" t="s">
        <v>527</v>
      </c>
      <c r="C1856" s="5" t="s">
        <v>800</v>
      </c>
      <c r="D1856" s="5" t="n">
        <v>13</v>
      </c>
      <c r="E1856" s="13" t="n">
        <v>1.45</v>
      </c>
      <c r="F1856" s="14" t="n">
        <f aca="false">E1856*Assumptions!$D$6</f>
        <v>216.959527143324</v>
      </c>
      <c r="G1856" s="14" t="n">
        <v>140</v>
      </c>
      <c r="H1856" s="14" t="n">
        <v>250</v>
      </c>
      <c r="I1856" s="14" t="n">
        <f aca="false">F1856-(G1856+H1856)/2</f>
        <v>21.9595271433236</v>
      </c>
      <c r="J1856" s="5" t="str">
        <f aca="false">IF(D1856&lt;8,"LOW SAMPLE",IF(F1856&gt;H1856*(1+Assumptions!$B$10),"UNDERPAID",IF(F1856&lt;G1856*(1-Assumptions!$B$10),"OVERPAID","FAIR")))</f>
        <v>FAIR</v>
      </c>
      <c r="K1856" s="5" t="n">
        <v>3</v>
      </c>
    </row>
    <row r="1857" customFormat="false" ht="15" hidden="false" customHeight="false" outlineLevel="0" collapsed="false">
      <c r="A1857" s="5" t="n">
        <v>2023</v>
      </c>
      <c r="B1857" s="5" t="s">
        <v>527</v>
      </c>
      <c r="C1857" s="5" t="s">
        <v>545</v>
      </c>
      <c r="D1857" s="5" t="n">
        <v>22</v>
      </c>
      <c r="E1857" s="13" t="n">
        <v>3.23</v>
      </c>
      <c r="F1857" s="14" t="n">
        <f aca="false">E1857*Assumptions!$D$6</f>
        <v>483.296050119266</v>
      </c>
      <c r="G1857" s="14" t="n">
        <v>500</v>
      </c>
      <c r="H1857" s="14" t="n">
        <v>680</v>
      </c>
      <c r="I1857" s="14" t="n">
        <f aca="false">F1857-(G1857+H1857)/2</f>
        <v>-106.703949880734</v>
      </c>
      <c r="J1857" s="5" t="str">
        <f aca="false">IF(D1857&lt;8,"LOW SAMPLE",IF(F1857&gt;H1857*(1+Assumptions!$B$10),"UNDERPAID",IF(F1857&lt;G1857*(1-Assumptions!$B$10),"OVERPAID","FAIR")))</f>
        <v>FAIR</v>
      </c>
      <c r="K1857" s="5" t="n">
        <v>146</v>
      </c>
    </row>
    <row r="1858" customFormat="false" ht="15" hidden="false" customHeight="false" outlineLevel="0" collapsed="false">
      <c r="A1858" s="5" t="n">
        <v>2023</v>
      </c>
      <c r="B1858" s="5" t="s">
        <v>527</v>
      </c>
      <c r="C1858" s="5" t="s">
        <v>547</v>
      </c>
      <c r="D1858" s="5" t="n">
        <v>23</v>
      </c>
      <c r="E1858" s="13" t="n">
        <v>4.45</v>
      </c>
      <c r="F1858" s="14" t="n">
        <f aca="false">E1858*Assumptions!$D$6</f>
        <v>665.841307439855</v>
      </c>
      <c r="G1858" s="14" t="n">
        <v>500</v>
      </c>
      <c r="H1858" s="14" t="n">
        <v>680</v>
      </c>
      <c r="I1858" s="14" t="n">
        <f aca="false">F1858-(G1858+H1858)/2</f>
        <v>75.8413074398552</v>
      </c>
      <c r="J1858" s="5" t="str">
        <f aca="false">IF(D1858&lt;8,"LOW SAMPLE",IF(F1858&gt;H1858*(1+Assumptions!$B$10),"UNDERPAID",IF(F1858&lt;G1858*(1-Assumptions!$B$10),"OVERPAID","FAIR")))</f>
        <v>FAIR</v>
      </c>
      <c r="K1858" s="5" t="n">
        <v>87</v>
      </c>
    </row>
    <row r="1859" customFormat="false" ht="15" hidden="false" customHeight="false" outlineLevel="0" collapsed="false">
      <c r="A1859" s="5" t="n">
        <v>2023</v>
      </c>
      <c r="B1859" s="5" t="s">
        <v>527</v>
      </c>
      <c r="C1859" s="5" t="s">
        <v>549</v>
      </c>
      <c r="D1859" s="5" t="n">
        <v>21</v>
      </c>
      <c r="E1859" s="13" t="n">
        <v>3.19</v>
      </c>
      <c r="F1859" s="14" t="n">
        <f aca="false">E1859*Assumptions!$D$6</f>
        <v>477.310959715312</v>
      </c>
      <c r="G1859" s="14" t="n">
        <v>500</v>
      </c>
      <c r="H1859" s="14" t="n">
        <v>680</v>
      </c>
      <c r="I1859" s="14" t="n">
        <f aca="false">F1859-(G1859+H1859)/2</f>
        <v>-112.689040284688</v>
      </c>
      <c r="J1859" s="5" t="str">
        <f aca="false">IF(D1859&lt;8,"LOW SAMPLE",IF(F1859&gt;H1859*(1+Assumptions!$B$10),"UNDERPAID",IF(F1859&lt;G1859*(1-Assumptions!$B$10),"OVERPAID","FAIR")))</f>
        <v>FAIR</v>
      </c>
      <c r="K1859" s="5" t="n">
        <v>57</v>
      </c>
    </row>
    <row r="1860" customFormat="false" ht="15" hidden="false" customHeight="false" outlineLevel="0" collapsed="false">
      <c r="A1860" s="5" t="n">
        <v>2023</v>
      </c>
      <c r="B1860" s="5" t="s">
        <v>527</v>
      </c>
      <c r="C1860" s="5" t="s">
        <v>883</v>
      </c>
      <c r="D1860" s="5" t="n">
        <v>4</v>
      </c>
      <c r="E1860" s="13" t="n">
        <v>0.34</v>
      </c>
      <c r="F1860" s="14" t="n">
        <f aca="false">E1860*Assumptions!$D$6</f>
        <v>50.8732684336069</v>
      </c>
      <c r="G1860" s="14" t="n">
        <v>250</v>
      </c>
      <c r="H1860" s="14" t="n">
        <v>380</v>
      </c>
      <c r="I1860" s="14" t="n">
        <f aca="false">F1860-(G1860+H1860)/2</f>
        <v>-264.126731566393</v>
      </c>
      <c r="J1860" s="5" t="str">
        <f aca="false">IF(D1860&lt;8,"LOW SAMPLE",IF(F1860&gt;H1860*(1+Assumptions!$B$10),"UNDERPAID",IF(F1860&lt;G1860*(1-Assumptions!$B$10),"OVERPAID","FAIR")))</f>
        <v>LOW SAMPLE</v>
      </c>
      <c r="K1860" s="5" t="n">
        <v>0</v>
      </c>
    </row>
    <row r="1861" customFormat="false" ht="15" hidden="false" customHeight="false" outlineLevel="0" collapsed="false">
      <c r="A1861" s="5" t="n">
        <v>2023</v>
      </c>
      <c r="B1861" s="5" t="s">
        <v>527</v>
      </c>
      <c r="C1861" s="5" t="s">
        <v>551</v>
      </c>
      <c r="D1861" s="5" t="n">
        <v>10</v>
      </c>
      <c r="E1861" s="13" t="n">
        <v>0.75</v>
      </c>
      <c r="F1861" s="14" t="n">
        <f aca="false">E1861*Assumptions!$D$6</f>
        <v>112.220445074133</v>
      </c>
      <c r="G1861" s="14" t="n">
        <v>250</v>
      </c>
      <c r="H1861" s="14" t="n">
        <v>380</v>
      </c>
      <c r="I1861" s="14" t="n">
        <f aca="false">F1861-(G1861+H1861)/2</f>
        <v>-202.779554925867</v>
      </c>
      <c r="J1861" s="5" t="str">
        <f aca="false">IF(D1861&lt;8,"LOW SAMPLE",IF(F1861&gt;H1861*(1+Assumptions!$B$10),"UNDERPAID",IF(F1861&lt;G1861*(1-Assumptions!$B$10),"OVERPAID","FAIR")))</f>
        <v>OVERPAID</v>
      </c>
      <c r="K1861" s="5" t="n">
        <v>17</v>
      </c>
    </row>
    <row r="1862" customFormat="false" ht="15" hidden="false" customHeight="false" outlineLevel="0" collapsed="false">
      <c r="A1862" s="5" t="n">
        <v>2023</v>
      </c>
      <c r="B1862" s="5" t="s">
        <v>527</v>
      </c>
      <c r="C1862" s="5" t="s">
        <v>552</v>
      </c>
      <c r="D1862" s="5" t="n">
        <v>19</v>
      </c>
      <c r="E1862" s="13" t="n">
        <v>3.4</v>
      </c>
      <c r="F1862" s="14" t="n">
        <f aca="false">E1862*Assumptions!$D$6</f>
        <v>508.732684336069</v>
      </c>
      <c r="G1862" s="14" t="n">
        <v>380</v>
      </c>
      <c r="H1862" s="14" t="n">
        <v>500</v>
      </c>
      <c r="I1862" s="14" t="n">
        <f aca="false">F1862-(G1862+H1862)/2</f>
        <v>68.7326843360691</v>
      </c>
      <c r="J1862" s="5" t="str">
        <f aca="false">IF(D1862&lt;8,"LOW SAMPLE",IF(F1862&gt;H1862*(1+Assumptions!$B$10),"UNDERPAID",IF(F1862&lt;G1862*(1-Assumptions!$B$10),"OVERPAID","FAIR")))</f>
        <v>FAIR</v>
      </c>
      <c r="K1862" s="5" t="n">
        <v>107</v>
      </c>
    </row>
    <row r="1863" customFormat="false" ht="15" hidden="false" customHeight="false" outlineLevel="0" collapsed="false">
      <c r="A1863" s="5" t="n">
        <v>2023</v>
      </c>
      <c r="B1863" s="5" t="s">
        <v>527</v>
      </c>
      <c r="C1863" s="5" t="s">
        <v>553</v>
      </c>
      <c r="D1863" s="5" t="n">
        <v>21</v>
      </c>
      <c r="E1863" s="13" t="n">
        <v>4.27</v>
      </c>
      <c r="F1863" s="14" t="n">
        <f aca="false">E1863*Assumptions!$D$6</f>
        <v>638.908400622063</v>
      </c>
      <c r="G1863" s="14" t="n">
        <v>500</v>
      </c>
      <c r="H1863" s="14" t="n">
        <v>680</v>
      </c>
      <c r="I1863" s="14" t="n">
        <f aca="false">F1863-(G1863+H1863)/2</f>
        <v>48.9084006220633</v>
      </c>
      <c r="J1863" s="5" t="str">
        <f aca="false">IF(D1863&lt;8,"LOW SAMPLE",IF(F1863&gt;H1863*(1+Assumptions!$B$10),"UNDERPAID",IF(F1863&lt;G1863*(1-Assumptions!$B$10),"OVERPAID","FAIR")))</f>
        <v>FAIR</v>
      </c>
      <c r="K1863" s="5" t="n">
        <v>152</v>
      </c>
    </row>
    <row r="1864" customFormat="false" ht="15" hidden="false" customHeight="false" outlineLevel="0" collapsed="false">
      <c r="A1864" s="5" t="n">
        <v>2023</v>
      </c>
      <c r="B1864" s="5" t="s">
        <v>527</v>
      </c>
      <c r="C1864" s="5" t="s">
        <v>554</v>
      </c>
      <c r="D1864" s="5" t="n">
        <v>23</v>
      </c>
      <c r="E1864" s="13" t="n">
        <v>5.02</v>
      </c>
      <c r="F1864" s="14" t="n">
        <f aca="false">E1864*Assumptions!$D$6</f>
        <v>751.128845696196</v>
      </c>
      <c r="G1864" s="14" t="n">
        <v>380</v>
      </c>
      <c r="H1864" s="14" t="n">
        <v>500</v>
      </c>
      <c r="I1864" s="14" t="n">
        <f aca="false">F1864-(G1864+H1864)/2</f>
        <v>311.128845696196</v>
      </c>
      <c r="J1864" s="5" t="str">
        <f aca="false">IF(D1864&lt;8,"LOW SAMPLE",IF(F1864&gt;H1864*(1+Assumptions!$B$10),"UNDERPAID",IF(F1864&lt;G1864*(1-Assumptions!$B$10),"OVERPAID","FAIR")))</f>
        <v>UNDERPAID</v>
      </c>
      <c r="K1864" s="5" t="n">
        <v>62</v>
      </c>
    </row>
    <row r="1865" customFormat="false" ht="15" hidden="false" customHeight="false" outlineLevel="0" collapsed="false">
      <c r="A1865" s="5" t="n">
        <v>2023</v>
      </c>
      <c r="B1865" s="5" t="s">
        <v>527</v>
      </c>
      <c r="C1865" s="5" t="s">
        <v>801</v>
      </c>
      <c r="D1865" s="5" t="n">
        <v>9</v>
      </c>
      <c r="E1865" s="13" t="n">
        <v>1.2</v>
      </c>
      <c r="F1865" s="14" t="n">
        <f aca="false">E1865*Assumptions!$D$6</f>
        <v>179.552712118613</v>
      </c>
      <c r="G1865" s="14" t="n">
        <v>250</v>
      </c>
      <c r="H1865" s="14" t="n">
        <v>380</v>
      </c>
      <c r="I1865" s="14" t="n">
        <f aca="false">F1865-(G1865+H1865)/2</f>
        <v>-135.447287881387</v>
      </c>
      <c r="J1865" s="5" t="str">
        <f aca="false">IF(D1865&lt;8,"LOW SAMPLE",IF(F1865&gt;H1865*(1+Assumptions!$B$10),"UNDERPAID",IF(F1865&lt;G1865*(1-Assumptions!$B$10),"OVERPAID","FAIR")))</f>
        <v>OVERPAID</v>
      </c>
      <c r="K1865" s="5" t="n">
        <v>9</v>
      </c>
    </row>
    <row r="1866" customFormat="false" ht="15" hidden="false" customHeight="false" outlineLevel="0" collapsed="false">
      <c r="A1866" s="5" t="n">
        <v>2023</v>
      </c>
      <c r="B1866" s="5" t="s">
        <v>527</v>
      </c>
      <c r="C1866" s="5" t="s">
        <v>556</v>
      </c>
      <c r="D1866" s="5" t="n">
        <v>17</v>
      </c>
      <c r="E1866" s="13" t="n">
        <v>1.79</v>
      </c>
      <c r="F1866" s="14" t="n">
        <f aca="false">E1866*Assumptions!$D$6</f>
        <v>267.832795576931</v>
      </c>
      <c r="G1866" s="14" t="n">
        <v>140</v>
      </c>
      <c r="H1866" s="14" t="n">
        <v>250</v>
      </c>
      <c r="I1866" s="14" t="n">
        <f aca="false">F1866-(G1866+H1866)/2</f>
        <v>72.8327955769305</v>
      </c>
      <c r="J1866" s="5" t="str">
        <f aca="false">IF(D1866&lt;8,"LOW SAMPLE",IF(F1866&gt;H1866*(1+Assumptions!$B$10),"UNDERPAID",IF(F1866&lt;G1866*(1-Assumptions!$B$10),"OVERPAID","FAIR")))</f>
        <v>FAIR</v>
      </c>
      <c r="K1866" s="5" t="n">
        <v>15</v>
      </c>
    </row>
    <row r="1867" customFormat="false" ht="15" hidden="false" customHeight="false" outlineLevel="0" collapsed="false">
      <c r="A1867" s="5" t="n">
        <v>2023</v>
      </c>
      <c r="B1867" s="5" t="s">
        <v>527</v>
      </c>
      <c r="C1867" s="5" t="s">
        <v>884</v>
      </c>
      <c r="D1867" s="5" t="n">
        <v>6</v>
      </c>
      <c r="E1867" s="13" t="n">
        <v>0.81</v>
      </c>
      <c r="F1867" s="14" t="n">
        <f aca="false">E1867*Assumptions!$D$6</f>
        <v>121.198080680064</v>
      </c>
      <c r="G1867" s="14" t="n">
        <v>250</v>
      </c>
      <c r="H1867" s="14" t="n">
        <v>380</v>
      </c>
      <c r="I1867" s="14" t="n">
        <f aca="false">F1867-(G1867+H1867)/2</f>
        <v>-193.801919319936</v>
      </c>
      <c r="J1867" s="5" t="str">
        <f aca="false">IF(D1867&lt;8,"LOW SAMPLE",IF(F1867&gt;H1867*(1+Assumptions!$B$10),"UNDERPAID",IF(F1867&lt;G1867*(1-Assumptions!$B$10),"OVERPAID","FAIR")))</f>
        <v>LOW SAMPLE</v>
      </c>
      <c r="K1867" s="5" t="n">
        <v>0</v>
      </c>
    </row>
    <row r="1868" customFormat="false" ht="15" hidden="false" customHeight="false" outlineLevel="0" collapsed="false">
      <c r="A1868" s="5" t="n">
        <v>2023</v>
      </c>
      <c r="B1868" s="5" t="s">
        <v>527</v>
      </c>
      <c r="C1868" s="5" t="s">
        <v>559</v>
      </c>
      <c r="D1868" s="5" t="n">
        <v>14</v>
      </c>
      <c r="E1868" s="13" t="n">
        <v>2.16</v>
      </c>
      <c r="F1868" s="14" t="n">
        <f aca="false">E1868*Assumptions!$D$6</f>
        <v>323.194881813503</v>
      </c>
      <c r="G1868" s="14" t="n">
        <v>140</v>
      </c>
      <c r="H1868" s="14" t="n">
        <v>250</v>
      </c>
      <c r="I1868" s="14" t="n">
        <f aca="false">F1868-(G1868+H1868)/2</f>
        <v>128.194881813503</v>
      </c>
      <c r="J1868" s="5" t="str">
        <f aca="false">IF(D1868&lt;8,"LOW SAMPLE",IF(F1868&gt;H1868*(1+Assumptions!$B$10),"UNDERPAID",IF(F1868&lt;G1868*(1-Assumptions!$B$10),"OVERPAID","FAIR")))</f>
        <v>UNDERPAID</v>
      </c>
      <c r="K1868" s="5" t="n">
        <v>1</v>
      </c>
    </row>
    <row r="1869" customFormat="false" ht="15" hidden="false" customHeight="false" outlineLevel="0" collapsed="false">
      <c r="A1869" s="5" t="n">
        <v>2023</v>
      </c>
      <c r="B1869" s="5" t="s">
        <v>527</v>
      </c>
      <c r="C1869" s="5" t="s">
        <v>560</v>
      </c>
      <c r="D1869" s="5" t="n">
        <v>23</v>
      </c>
      <c r="E1869" s="13" t="n">
        <v>6.75</v>
      </c>
      <c r="F1869" s="14" t="n">
        <f aca="false">E1869*Assumptions!$D$6</f>
        <v>1009.9840056672</v>
      </c>
      <c r="G1869" s="14" t="n">
        <v>950</v>
      </c>
      <c r="H1869" s="14" t="n">
        <v>1300</v>
      </c>
      <c r="I1869" s="14" t="n">
        <f aca="false">F1869-(G1869+H1869)/2</f>
        <v>-115.015994332804</v>
      </c>
      <c r="J1869" s="5" t="str">
        <f aca="false">IF(D1869&lt;8,"LOW SAMPLE",IF(F1869&gt;H1869*(1+Assumptions!$B$10),"UNDERPAID",IF(F1869&lt;G1869*(1-Assumptions!$B$10),"OVERPAID","FAIR")))</f>
        <v>FAIR</v>
      </c>
      <c r="K1869" s="5" t="n">
        <v>90</v>
      </c>
    </row>
    <row r="1870" customFormat="false" ht="15" hidden="false" customHeight="false" outlineLevel="0" collapsed="false">
      <c r="A1870" s="5" t="n">
        <v>2023</v>
      </c>
      <c r="B1870" s="5" t="s">
        <v>527</v>
      </c>
      <c r="C1870" s="5" t="s">
        <v>563</v>
      </c>
      <c r="D1870" s="5" t="n">
        <v>4</v>
      </c>
      <c r="E1870" s="13" t="n">
        <v>0.61</v>
      </c>
      <c r="F1870" s="14" t="n">
        <f aca="false">E1870*Assumptions!$D$6</f>
        <v>91.2726286602948</v>
      </c>
      <c r="G1870" s="14" t="n">
        <v>140</v>
      </c>
      <c r="H1870" s="14" t="n">
        <v>250</v>
      </c>
      <c r="I1870" s="14" t="n">
        <f aca="false">F1870-(G1870+H1870)/2</f>
        <v>-103.727371339705</v>
      </c>
      <c r="J1870" s="5" t="str">
        <f aca="false">IF(D1870&lt;8,"LOW SAMPLE",IF(F1870&gt;H1870*(1+Assumptions!$B$10),"UNDERPAID",IF(F1870&lt;G1870*(1-Assumptions!$B$10),"OVERPAID","FAIR")))</f>
        <v>LOW SAMPLE</v>
      </c>
      <c r="K1870" s="5" t="n">
        <v>13</v>
      </c>
    </row>
    <row r="1871" customFormat="false" ht="15" hidden="false" customHeight="false" outlineLevel="0" collapsed="false">
      <c r="A1871" s="5" t="n">
        <v>2023</v>
      </c>
      <c r="B1871" s="5" t="s">
        <v>527</v>
      </c>
      <c r="C1871" s="5" t="s">
        <v>298</v>
      </c>
      <c r="D1871" s="5" t="n">
        <v>23</v>
      </c>
      <c r="E1871" s="13" t="n">
        <v>6.91</v>
      </c>
      <c r="F1871" s="14" t="n">
        <f aca="false">E1871*Assumptions!$D$6</f>
        <v>1033.92436728301</v>
      </c>
      <c r="G1871" s="14" t="n">
        <v>500</v>
      </c>
      <c r="H1871" s="14" t="n">
        <v>680</v>
      </c>
      <c r="I1871" s="14" t="n">
        <f aca="false">F1871-(G1871+H1871)/2</f>
        <v>443.924367283011</v>
      </c>
      <c r="J1871" s="5" t="str">
        <f aca="false">IF(D1871&lt;8,"LOW SAMPLE",IF(F1871&gt;H1871*(1+Assumptions!$B$10),"UNDERPAID",IF(F1871&lt;G1871*(1-Assumptions!$B$10),"OVERPAID","FAIR")))</f>
        <v>UNDERPAID</v>
      </c>
      <c r="K1871" s="5" t="n">
        <v>114</v>
      </c>
    </row>
    <row r="1872" customFormat="false" ht="15" hidden="false" customHeight="false" outlineLevel="0" collapsed="false">
      <c r="A1872" s="5" t="n">
        <v>2023</v>
      </c>
      <c r="B1872" s="5" t="s">
        <v>527</v>
      </c>
      <c r="C1872" s="5" t="s">
        <v>564</v>
      </c>
      <c r="D1872" s="5" t="n">
        <v>15</v>
      </c>
      <c r="E1872" s="13" t="n">
        <v>3.88</v>
      </c>
      <c r="F1872" s="14" t="n">
        <f aca="false">E1872*Assumptions!$D$6</f>
        <v>580.553769183514</v>
      </c>
      <c r="G1872" s="14" t="n">
        <v>680</v>
      </c>
      <c r="H1872" s="14" t="n">
        <v>950</v>
      </c>
      <c r="I1872" s="14" t="n">
        <f aca="false">F1872-(G1872+H1872)/2</f>
        <v>-234.446230816486</v>
      </c>
      <c r="J1872" s="5" t="str">
        <f aca="false">IF(D1872&lt;8,"LOW SAMPLE",IF(F1872&gt;H1872*(1+Assumptions!$B$10),"UNDERPAID",IF(F1872&lt;G1872*(1-Assumptions!$B$10),"OVERPAID","FAIR")))</f>
        <v>FAIR</v>
      </c>
      <c r="K1872" s="5" t="n">
        <v>121</v>
      </c>
    </row>
    <row r="1873" customFormat="false" ht="15" hidden="false" customHeight="false" outlineLevel="0" collapsed="false">
      <c r="A1873" s="5" t="n">
        <v>2023</v>
      </c>
      <c r="B1873" s="5" t="s">
        <v>527</v>
      </c>
      <c r="C1873" s="5" t="s">
        <v>885</v>
      </c>
      <c r="D1873" s="5" t="n">
        <v>1</v>
      </c>
      <c r="E1873" s="13" t="n">
        <v>0.13</v>
      </c>
      <c r="F1873" s="14" t="n">
        <f aca="false">E1873*Assumptions!$D$6</f>
        <v>19.4515438128497</v>
      </c>
      <c r="G1873" s="14" t="n">
        <v>250</v>
      </c>
      <c r="H1873" s="14" t="n">
        <v>380</v>
      </c>
      <c r="I1873" s="14" t="n">
        <f aca="false">F1873-(G1873+H1873)/2</f>
        <v>-295.54845618715</v>
      </c>
      <c r="J1873" s="5" t="str">
        <f aca="false">IF(D1873&lt;8,"LOW SAMPLE",IF(F1873&gt;H1873*(1+Assumptions!$B$10),"UNDERPAID",IF(F1873&lt;G1873*(1-Assumptions!$B$10),"OVERPAID","FAIR")))</f>
        <v>LOW SAMPLE</v>
      </c>
      <c r="K1873" s="5" t="n">
        <v>0</v>
      </c>
    </row>
    <row r="1874" customFormat="false" ht="15" hidden="false" customHeight="false" outlineLevel="0" collapsed="false">
      <c r="A1874" s="5" t="n">
        <v>2023</v>
      </c>
      <c r="B1874" s="5" t="s">
        <v>527</v>
      </c>
      <c r="C1874" s="5" t="s">
        <v>71</v>
      </c>
      <c r="D1874" s="5" t="n">
        <v>4</v>
      </c>
      <c r="E1874" s="13" t="n">
        <v>1</v>
      </c>
      <c r="F1874" s="14" t="n">
        <f aca="false">E1874*Assumptions!$D$6</f>
        <v>149.627260098844</v>
      </c>
      <c r="G1874" s="14" t="n">
        <v>950</v>
      </c>
      <c r="H1874" s="14" t="n">
        <v>1300</v>
      </c>
      <c r="I1874" s="14" t="n">
        <f aca="false">F1874-(G1874+H1874)/2</f>
        <v>-975.372739901156</v>
      </c>
      <c r="J1874" s="5" t="str">
        <f aca="false">IF(D1874&lt;8,"LOW SAMPLE",IF(F1874&gt;H1874*(1+Assumptions!$B$10),"UNDERPAID",IF(F1874&lt;G1874*(1-Assumptions!$B$10),"OVERPAID","FAIR")))</f>
        <v>LOW SAMPLE</v>
      </c>
      <c r="K1874" s="5" t="n">
        <v>279</v>
      </c>
    </row>
    <row r="1875" customFormat="false" ht="15" hidden="false" customHeight="false" outlineLevel="0" collapsed="false">
      <c r="A1875" s="5" t="n">
        <v>2023</v>
      </c>
      <c r="B1875" s="5" t="s">
        <v>527</v>
      </c>
      <c r="C1875" s="5" t="s">
        <v>565</v>
      </c>
      <c r="D1875" s="5" t="n">
        <v>19</v>
      </c>
      <c r="E1875" s="13" t="n">
        <v>3.08</v>
      </c>
      <c r="F1875" s="14" t="n">
        <f aca="false">E1875*Assumptions!$D$6</f>
        <v>460.851961104439</v>
      </c>
      <c r="G1875" s="14" t="n">
        <v>500</v>
      </c>
      <c r="H1875" s="14" t="n">
        <v>680</v>
      </c>
      <c r="I1875" s="14" t="n">
        <f aca="false">F1875-(G1875+H1875)/2</f>
        <v>-129.148038895561</v>
      </c>
      <c r="J1875" s="5" t="str">
        <f aca="false">IF(D1875&lt;8,"LOW SAMPLE",IF(F1875&gt;H1875*(1+Assumptions!$B$10),"UNDERPAID",IF(F1875&lt;G1875*(1-Assumptions!$B$10),"OVERPAID","FAIR")))</f>
        <v>FAIR</v>
      </c>
      <c r="K1875" s="5" t="n">
        <v>156</v>
      </c>
    </row>
    <row r="1876" customFormat="false" ht="15" hidden="false" customHeight="false" outlineLevel="0" collapsed="false">
      <c r="A1876" s="5" t="n">
        <v>2023</v>
      </c>
      <c r="B1876" s="5" t="s">
        <v>527</v>
      </c>
      <c r="C1876" s="5" t="s">
        <v>886</v>
      </c>
      <c r="D1876" s="5" t="n">
        <v>19</v>
      </c>
      <c r="E1876" s="13" t="n">
        <v>3.36</v>
      </c>
      <c r="F1876" s="14" t="n">
        <f aca="false">E1876*Assumptions!$D$6</f>
        <v>502.747593932115</v>
      </c>
      <c r="G1876" s="14" t="n">
        <v>250</v>
      </c>
      <c r="H1876" s="14" t="n">
        <v>380</v>
      </c>
      <c r="I1876" s="14" t="n">
        <f aca="false">F1876-(G1876+H1876)/2</f>
        <v>187.747593932115</v>
      </c>
      <c r="J1876" s="5" t="str">
        <f aca="false">IF(D1876&lt;8,"LOW SAMPLE",IF(F1876&gt;H1876*(1+Assumptions!$B$10),"UNDERPAID",IF(F1876&lt;G1876*(1-Assumptions!$B$10),"OVERPAID","FAIR")))</f>
        <v>UNDERPAID</v>
      </c>
      <c r="K1876" s="5" t="n">
        <v>0</v>
      </c>
    </row>
    <row r="1877" customFormat="false" ht="15" hidden="false" customHeight="false" outlineLevel="0" collapsed="false">
      <c r="A1877" s="5" t="n">
        <v>2023</v>
      </c>
      <c r="B1877" s="5" t="s">
        <v>527</v>
      </c>
      <c r="C1877" s="5" t="s">
        <v>802</v>
      </c>
      <c r="D1877" s="5" t="n">
        <v>3</v>
      </c>
      <c r="E1877" s="13" t="n">
        <v>0.21</v>
      </c>
      <c r="F1877" s="14" t="n">
        <f aca="false">E1877*Assumptions!$D$6</f>
        <v>31.4217246207572</v>
      </c>
      <c r="G1877" s="14" t="n">
        <v>140</v>
      </c>
      <c r="H1877" s="14" t="n">
        <v>250</v>
      </c>
      <c r="I1877" s="14" t="n">
        <f aca="false">F1877-(G1877+H1877)/2</f>
        <v>-163.578275379243</v>
      </c>
      <c r="J1877" s="5" t="str">
        <f aca="false">IF(D1877&lt;8,"LOW SAMPLE",IF(F1877&gt;H1877*(1+Assumptions!$B$10),"UNDERPAID",IF(F1877&lt;G1877*(1-Assumptions!$B$10),"OVERPAID","FAIR")))</f>
        <v>LOW SAMPLE</v>
      </c>
      <c r="K1877" s="5" t="n">
        <v>7</v>
      </c>
    </row>
    <row r="1878" customFormat="false" ht="15" hidden="false" customHeight="false" outlineLevel="0" collapsed="false">
      <c r="A1878" s="5" t="n">
        <v>2023</v>
      </c>
      <c r="B1878" s="5" t="s">
        <v>567</v>
      </c>
      <c r="C1878" s="5" t="s">
        <v>887</v>
      </c>
      <c r="D1878" s="5" t="n">
        <v>18</v>
      </c>
      <c r="E1878" s="13" t="n">
        <v>2.78</v>
      </c>
      <c r="F1878" s="14" t="n">
        <f aca="false">E1878*Assumptions!$D$6</f>
        <v>415.963783074786</v>
      </c>
      <c r="G1878" s="14" t="n">
        <v>250</v>
      </c>
      <c r="H1878" s="14" t="n">
        <v>380</v>
      </c>
      <c r="I1878" s="14" t="n">
        <f aca="false">F1878-(G1878+H1878)/2</f>
        <v>100.963783074786</v>
      </c>
      <c r="J1878" s="5" t="str">
        <f aca="false">IF(D1878&lt;8,"LOW SAMPLE",IF(F1878&gt;H1878*(1+Assumptions!$B$10),"UNDERPAID",IF(F1878&lt;G1878*(1-Assumptions!$B$10),"OVERPAID","FAIR")))</f>
        <v>FAIR</v>
      </c>
      <c r="K1878" s="5" t="n">
        <v>0</v>
      </c>
    </row>
    <row r="1879" customFormat="false" ht="15" hidden="false" customHeight="false" outlineLevel="0" collapsed="false">
      <c r="A1879" s="5" t="n">
        <v>2023</v>
      </c>
      <c r="B1879" s="5" t="s">
        <v>567</v>
      </c>
      <c r="C1879" s="5" t="s">
        <v>803</v>
      </c>
      <c r="D1879" s="5" t="n">
        <v>12</v>
      </c>
      <c r="E1879" s="13" t="n">
        <v>1.23</v>
      </c>
      <c r="F1879" s="14" t="n">
        <f aca="false">E1879*Assumptions!$D$6</f>
        <v>184.041529921578</v>
      </c>
      <c r="G1879" s="14" t="n">
        <v>380</v>
      </c>
      <c r="H1879" s="14" t="n">
        <v>500</v>
      </c>
      <c r="I1879" s="14" t="n">
        <f aca="false">F1879-(G1879+H1879)/2</f>
        <v>-255.958470078422</v>
      </c>
      <c r="J1879" s="5" t="str">
        <f aca="false">IF(D1879&lt;8,"LOW SAMPLE",IF(F1879&gt;H1879*(1+Assumptions!$B$10),"UNDERPAID",IF(F1879&lt;G1879*(1-Assumptions!$B$10),"OVERPAID","FAIR")))</f>
        <v>OVERPAID</v>
      </c>
      <c r="K1879" s="5" t="n">
        <v>55</v>
      </c>
    </row>
    <row r="1880" customFormat="false" ht="15" hidden="false" customHeight="false" outlineLevel="0" collapsed="false">
      <c r="A1880" s="5" t="n">
        <v>2023</v>
      </c>
      <c r="B1880" s="5" t="s">
        <v>567</v>
      </c>
      <c r="C1880" s="5" t="s">
        <v>569</v>
      </c>
      <c r="D1880" s="5" t="n">
        <v>24</v>
      </c>
      <c r="E1880" s="13" t="n">
        <v>5.93</v>
      </c>
      <c r="F1880" s="14" t="n">
        <f aca="false">E1880*Assumptions!$D$6</f>
        <v>887.289652386144</v>
      </c>
      <c r="G1880" s="14" t="n">
        <v>680</v>
      </c>
      <c r="H1880" s="14" t="n">
        <v>950</v>
      </c>
      <c r="I1880" s="14" t="n">
        <f aca="false">F1880-(G1880+H1880)/2</f>
        <v>72.2896523861441</v>
      </c>
      <c r="J1880" s="5" t="str">
        <f aca="false">IF(D1880&lt;8,"LOW SAMPLE",IF(F1880&gt;H1880*(1+Assumptions!$B$10),"UNDERPAID",IF(F1880&lt;G1880*(1-Assumptions!$B$10),"OVERPAID","FAIR")))</f>
        <v>FAIR</v>
      </c>
      <c r="K1880" s="5" t="n">
        <v>111</v>
      </c>
    </row>
    <row r="1881" customFormat="false" ht="15" hidden="false" customHeight="false" outlineLevel="0" collapsed="false">
      <c r="A1881" s="5" t="n">
        <v>2023</v>
      </c>
      <c r="B1881" s="5" t="s">
        <v>567</v>
      </c>
      <c r="C1881" s="5" t="s">
        <v>570</v>
      </c>
      <c r="D1881" s="5" t="n">
        <v>22</v>
      </c>
      <c r="E1881" s="13" t="n">
        <v>3.52</v>
      </c>
      <c r="F1881" s="14" t="n">
        <f aca="false">E1881*Assumptions!$D$6</f>
        <v>526.68795554793</v>
      </c>
      <c r="G1881" s="14" t="n">
        <v>500</v>
      </c>
      <c r="H1881" s="14" t="n">
        <v>680</v>
      </c>
      <c r="I1881" s="14" t="n">
        <f aca="false">F1881-(G1881+H1881)/2</f>
        <v>-63.3120444520696</v>
      </c>
      <c r="J1881" s="5" t="str">
        <f aca="false">IF(D1881&lt;8,"LOW SAMPLE",IF(F1881&gt;H1881*(1+Assumptions!$B$10),"UNDERPAID",IF(F1881&lt;G1881*(1-Assumptions!$B$10),"OVERPAID","FAIR")))</f>
        <v>FAIR</v>
      </c>
      <c r="K1881" s="5" t="n">
        <v>160</v>
      </c>
    </row>
    <row r="1882" customFormat="false" ht="15" hidden="false" customHeight="false" outlineLevel="0" collapsed="false">
      <c r="A1882" s="5" t="n">
        <v>2023</v>
      </c>
      <c r="B1882" s="5" t="s">
        <v>567</v>
      </c>
      <c r="C1882" s="5" t="s">
        <v>571</v>
      </c>
      <c r="D1882" s="5" t="n">
        <v>24</v>
      </c>
      <c r="E1882" s="13" t="n">
        <v>5.55</v>
      </c>
      <c r="F1882" s="14" t="n">
        <f aca="false">E1882*Assumptions!$D$6</f>
        <v>830.431293548583</v>
      </c>
      <c r="G1882" s="14" t="n">
        <v>500</v>
      </c>
      <c r="H1882" s="14" t="n">
        <v>680</v>
      </c>
      <c r="I1882" s="14" t="n">
        <f aca="false">F1882-(G1882+H1882)/2</f>
        <v>240.431293548583</v>
      </c>
      <c r="J1882" s="5" t="str">
        <f aca="false">IF(D1882&lt;8,"LOW SAMPLE",IF(F1882&gt;H1882*(1+Assumptions!$B$10),"UNDERPAID",IF(F1882&lt;G1882*(1-Assumptions!$B$10),"OVERPAID","FAIR")))</f>
        <v>UNDERPAID</v>
      </c>
      <c r="K1882" s="5" t="n">
        <v>85</v>
      </c>
    </row>
    <row r="1883" customFormat="false" ht="15" hidden="false" customHeight="false" outlineLevel="0" collapsed="false">
      <c r="A1883" s="5" t="n">
        <v>2023</v>
      </c>
      <c r="B1883" s="5" t="s">
        <v>567</v>
      </c>
      <c r="C1883" s="5" t="s">
        <v>572</v>
      </c>
      <c r="D1883" s="5" t="n">
        <v>16</v>
      </c>
      <c r="E1883" s="13" t="n">
        <v>2.73</v>
      </c>
      <c r="F1883" s="14" t="n">
        <f aca="false">E1883*Assumptions!$D$6</f>
        <v>408.482420069844</v>
      </c>
      <c r="G1883" s="14" t="n">
        <v>140</v>
      </c>
      <c r="H1883" s="14" t="n">
        <v>250</v>
      </c>
      <c r="I1883" s="14" t="n">
        <f aca="false">F1883-(G1883+H1883)/2</f>
        <v>213.482420069844</v>
      </c>
      <c r="J1883" s="5" t="str">
        <f aca="false">IF(D1883&lt;8,"LOW SAMPLE",IF(F1883&gt;H1883*(1+Assumptions!$B$10),"UNDERPAID",IF(F1883&lt;G1883*(1-Assumptions!$B$10),"OVERPAID","FAIR")))</f>
        <v>UNDERPAID</v>
      </c>
      <c r="K1883" s="5" t="n">
        <v>15</v>
      </c>
    </row>
    <row r="1884" customFormat="false" ht="15" hidden="false" customHeight="false" outlineLevel="0" collapsed="false">
      <c r="A1884" s="5" t="n">
        <v>2023</v>
      </c>
      <c r="B1884" s="5" t="s">
        <v>567</v>
      </c>
      <c r="C1884" s="5" t="s">
        <v>573</v>
      </c>
      <c r="D1884" s="5" t="n">
        <v>24</v>
      </c>
      <c r="E1884" s="13" t="n">
        <v>4.1</v>
      </c>
      <c r="F1884" s="14" t="n">
        <f aca="false">E1884*Assumptions!$D$6</f>
        <v>613.47176640526</v>
      </c>
      <c r="G1884" s="14" t="n">
        <v>500</v>
      </c>
      <c r="H1884" s="14" t="n">
        <v>680</v>
      </c>
      <c r="I1884" s="14" t="n">
        <f aca="false">F1884-(G1884+H1884)/2</f>
        <v>23.4717664052598</v>
      </c>
      <c r="J1884" s="5" t="str">
        <f aca="false">IF(D1884&lt;8,"LOW SAMPLE",IF(F1884&gt;H1884*(1+Assumptions!$B$10),"UNDERPAID",IF(F1884&lt;G1884*(1-Assumptions!$B$10),"OVERPAID","FAIR")))</f>
        <v>FAIR</v>
      </c>
      <c r="K1884" s="5" t="n">
        <v>105</v>
      </c>
    </row>
    <row r="1885" customFormat="false" ht="15" hidden="false" customHeight="false" outlineLevel="0" collapsed="false">
      <c r="A1885" s="5" t="n">
        <v>2023</v>
      </c>
      <c r="B1885" s="5" t="s">
        <v>567</v>
      </c>
      <c r="C1885" s="5" t="s">
        <v>578</v>
      </c>
      <c r="D1885" s="5" t="n">
        <v>18</v>
      </c>
      <c r="E1885" s="13" t="n">
        <v>3.07</v>
      </c>
      <c r="F1885" s="14" t="n">
        <f aca="false">E1885*Assumptions!$D$6</f>
        <v>459.355688503451</v>
      </c>
      <c r="G1885" s="14" t="n">
        <v>500</v>
      </c>
      <c r="H1885" s="14" t="n">
        <v>680</v>
      </c>
      <c r="I1885" s="14" t="n">
        <f aca="false">F1885-(G1885+H1885)/2</f>
        <v>-130.644311496549</v>
      </c>
      <c r="J1885" s="5" t="str">
        <f aca="false">IF(D1885&lt;8,"LOW SAMPLE",IF(F1885&gt;H1885*(1+Assumptions!$B$10),"UNDERPAID",IF(F1885&lt;G1885*(1-Assumptions!$B$10),"OVERPAID","FAIR")))</f>
        <v>FAIR</v>
      </c>
      <c r="K1885" s="5" t="n">
        <v>102</v>
      </c>
    </row>
    <row r="1886" customFormat="false" ht="15" hidden="false" customHeight="false" outlineLevel="0" collapsed="false">
      <c r="A1886" s="5" t="n">
        <v>2023</v>
      </c>
      <c r="B1886" s="5" t="s">
        <v>567</v>
      </c>
      <c r="C1886" s="5" t="s">
        <v>579</v>
      </c>
      <c r="D1886" s="5" t="n">
        <v>19</v>
      </c>
      <c r="E1886" s="13" t="n">
        <v>3.01</v>
      </c>
      <c r="F1886" s="14" t="n">
        <f aca="false">E1886*Assumptions!$D$6</f>
        <v>450.37805289752</v>
      </c>
      <c r="G1886" s="14" t="n">
        <v>250</v>
      </c>
      <c r="H1886" s="14" t="n">
        <v>380</v>
      </c>
      <c r="I1886" s="14" t="n">
        <f aca="false">F1886-(G1886+H1886)/2</f>
        <v>135.37805289752</v>
      </c>
      <c r="J1886" s="5" t="str">
        <f aca="false">IF(D1886&lt;8,"LOW SAMPLE",IF(F1886&gt;H1886*(1+Assumptions!$B$10),"UNDERPAID",IF(F1886&lt;G1886*(1-Assumptions!$B$10),"OVERPAID","FAIR")))</f>
        <v>UNDERPAID</v>
      </c>
      <c r="K1886" s="5" t="n">
        <v>68</v>
      </c>
    </row>
    <row r="1887" customFormat="false" ht="15" hidden="false" customHeight="false" outlineLevel="0" collapsed="false">
      <c r="A1887" s="5" t="n">
        <v>2023</v>
      </c>
      <c r="B1887" s="5" t="s">
        <v>567</v>
      </c>
      <c r="C1887" s="5" t="s">
        <v>580</v>
      </c>
      <c r="D1887" s="5" t="n">
        <v>3</v>
      </c>
      <c r="E1887" s="13" t="n">
        <v>0.41</v>
      </c>
      <c r="F1887" s="14" t="n">
        <f aca="false">E1887*Assumptions!$D$6</f>
        <v>61.347176640526</v>
      </c>
      <c r="G1887" s="14" t="n">
        <v>380</v>
      </c>
      <c r="H1887" s="14" t="n">
        <v>500</v>
      </c>
      <c r="I1887" s="14" t="n">
        <f aca="false">F1887-(G1887+H1887)/2</f>
        <v>-378.652823359474</v>
      </c>
      <c r="J1887" s="5" t="str">
        <f aca="false">IF(D1887&lt;8,"LOW SAMPLE",IF(F1887&gt;H1887*(1+Assumptions!$B$10),"UNDERPAID",IF(F1887&lt;G1887*(1-Assumptions!$B$10),"OVERPAID","FAIR")))</f>
        <v>LOW SAMPLE</v>
      </c>
      <c r="K1887" s="5" t="n">
        <v>136</v>
      </c>
    </row>
    <row r="1888" customFormat="false" ht="15" hidden="false" customHeight="false" outlineLevel="0" collapsed="false">
      <c r="A1888" s="5" t="n">
        <v>2023</v>
      </c>
      <c r="B1888" s="5" t="s">
        <v>567</v>
      </c>
      <c r="C1888" s="5" t="s">
        <v>581</v>
      </c>
      <c r="D1888" s="5" t="n">
        <v>6</v>
      </c>
      <c r="E1888" s="13" t="n">
        <v>0.45</v>
      </c>
      <c r="F1888" s="14" t="n">
        <f aca="false">E1888*Assumptions!$D$6</f>
        <v>67.3322670444797</v>
      </c>
      <c r="G1888" s="14" t="n">
        <v>140</v>
      </c>
      <c r="H1888" s="14" t="n">
        <v>250</v>
      </c>
      <c r="I1888" s="14" t="n">
        <f aca="false">F1888-(G1888+H1888)/2</f>
        <v>-127.66773295552</v>
      </c>
      <c r="J1888" s="5" t="str">
        <f aca="false">IF(D1888&lt;8,"LOW SAMPLE",IF(F1888&gt;H1888*(1+Assumptions!$B$10),"UNDERPAID",IF(F1888&lt;G1888*(1-Assumptions!$B$10),"OVERPAID","FAIR")))</f>
        <v>LOW SAMPLE</v>
      </c>
      <c r="K1888" s="5" t="n">
        <v>16</v>
      </c>
    </row>
    <row r="1889" customFormat="false" ht="15" hidden="false" customHeight="false" outlineLevel="0" collapsed="false">
      <c r="A1889" s="5" t="n">
        <v>2023</v>
      </c>
      <c r="B1889" s="5" t="s">
        <v>567</v>
      </c>
      <c r="C1889" s="5" t="s">
        <v>804</v>
      </c>
      <c r="D1889" s="5" t="n">
        <v>1</v>
      </c>
      <c r="E1889" s="13" t="n">
        <v>0.21</v>
      </c>
      <c r="F1889" s="14" t="n">
        <f aca="false">E1889*Assumptions!$D$6</f>
        <v>31.4217246207572</v>
      </c>
      <c r="G1889" s="14" t="n">
        <v>140</v>
      </c>
      <c r="H1889" s="14" t="n">
        <v>250</v>
      </c>
      <c r="I1889" s="14" t="n">
        <f aca="false">F1889-(G1889+H1889)/2</f>
        <v>-163.578275379243</v>
      </c>
      <c r="J1889" s="5" t="str">
        <f aca="false">IF(D1889&lt;8,"LOW SAMPLE",IF(F1889&gt;H1889*(1+Assumptions!$B$10),"UNDERPAID",IF(F1889&lt;G1889*(1-Assumptions!$B$10),"OVERPAID","FAIR")))</f>
        <v>LOW SAMPLE</v>
      </c>
      <c r="K1889" s="5" t="n">
        <v>5</v>
      </c>
    </row>
    <row r="1890" customFormat="false" ht="15" hidden="false" customHeight="false" outlineLevel="0" collapsed="false">
      <c r="A1890" s="5" t="n">
        <v>2023</v>
      </c>
      <c r="B1890" s="5" t="s">
        <v>567</v>
      </c>
      <c r="C1890" s="5" t="s">
        <v>582</v>
      </c>
      <c r="D1890" s="5" t="n">
        <v>22</v>
      </c>
      <c r="E1890" s="13" t="n">
        <v>3.91</v>
      </c>
      <c r="F1890" s="14" t="n">
        <f aca="false">E1890*Assumptions!$D$6</f>
        <v>585.04258698648</v>
      </c>
      <c r="G1890" s="14" t="n">
        <v>380</v>
      </c>
      <c r="H1890" s="14" t="n">
        <v>500</v>
      </c>
      <c r="I1890" s="14" t="n">
        <f aca="false">F1890-(G1890+H1890)/2</f>
        <v>145.042586986479</v>
      </c>
      <c r="J1890" s="5" t="str">
        <f aca="false">IF(D1890&lt;8,"LOW SAMPLE",IF(F1890&gt;H1890*(1+Assumptions!$B$10),"UNDERPAID",IF(F1890&lt;G1890*(1-Assumptions!$B$10),"OVERPAID","FAIR")))</f>
        <v>UNDERPAID</v>
      </c>
      <c r="K1890" s="5" t="n">
        <v>80</v>
      </c>
    </row>
    <row r="1891" customFormat="false" ht="15" hidden="false" customHeight="false" outlineLevel="0" collapsed="false">
      <c r="A1891" s="5" t="n">
        <v>2023</v>
      </c>
      <c r="B1891" s="5" t="s">
        <v>567</v>
      </c>
      <c r="C1891" s="5" t="s">
        <v>888</v>
      </c>
      <c r="D1891" s="5" t="n">
        <v>1</v>
      </c>
      <c r="E1891" s="13" t="n">
        <v>0.1</v>
      </c>
      <c r="F1891" s="14" t="n">
        <f aca="false">E1891*Assumptions!$D$6</f>
        <v>14.9627260098844</v>
      </c>
      <c r="G1891" s="14" t="n">
        <v>250</v>
      </c>
      <c r="H1891" s="14" t="n">
        <v>380</v>
      </c>
      <c r="I1891" s="14" t="n">
        <f aca="false">F1891-(G1891+H1891)/2</f>
        <v>-300.037273990116</v>
      </c>
      <c r="J1891" s="5" t="str">
        <f aca="false">IF(D1891&lt;8,"LOW SAMPLE",IF(F1891&gt;H1891*(1+Assumptions!$B$10),"UNDERPAID",IF(F1891&lt;G1891*(1-Assumptions!$B$10),"OVERPAID","FAIR")))</f>
        <v>LOW SAMPLE</v>
      </c>
      <c r="K1891" s="5" t="n">
        <v>0</v>
      </c>
    </row>
    <row r="1892" customFormat="false" ht="15" hidden="false" customHeight="false" outlineLevel="0" collapsed="false">
      <c r="A1892" s="5" t="n">
        <v>2023</v>
      </c>
      <c r="B1892" s="5" t="s">
        <v>567</v>
      </c>
      <c r="C1892" s="5" t="s">
        <v>584</v>
      </c>
      <c r="D1892" s="5" t="n">
        <v>24</v>
      </c>
      <c r="E1892" s="13" t="n">
        <v>5.91</v>
      </c>
      <c r="F1892" s="14" t="n">
        <f aca="false">E1892*Assumptions!$D$6</f>
        <v>884.297107184167</v>
      </c>
      <c r="G1892" s="14" t="n">
        <v>500</v>
      </c>
      <c r="H1892" s="14" t="n">
        <v>680</v>
      </c>
      <c r="I1892" s="14" t="n">
        <f aca="false">F1892-(G1892+H1892)/2</f>
        <v>294.297107184167</v>
      </c>
      <c r="J1892" s="5" t="str">
        <f aca="false">IF(D1892&lt;8,"LOW SAMPLE",IF(F1892&gt;H1892*(1+Assumptions!$B$10),"UNDERPAID",IF(F1892&lt;G1892*(1-Assumptions!$B$10),"OVERPAID","FAIR")))</f>
        <v>UNDERPAID</v>
      </c>
      <c r="K1892" s="5" t="n">
        <v>141</v>
      </c>
    </row>
    <row r="1893" customFormat="false" ht="15" hidden="false" customHeight="false" outlineLevel="0" collapsed="false">
      <c r="A1893" s="5" t="n">
        <v>2023</v>
      </c>
      <c r="B1893" s="5" t="s">
        <v>567</v>
      </c>
      <c r="C1893" s="5" t="s">
        <v>585</v>
      </c>
      <c r="D1893" s="5" t="n">
        <v>21</v>
      </c>
      <c r="E1893" s="13" t="n">
        <v>5.4</v>
      </c>
      <c r="F1893" s="14" t="n">
        <f aca="false">E1893*Assumptions!$D$6</f>
        <v>807.987204533757</v>
      </c>
      <c r="G1893" s="14" t="n">
        <v>950</v>
      </c>
      <c r="H1893" s="14" t="n">
        <v>1300</v>
      </c>
      <c r="I1893" s="14" t="n">
        <f aca="false">F1893-(G1893+H1893)/2</f>
        <v>-317.012795466243</v>
      </c>
      <c r="J1893" s="5" t="str">
        <f aca="false">IF(D1893&lt;8,"LOW SAMPLE",IF(F1893&gt;H1893*(1+Assumptions!$B$10),"UNDERPAID",IF(F1893&lt;G1893*(1-Assumptions!$B$10),"OVERPAID","FAIR")))</f>
        <v>FAIR</v>
      </c>
      <c r="K1893" s="5" t="n">
        <v>137</v>
      </c>
    </row>
    <row r="1894" customFormat="false" ht="15" hidden="false" customHeight="false" outlineLevel="0" collapsed="false">
      <c r="A1894" s="5" t="n">
        <v>2023</v>
      </c>
      <c r="B1894" s="5" t="s">
        <v>567</v>
      </c>
      <c r="C1894" s="5" t="s">
        <v>586</v>
      </c>
      <c r="D1894" s="5" t="n">
        <v>23</v>
      </c>
      <c r="E1894" s="13" t="n">
        <v>4.36</v>
      </c>
      <c r="F1894" s="14" t="n">
        <f aca="false">E1894*Assumptions!$D$6</f>
        <v>652.374854030959</v>
      </c>
      <c r="G1894" s="14" t="n">
        <v>380</v>
      </c>
      <c r="H1894" s="14" t="n">
        <v>500</v>
      </c>
      <c r="I1894" s="14" t="n">
        <f aca="false">F1894-(G1894+H1894)/2</f>
        <v>212.374854030959</v>
      </c>
      <c r="J1894" s="5" t="str">
        <f aca="false">IF(D1894&lt;8,"LOW SAMPLE",IF(F1894&gt;H1894*(1+Assumptions!$B$10),"UNDERPAID",IF(F1894&lt;G1894*(1-Assumptions!$B$10),"OVERPAID","FAIR")))</f>
        <v>UNDERPAID</v>
      </c>
      <c r="K1894" s="5" t="n">
        <v>113</v>
      </c>
    </row>
    <row r="1895" customFormat="false" ht="15" hidden="false" customHeight="false" outlineLevel="0" collapsed="false">
      <c r="A1895" s="5" t="n">
        <v>2023</v>
      </c>
      <c r="B1895" s="5" t="s">
        <v>567</v>
      </c>
      <c r="C1895" s="5" t="s">
        <v>590</v>
      </c>
      <c r="D1895" s="5" t="n">
        <v>17</v>
      </c>
      <c r="E1895" s="13" t="n">
        <v>2.3</v>
      </c>
      <c r="F1895" s="14" t="n">
        <f aca="false">E1895*Assumptions!$D$6</f>
        <v>344.142698227341</v>
      </c>
      <c r="G1895" s="14" t="n">
        <v>380</v>
      </c>
      <c r="H1895" s="14" t="n">
        <v>500</v>
      </c>
      <c r="I1895" s="14" t="n">
        <f aca="false">F1895-(G1895+H1895)/2</f>
        <v>-95.8573017726591</v>
      </c>
      <c r="J1895" s="5" t="str">
        <f aca="false">IF(D1895&lt;8,"LOW SAMPLE",IF(F1895&gt;H1895*(1+Assumptions!$B$10),"UNDERPAID",IF(F1895&lt;G1895*(1-Assumptions!$B$10),"OVERPAID","FAIR")))</f>
        <v>FAIR</v>
      </c>
      <c r="K1895" s="5" t="n">
        <v>111</v>
      </c>
    </row>
    <row r="1896" customFormat="false" ht="15" hidden="false" customHeight="false" outlineLevel="0" collapsed="false">
      <c r="A1896" s="5" t="n">
        <v>2023</v>
      </c>
      <c r="B1896" s="5" t="s">
        <v>567</v>
      </c>
      <c r="C1896" s="5" t="s">
        <v>591</v>
      </c>
      <c r="D1896" s="5" t="n">
        <v>23</v>
      </c>
      <c r="E1896" s="13" t="n">
        <v>3.8</v>
      </c>
      <c r="F1896" s="14" t="n">
        <f aca="false">E1896*Assumptions!$D$6</f>
        <v>568.583588375607</v>
      </c>
      <c r="G1896" s="14" t="n">
        <v>380</v>
      </c>
      <c r="H1896" s="14" t="n">
        <v>500</v>
      </c>
      <c r="I1896" s="14" t="n">
        <f aca="false">F1896-(G1896+H1896)/2</f>
        <v>128.583588375607</v>
      </c>
      <c r="J1896" s="5" t="str">
        <f aca="false">IF(D1896&lt;8,"LOW SAMPLE",IF(F1896&gt;H1896*(1+Assumptions!$B$10),"UNDERPAID",IF(F1896&lt;G1896*(1-Assumptions!$B$10),"OVERPAID","FAIR")))</f>
        <v>FAIR</v>
      </c>
      <c r="K1896" s="5" t="n">
        <v>77</v>
      </c>
    </row>
    <row r="1897" customFormat="false" ht="15" hidden="false" customHeight="false" outlineLevel="0" collapsed="false">
      <c r="A1897" s="5" t="n">
        <v>2023</v>
      </c>
      <c r="B1897" s="5" t="s">
        <v>567</v>
      </c>
      <c r="C1897" s="5" t="s">
        <v>124</v>
      </c>
      <c r="D1897" s="5" t="n">
        <v>23</v>
      </c>
      <c r="E1897" s="13" t="n">
        <v>3.44</v>
      </c>
      <c r="F1897" s="14" t="n">
        <f aca="false">E1897*Assumptions!$D$6</f>
        <v>514.717774740023</v>
      </c>
      <c r="G1897" s="14" t="n">
        <v>250</v>
      </c>
      <c r="H1897" s="14" t="n">
        <v>380</v>
      </c>
      <c r="I1897" s="14" t="n">
        <f aca="false">F1897-(G1897+H1897)/2</f>
        <v>199.717774740023</v>
      </c>
      <c r="J1897" s="5" t="str">
        <f aca="false">IF(D1897&lt;8,"LOW SAMPLE",IF(F1897&gt;H1897*(1+Assumptions!$B$10),"UNDERPAID",IF(F1897&lt;G1897*(1-Assumptions!$B$10),"OVERPAID","FAIR")))</f>
        <v>UNDERPAID</v>
      </c>
      <c r="K1897" s="5" t="n">
        <v>28</v>
      </c>
    </row>
    <row r="1898" customFormat="false" ht="15" hidden="false" customHeight="false" outlineLevel="0" collapsed="false">
      <c r="A1898" s="5" t="n">
        <v>2023</v>
      </c>
      <c r="B1898" s="5" t="s">
        <v>567</v>
      </c>
      <c r="C1898" s="5" t="s">
        <v>805</v>
      </c>
      <c r="D1898" s="5" t="n">
        <v>19</v>
      </c>
      <c r="E1898" s="13" t="n">
        <v>2.16</v>
      </c>
      <c r="F1898" s="14" t="n">
        <f aca="false">E1898*Assumptions!$D$6</f>
        <v>323.194881813503</v>
      </c>
      <c r="G1898" s="14" t="n">
        <v>250</v>
      </c>
      <c r="H1898" s="14" t="n">
        <v>380</v>
      </c>
      <c r="I1898" s="14" t="n">
        <f aca="false">F1898-(G1898+H1898)/2</f>
        <v>8.19488181350278</v>
      </c>
      <c r="J1898" s="5" t="str">
        <f aca="false">IF(D1898&lt;8,"LOW SAMPLE",IF(F1898&gt;H1898*(1+Assumptions!$B$10),"UNDERPAID",IF(F1898&lt;G1898*(1-Assumptions!$B$10),"OVERPAID","FAIR")))</f>
        <v>FAIR</v>
      </c>
      <c r="K1898" s="5" t="n">
        <v>18</v>
      </c>
    </row>
    <row r="1899" customFormat="false" ht="15" hidden="false" customHeight="false" outlineLevel="0" collapsed="false">
      <c r="A1899" s="5" t="n">
        <v>2023</v>
      </c>
      <c r="B1899" s="5" t="s">
        <v>567</v>
      </c>
      <c r="C1899" s="5" t="s">
        <v>594</v>
      </c>
      <c r="D1899" s="5" t="n">
        <v>24</v>
      </c>
      <c r="E1899" s="13" t="n">
        <v>5.52</v>
      </c>
      <c r="F1899" s="14" t="n">
        <f aca="false">E1899*Assumptions!$D$6</f>
        <v>825.942475745618</v>
      </c>
      <c r="G1899" s="14" t="n">
        <v>380</v>
      </c>
      <c r="H1899" s="14" t="n">
        <v>500</v>
      </c>
      <c r="I1899" s="14" t="n">
        <f aca="false">F1899-(G1899+H1899)/2</f>
        <v>385.942475745618</v>
      </c>
      <c r="J1899" s="5" t="str">
        <f aca="false">IF(D1899&lt;8,"LOW SAMPLE",IF(F1899&gt;H1899*(1+Assumptions!$B$10),"UNDERPAID",IF(F1899&lt;G1899*(1-Assumptions!$B$10),"OVERPAID","FAIR")))</f>
        <v>UNDERPAID</v>
      </c>
      <c r="K1899" s="5" t="n">
        <v>92</v>
      </c>
    </row>
    <row r="1900" customFormat="false" ht="15" hidden="false" customHeight="false" outlineLevel="0" collapsed="false">
      <c r="A1900" s="5" t="n">
        <v>2023</v>
      </c>
      <c r="B1900" s="5" t="s">
        <v>567</v>
      </c>
      <c r="C1900" s="5" t="s">
        <v>889</v>
      </c>
      <c r="D1900" s="5" t="n">
        <v>24</v>
      </c>
      <c r="E1900" s="13" t="n">
        <v>3.17</v>
      </c>
      <c r="F1900" s="14" t="n">
        <f aca="false">E1900*Assumptions!$D$6</f>
        <v>474.318414513335</v>
      </c>
      <c r="G1900" s="14" t="n">
        <v>250</v>
      </c>
      <c r="H1900" s="14" t="n">
        <v>380</v>
      </c>
      <c r="I1900" s="14" t="n">
        <f aca="false">F1900-(G1900+H1900)/2</f>
        <v>159.318414513335</v>
      </c>
      <c r="J1900" s="5" t="str">
        <f aca="false">IF(D1900&lt;8,"LOW SAMPLE",IF(F1900&gt;H1900*(1+Assumptions!$B$10),"UNDERPAID",IF(F1900&lt;G1900*(1-Assumptions!$B$10),"OVERPAID","FAIR")))</f>
        <v>UNDERPAID</v>
      </c>
      <c r="K1900" s="5" t="n">
        <v>0</v>
      </c>
    </row>
    <row r="1901" customFormat="false" ht="15" hidden="false" customHeight="false" outlineLevel="0" collapsed="false">
      <c r="A1901" s="5" t="n">
        <v>2023</v>
      </c>
      <c r="B1901" s="5" t="s">
        <v>567</v>
      </c>
      <c r="C1901" s="5" t="s">
        <v>595</v>
      </c>
      <c r="D1901" s="5" t="n">
        <v>11</v>
      </c>
      <c r="E1901" s="13" t="n">
        <v>2.43</v>
      </c>
      <c r="F1901" s="14" t="n">
        <f aca="false">E1901*Assumptions!$D$6</f>
        <v>363.594242040191</v>
      </c>
      <c r="G1901" s="14" t="n">
        <v>680</v>
      </c>
      <c r="H1901" s="14" t="n">
        <v>950</v>
      </c>
      <c r="I1901" s="14" t="n">
        <f aca="false">F1901-(G1901+H1901)/2</f>
        <v>-451.405757959809</v>
      </c>
      <c r="J1901" s="5" t="str">
        <f aca="false">IF(D1901&lt;8,"LOW SAMPLE",IF(F1901&gt;H1901*(1+Assumptions!$B$10),"UNDERPAID",IF(F1901&lt;G1901*(1-Assumptions!$B$10),"OVERPAID","FAIR")))</f>
        <v>OVERPAID</v>
      </c>
      <c r="K1901" s="5" t="n">
        <v>60</v>
      </c>
    </row>
    <row r="1902" customFormat="false" ht="15" hidden="false" customHeight="false" outlineLevel="0" collapsed="false">
      <c r="A1902" s="5" t="n">
        <v>2023</v>
      </c>
      <c r="B1902" s="5" t="s">
        <v>567</v>
      </c>
      <c r="C1902" s="5" t="s">
        <v>806</v>
      </c>
      <c r="D1902" s="5" t="n">
        <v>23</v>
      </c>
      <c r="E1902" s="13" t="n">
        <v>5.07</v>
      </c>
      <c r="F1902" s="14" t="n">
        <f aca="false">E1902*Assumptions!$D$6</f>
        <v>758.610208701138</v>
      </c>
      <c r="G1902" s="14" t="n">
        <v>140</v>
      </c>
      <c r="H1902" s="14" t="n">
        <v>250</v>
      </c>
      <c r="I1902" s="14" t="n">
        <f aca="false">F1902-(G1902+H1902)/2</f>
        <v>563.610208701138</v>
      </c>
      <c r="J1902" s="5" t="str">
        <f aca="false">IF(D1902&lt;8,"LOW SAMPLE",IF(F1902&gt;H1902*(1+Assumptions!$B$10),"UNDERPAID",IF(F1902&lt;G1902*(1-Assumptions!$B$10),"OVERPAID","FAIR")))</f>
        <v>UNDERPAID</v>
      </c>
      <c r="K1902" s="5" t="n">
        <v>7</v>
      </c>
    </row>
    <row r="1903" customFormat="false" ht="15" hidden="false" customHeight="false" outlineLevel="0" collapsed="false">
      <c r="A1903" s="5" t="n">
        <v>2023</v>
      </c>
      <c r="B1903" s="5" t="s">
        <v>567</v>
      </c>
      <c r="C1903" s="5" t="s">
        <v>807</v>
      </c>
      <c r="D1903" s="5" t="n">
        <v>24</v>
      </c>
      <c r="E1903" s="13" t="n">
        <v>4.42</v>
      </c>
      <c r="F1903" s="14" t="n">
        <f aca="false">E1903*Assumptions!$D$6</f>
        <v>661.35248963689</v>
      </c>
      <c r="G1903" s="14" t="n">
        <v>250</v>
      </c>
      <c r="H1903" s="14" t="n">
        <v>380</v>
      </c>
      <c r="I1903" s="14" t="n">
        <f aca="false">F1903-(G1903+H1903)/2</f>
        <v>346.35248963689</v>
      </c>
      <c r="J1903" s="5" t="str">
        <f aca="false">IF(D1903&lt;8,"LOW SAMPLE",IF(F1903&gt;H1903*(1+Assumptions!$B$10),"UNDERPAID",IF(F1903&lt;G1903*(1-Assumptions!$B$10),"OVERPAID","FAIR")))</f>
        <v>UNDERPAID</v>
      </c>
      <c r="K1903" s="5" t="n">
        <v>17</v>
      </c>
    </row>
    <row r="1904" customFormat="false" ht="15" hidden="false" customHeight="false" outlineLevel="0" collapsed="false">
      <c r="A1904" s="5" t="n">
        <v>2023</v>
      </c>
      <c r="B1904" s="5" t="s">
        <v>567</v>
      </c>
      <c r="C1904" s="5" t="s">
        <v>600</v>
      </c>
      <c r="D1904" s="5" t="n">
        <v>24</v>
      </c>
      <c r="E1904" s="13" t="n">
        <v>7.31</v>
      </c>
      <c r="F1904" s="14" t="n">
        <f aca="false">E1904*Assumptions!$D$6</f>
        <v>1093.77527132255</v>
      </c>
      <c r="G1904" s="14" t="n">
        <v>680</v>
      </c>
      <c r="H1904" s="14" t="n">
        <v>950</v>
      </c>
      <c r="I1904" s="14" t="n">
        <f aca="false">F1904-(G1904+H1904)/2</f>
        <v>278.775271322549</v>
      </c>
      <c r="J1904" s="5" t="str">
        <f aca="false">IF(D1904&lt;8,"LOW SAMPLE",IF(F1904&gt;H1904*(1+Assumptions!$B$10),"UNDERPAID",IF(F1904&lt;G1904*(1-Assumptions!$B$10),"OVERPAID","FAIR")))</f>
        <v>UNDERPAID</v>
      </c>
      <c r="K1904" s="5" t="n">
        <v>86</v>
      </c>
    </row>
    <row r="1905" customFormat="false" ht="15" hidden="false" customHeight="false" outlineLevel="0" collapsed="false">
      <c r="A1905" s="5" t="n">
        <v>2023</v>
      </c>
      <c r="B1905" s="5" t="s">
        <v>567</v>
      </c>
      <c r="C1905" s="5" t="s">
        <v>601</v>
      </c>
      <c r="D1905" s="5" t="n">
        <v>20</v>
      </c>
      <c r="E1905" s="13" t="n">
        <v>3</v>
      </c>
      <c r="F1905" s="14" t="n">
        <f aca="false">E1905*Assumptions!$D$6</f>
        <v>448.881780296532</v>
      </c>
      <c r="G1905" s="14" t="n">
        <v>140</v>
      </c>
      <c r="H1905" s="14" t="n">
        <v>250</v>
      </c>
      <c r="I1905" s="14" t="n">
        <f aca="false">F1905-(G1905+H1905)/2</f>
        <v>253.881780296532</v>
      </c>
      <c r="J1905" s="5" t="str">
        <f aca="false">IF(D1905&lt;8,"LOW SAMPLE",IF(F1905&gt;H1905*(1+Assumptions!$B$10),"UNDERPAID",IF(F1905&lt;G1905*(1-Assumptions!$B$10),"OVERPAID","FAIR")))</f>
        <v>UNDERPAID</v>
      </c>
      <c r="K1905" s="5" t="n">
        <v>28</v>
      </c>
    </row>
    <row r="1906" customFormat="false" ht="15" hidden="false" customHeight="false" outlineLevel="0" collapsed="false">
      <c r="A1906" s="5" t="n">
        <v>2023</v>
      </c>
      <c r="B1906" s="5" t="s">
        <v>567</v>
      </c>
      <c r="C1906" s="5" t="s">
        <v>602</v>
      </c>
      <c r="D1906" s="5" t="n">
        <v>17</v>
      </c>
      <c r="E1906" s="13" t="n">
        <v>3.47</v>
      </c>
      <c r="F1906" s="14" t="n">
        <f aca="false">E1906*Assumptions!$D$6</f>
        <v>519.206592542988</v>
      </c>
      <c r="G1906" s="14" t="n">
        <v>500</v>
      </c>
      <c r="H1906" s="14" t="n">
        <v>680</v>
      </c>
      <c r="I1906" s="14" t="n">
        <f aca="false">F1906-(G1906+H1906)/2</f>
        <v>-70.7934074570118</v>
      </c>
      <c r="J1906" s="5" t="str">
        <f aca="false">IF(D1906&lt;8,"LOW SAMPLE",IF(F1906&gt;H1906*(1+Assumptions!$B$10),"UNDERPAID",IF(F1906&lt;G1906*(1-Assumptions!$B$10),"OVERPAID","FAIR")))</f>
        <v>FAIR</v>
      </c>
      <c r="K1906" s="5" t="n">
        <v>154</v>
      </c>
    </row>
    <row r="1907" customFormat="false" ht="15" hidden="false" customHeight="false" outlineLevel="0" collapsed="false">
      <c r="A1907" s="5" t="n">
        <v>2023</v>
      </c>
      <c r="B1907" s="5" t="s">
        <v>567</v>
      </c>
      <c r="C1907" s="5" t="s">
        <v>604</v>
      </c>
      <c r="D1907" s="5" t="n">
        <v>7</v>
      </c>
      <c r="E1907" s="13" t="n">
        <v>1.04</v>
      </c>
      <c r="F1907" s="14" t="n">
        <f aca="false">E1907*Assumptions!$D$6</f>
        <v>155.612350502798</v>
      </c>
      <c r="G1907" s="14" t="n">
        <v>680</v>
      </c>
      <c r="H1907" s="14" t="n">
        <v>950</v>
      </c>
      <c r="I1907" s="14" t="n">
        <f aca="false">F1907-(G1907+H1907)/2</f>
        <v>-659.387649497202</v>
      </c>
      <c r="J1907" s="5" t="str">
        <f aca="false">IF(D1907&lt;8,"LOW SAMPLE",IF(F1907&gt;H1907*(1+Assumptions!$B$10),"UNDERPAID",IF(F1907&lt;G1907*(1-Assumptions!$B$10),"OVERPAID","FAIR")))</f>
        <v>LOW SAMPLE</v>
      </c>
      <c r="K1907" s="5" t="n">
        <v>152</v>
      </c>
    </row>
    <row r="1908" customFormat="false" ht="15" hidden="false" customHeight="false" outlineLevel="0" collapsed="false">
      <c r="A1908" s="5" t="n">
        <v>2023</v>
      </c>
      <c r="B1908" s="5" t="s">
        <v>567</v>
      </c>
      <c r="C1908" s="5" t="s">
        <v>721</v>
      </c>
      <c r="D1908" s="5" t="n">
        <v>14</v>
      </c>
      <c r="E1908" s="13" t="n">
        <v>1.83</v>
      </c>
      <c r="F1908" s="14" t="n">
        <f aca="false">E1908*Assumptions!$D$6</f>
        <v>273.817885980884</v>
      </c>
      <c r="G1908" s="14" t="n">
        <v>380</v>
      </c>
      <c r="H1908" s="14" t="n">
        <v>500</v>
      </c>
      <c r="I1908" s="14" t="n">
        <f aca="false">F1908-(G1908+H1908)/2</f>
        <v>-166.182114019116</v>
      </c>
      <c r="J1908" s="5" t="str">
        <f aca="false">IF(D1908&lt;8,"LOW SAMPLE",IF(F1908&gt;H1908*(1+Assumptions!$B$10),"UNDERPAID",IF(F1908&lt;G1908*(1-Assumptions!$B$10),"OVERPAID","FAIR")))</f>
        <v>OVERPAID</v>
      </c>
      <c r="K1908" s="5" t="n">
        <v>118</v>
      </c>
    </row>
    <row r="1909" customFormat="false" ht="15" hidden="false" customHeight="false" outlineLevel="0" collapsed="false">
      <c r="A1909" s="5" t="n">
        <v>2023</v>
      </c>
      <c r="B1909" s="5" t="s">
        <v>567</v>
      </c>
      <c r="C1909" s="5" t="s">
        <v>606</v>
      </c>
      <c r="D1909" s="5" t="n">
        <v>4</v>
      </c>
      <c r="E1909" s="13" t="n">
        <v>0.51</v>
      </c>
      <c r="F1909" s="14" t="n">
        <f aca="false">E1909*Assumptions!$D$6</f>
        <v>76.3099026504104</v>
      </c>
      <c r="G1909" s="14" t="n">
        <v>380</v>
      </c>
      <c r="H1909" s="14" t="n">
        <v>500</v>
      </c>
      <c r="I1909" s="14" t="n">
        <f aca="false">F1909-(G1909+H1909)/2</f>
        <v>-363.69009734959</v>
      </c>
      <c r="J1909" s="5" t="str">
        <f aca="false">IF(D1909&lt;8,"LOW SAMPLE",IF(F1909&gt;H1909*(1+Assumptions!$B$10),"UNDERPAID",IF(F1909&lt;G1909*(1-Assumptions!$B$10),"OVERPAID","FAIR")))</f>
        <v>LOW SAMPLE</v>
      </c>
      <c r="K1909" s="5" t="n">
        <v>128</v>
      </c>
    </row>
    <row r="1910" customFormat="false" ht="15" hidden="false" customHeight="false" outlineLevel="0" collapsed="false">
      <c r="A1910" s="5" t="n">
        <v>2023</v>
      </c>
      <c r="B1910" s="5" t="s">
        <v>607</v>
      </c>
      <c r="C1910" s="5" t="s">
        <v>187</v>
      </c>
      <c r="D1910" s="5" t="n">
        <v>15</v>
      </c>
      <c r="E1910" s="13" t="n">
        <v>2.13</v>
      </c>
      <c r="F1910" s="14" t="n">
        <f aca="false">E1910*Assumptions!$D$6</f>
        <v>318.706064010537</v>
      </c>
      <c r="G1910" s="14" t="n">
        <v>250</v>
      </c>
      <c r="H1910" s="14" t="n">
        <v>380</v>
      </c>
      <c r="I1910" s="14" t="n">
        <f aca="false">F1910-(G1910+H1910)/2</f>
        <v>3.70606401053743</v>
      </c>
      <c r="J1910" s="5" t="str">
        <f aca="false">IF(D1910&lt;8,"LOW SAMPLE",IF(F1910&gt;H1910*(1+Assumptions!$B$10),"UNDERPAID",IF(F1910&lt;G1910*(1-Assumptions!$B$10),"OVERPAID","FAIR")))</f>
        <v>FAIR</v>
      </c>
      <c r="K1910" s="5" t="n">
        <v>54</v>
      </c>
    </row>
    <row r="1911" customFormat="false" ht="15" hidden="false" customHeight="false" outlineLevel="0" collapsed="false">
      <c r="A1911" s="5" t="n">
        <v>2023</v>
      </c>
      <c r="B1911" s="5" t="s">
        <v>607</v>
      </c>
      <c r="C1911" s="5" t="s">
        <v>808</v>
      </c>
      <c r="D1911" s="5" t="n">
        <v>7</v>
      </c>
      <c r="E1911" s="13" t="n">
        <v>1.09</v>
      </c>
      <c r="F1911" s="14" t="n">
        <f aca="false">E1911*Assumptions!$D$6</f>
        <v>163.09371350774</v>
      </c>
      <c r="G1911" s="14" t="n">
        <v>140</v>
      </c>
      <c r="H1911" s="14" t="n">
        <v>250</v>
      </c>
      <c r="I1911" s="14" t="n">
        <f aca="false">F1911-(G1911+H1911)/2</f>
        <v>-31.9062864922602</v>
      </c>
      <c r="J1911" s="5" t="str">
        <f aca="false">IF(D1911&lt;8,"LOW SAMPLE",IF(F1911&gt;H1911*(1+Assumptions!$B$10),"UNDERPAID",IF(F1911&lt;G1911*(1-Assumptions!$B$10),"OVERPAID","FAIR")))</f>
        <v>LOW SAMPLE</v>
      </c>
      <c r="K1911" s="5" t="n">
        <v>2</v>
      </c>
    </row>
    <row r="1912" customFormat="false" ht="15" hidden="false" customHeight="false" outlineLevel="0" collapsed="false">
      <c r="A1912" s="5" t="n">
        <v>2023</v>
      </c>
      <c r="B1912" s="5" t="s">
        <v>607</v>
      </c>
      <c r="C1912" s="5" t="s">
        <v>609</v>
      </c>
      <c r="D1912" s="5" t="n">
        <v>23</v>
      </c>
      <c r="E1912" s="13" t="n">
        <v>3.71</v>
      </c>
      <c r="F1912" s="14" t="n">
        <f aca="false">E1912*Assumptions!$D$6</f>
        <v>555.117134966711</v>
      </c>
      <c r="G1912" s="14" t="n">
        <v>140</v>
      </c>
      <c r="H1912" s="14" t="n">
        <v>250</v>
      </c>
      <c r="I1912" s="14" t="n">
        <f aca="false">F1912-(G1912+H1912)/2</f>
        <v>360.117134966711</v>
      </c>
      <c r="J1912" s="5" t="str">
        <f aca="false">IF(D1912&lt;8,"LOW SAMPLE",IF(F1912&gt;H1912*(1+Assumptions!$B$10),"UNDERPAID",IF(F1912&lt;G1912*(1-Assumptions!$B$10),"OVERPAID","FAIR")))</f>
        <v>UNDERPAID</v>
      </c>
      <c r="K1912" s="5" t="n">
        <v>25</v>
      </c>
    </row>
    <row r="1913" customFormat="false" ht="15" hidden="false" customHeight="false" outlineLevel="0" collapsed="false">
      <c r="A1913" s="5" t="n">
        <v>2023</v>
      </c>
      <c r="B1913" s="5" t="s">
        <v>607</v>
      </c>
      <c r="C1913" s="5" t="s">
        <v>610</v>
      </c>
      <c r="D1913" s="5" t="n">
        <v>20</v>
      </c>
      <c r="E1913" s="13" t="n">
        <v>3.81</v>
      </c>
      <c r="F1913" s="14" t="n">
        <f aca="false">E1913*Assumptions!$D$6</f>
        <v>570.079860976595</v>
      </c>
      <c r="G1913" s="14" t="n">
        <v>680</v>
      </c>
      <c r="H1913" s="14" t="n">
        <v>950</v>
      </c>
      <c r="I1913" s="14" t="n">
        <f aca="false">F1913-(G1913+H1913)/2</f>
        <v>-244.920139023405</v>
      </c>
      <c r="J1913" s="5" t="str">
        <f aca="false">IF(D1913&lt;8,"LOW SAMPLE",IF(F1913&gt;H1913*(1+Assumptions!$B$10),"UNDERPAID",IF(F1913&lt;G1913*(1-Assumptions!$B$10),"OVERPAID","FAIR")))</f>
        <v>OVERPAID</v>
      </c>
      <c r="K1913" s="5" t="n">
        <v>135</v>
      </c>
    </row>
    <row r="1914" customFormat="false" ht="15" hidden="false" customHeight="false" outlineLevel="0" collapsed="false">
      <c r="A1914" s="5" t="n">
        <v>2023</v>
      </c>
      <c r="B1914" s="5" t="s">
        <v>607</v>
      </c>
      <c r="C1914" s="5" t="s">
        <v>612</v>
      </c>
      <c r="D1914" s="5" t="n">
        <v>21</v>
      </c>
      <c r="E1914" s="13" t="n">
        <v>5.62</v>
      </c>
      <c r="F1914" s="14" t="n">
        <f aca="false">E1914*Assumptions!$D$6</f>
        <v>840.905201755503</v>
      </c>
      <c r="G1914" s="14" t="n">
        <v>500</v>
      </c>
      <c r="H1914" s="14" t="n">
        <v>680</v>
      </c>
      <c r="I1914" s="14" t="n">
        <f aca="false">F1914-(G1914+H1914)/2</f>
        <v>250.905201755503</v>
      </c>
      <c r="J1914" s="5" t="str">
        <f aca="false">IF(D1914&lt;8,"LOW SAMPLE",IF(F1914&gt;H1914*(1+Assumptions!$B$10),"UNDERPAID",IF(F1914&lt;G1914*(1-Assumptions!$B$10),"OVERPAID","FAIR")))</f>
        <v>UNDERPAID</v>
      </c>
      <c r="K1914" s="5" t="n">
        <v>39</v>
      </c>
    </row>
    <row r="1915" customFormat="false" ht="15" hidden="false" customHeight="false" outlineLevel="0" collapsed="false">
      <c r="A1915" s="5" t="n">
        <v>2023</v>
      </c>
      <c r="B1915" s="5" t="s">
        <v>607</v>
      </c>
      <c r="C1915" s="5" t="s">
        <v>890</v>
      </c>
      <c r="D1915" s="5" t="n">
        <v>3</v>
      </c>
      <c r="E1915" s="13" t="n">
        <v>0.18</v>
      </c>
      <c r="F1915" s="14" t="n">
        <f aca="false">E1915*Assumptions!$D$6</f>
        <v>26.9329068177919</v>
      </c>
      <c r="G1915" s="14" t="n">
        <v>250</v>
      </c>
      <c r="H1915" s="14" t="n">
        <v>380</v>
      </c>
      <c r="I1915" s="14" t="n">
        <f aca="false">F1915-(G1915+H1915)/2</f>
        <v>-288.067093182208</v>
      </c>
      <c r="J1915" s="5" t="str">
        <f aca="false">IF(D1915&lt;8,"LOW SAMPLE",IF(F1915&gt;H1915*(1+Assumptions!$B$10),"UNDERPAID",IF(F1915&lt;G1915*(1-Assumptions!$B$10),"OVERPAID","FAIR")))</f>
        <v>LOW SAMPLE</v>
      </c>
      <c r="K1915" s="5" t="n">
        <v>0</v>
      </c>
    </row>
    <row r="1916" customFormat="false" ht="15" hidden="false" customHeight="false" outlineLevel="0" collapsed="false">
      <c r="A1916" s="5" t="n">
        <v>2023</v>
      </c>
      <c r="B1916" s="5" t="s">
        <v>607</v>
      </c>
      <c r="C1916" s="5" t="s">
        <v>614</v>
      </c>
      <c r="D1916" s="5" t="n">
        <v>15</v>
      </c>
      <c r="E1916" s="13" t="n">
        <v>2.44</v>
      </c>
      <c r="F1916" s="14" t="n">
        <f aca="false">E1916*Assumptions!$D$6</f>
        <v>365.090514641179</v>
      </c>
      <c r="G1916" s="14" t="n">
        <v>500</v>
      </c>
      <c r="H1916" s="14" t="n">
        <v>680</v>
      </c>
      <c r="I1916" s="14" t="n">
        <f aca="false">F1916-(G1916+H1916)/2</f>
        <v>-224.909485358821</v>
      </c>
      <c r="J1916" s="5" t="str">
        <f aca="false">IF(D1916&lt;8,"LOW SAMPLE",IF(F1916&gt;H1916*(1+Assumptions!$B$10),"UNDERPAID",IF(F1916&lt;G1916*(1-Assumptions!$B$10),"OVERPAID","FAIR")))</f>
        <v>OVERPAID</v>
      </c>
      <c r="K1916" s="5" t="n">
        <v>167</v>
      </c>
    </row>
    <row r="1917" customFormat="false" ht="15" hidden="false" customHeight="false" outlineLevel="0" collapsed="false">
      <c r="A1917" s="5" t="n">
        <v>2023</v>
      </c>
      <c r="B1917" s="5" t="s">
        <v>607</v>
      </c>
      <c r="C1917" s="5" t="s">
        <v>615</v>
      </c>
      <c r="D1917" s="5" t="n">
        <v>13</v>
      </c>
      <c r="E1917" s="13" t="n">
        <v>1.73</v>
      </c>
      <c r="F1917" s="14" t="n">
        <f aca="false">E1917*Assumptions!$D$6</f>
        <v>258.855159971</v>
      </c>
      <c r="G1917" s="14" t="n">
        <v>250</v>
      </c>
      <c r="H1917" s="14" t="n">
        <v>380</v>
      </c>
      <c r="I1917" s="14" t="n">
        <f aca="false">F1917-(G1917+H1917)/2</f>
        <v>-56.1448400290001</v>
      </c>
      <c r="J1917" s="5" t="str">
        <f aca="false">IF(D1917&lt;8,"LOW SAMPLE",IF(F1917&gt;H1917*(1+Assumptions!$B$10),"UNDERPAID",IF(F1917&lt;G1917*(1-Assumptions!$B$10),"OVERPAID","FAIR")))</f>
        <v>FAIR</v>
      </c>
      <c r="K1917" s="5" t="n">
        <v>30</v>
      </c>
    </row>
    <row r="1918" customFormat="false" ht="15" hidden="false" customHeight="false" outlineLevel="0" collapsed="false">
      <c r="A1918" s="5" t="n">
        <v>2023</v>
      </c>
      <c r="B1918" s="5" t="s">
        <v>607</v>
      </c>
      <c r="C1918" s="5" t="s">
        <v>616</v>
      </c>
      <c r="D1918" s="5" t="n">
        <v>24</v>
      </c>
      <c r="E1918" s="13" t="n">
        <v>7.29</v>
      </c>
      <c r="F1918" s="14" t="n">
        <f aca="false">E1918*Assumptions!$D$6</f>
        <v>1090.78272612057</v>
      </c>
      <c r="G1918" s="14" t="n">
        <v>500</v>
      </c>
      <c r="H1918" s="14" t="n">
        <v>680</v>
      </c>
      <c r="I1918" s="14" t="n">
        <f aca="false">F1918-(G1918+H1918)/2</f>
        <v>500.782726120572</v>
      </c>
      <c r="J1918" s="5" t="str">
        <f aca="false">IF(D1918&lt;8,"LOW SAMPLE",IF(F1918&gt;H1918*(1+Assumptions!$B$10),"UNDERPAID",IF(F1918&lt;G1918*(1-Assumptions!$B$10),"OVERPAID","FAIR")))</f>
        <v>UNDERPAID</v>
      </c>
      <c r="K1918" s="5" t="n">
        <v>43</v>
      </c>
    </row>
    <row r="1919" customFormat="false" ht="15" hidden="false" customHeight="false" outlineLevel="0" collapsed="false">
      <c r="A1919" s="5" t="n">
        <v>2023</v>
      </c>
      <c r="B1919" s="5" t="s">
        <v>607</v>
      </c>
      <c r="C1919" s="5" t="s">
        <v>618</v>
      </c>
      <c r="D1919" s="5" t="n">
        <v>24</v>
      </c>
      <c r="E1919" s="13" t="n">
        <v>3.08</v>
      </c>
      <c r="F1919" s="14" t="n">
        <f aca="false">E1919*Assumptions!$D$6</f>
        <v>460.851961104439</v>
      </c>
      <c r="G1919" s="14" t="n">
        <v>380</v>
      </c>
      <c r="H1919" s="14" t="n">
        <v>500</v>
      </c>
      <c r="I1919" s="14" t="n">
        <f aca="false">F1919-(G1919+H1919)/2</f>
        <v>20.8519611044391</v>
      </c>
      <c r="J1919" s="5" t="str">
        <f aca="false">IF(D1919&lt;8,"LOW SAMPLE",IF(F1919&gt;H1919*(1+Assumptions!$B$10),"UNDERPAID",IF(F1919&lt;G1919*(1-Assumptions!$B$10),"OVERPAID","FAIR")))</f>
        <v>FAIR</v>
      </c>
      <c r="K1919" s="5" t="n">
        <v>130</v>
      </c>
    </row>
    <row r="1920" customFormat="false" ht="15" hidden="false" customHeight="false" outlineLevel="0" collapsed="false">
      <c r="A1920" s="5" t="n">
        <v>2023</v>
      </c>
      <c r="B1920" s="5" t="s">
        <v>607</v>
      </c>
      <c r="C1920" s="5" t="s">
        <v>619</v>
      </c>
      <c r="D1920" s="5" t="n">
        <v>22</v>
      </c>
      <c r="E1920" s="13" t="n">
        <v>4.89</v>
      </c>
      <c r="F1920" s="14" t="n">
        <f aca="false">E1920*Assumptions!$D$6</f>
        <v>731.677301883346</v>
      </c>
      <c r="G1920" s="14" t="n">
        <v>250</v>
      </c>
      <c r="H1920" s="14" t="n">
        <v>380</v>
      </c>
      <c r="I1920" s="14" t="n">
        <f aca="false">F1920-(G1920+H1920)/2</f>
        <v>416.677301883346</v>
      </c>
      <c r="J1920" s="5" t="str">
        <f aca="false">IF(D1920&lt;8,"LOW SAMPLE",IF(F1920&gt;H1920*(1+Assumptions!$B$10),"UNDERPAID",IF(F1920&lt;G1920*(1-Assumptions!$B$10),"OVERPAID","FAIR")))</f>
        <v>UNDERPAID</v>
      </c>
      <c r="K1920" s="5" t="n">
        <v>31</v>
      </c>
    </row>
    <row r="1921" customFormat="false" ht="15" hidden="false" customHeight="false" outlineLevel="0" collapsed="false">
      <c r="A1921" s="5" t="n">
        <v>2023</v>
      </c>
      <c r="B1921" s="5" t="s">
        <v>607</v>
      </c>
      <c r="C1921" s="5" t="s">
        <v>620</v>
      </c>
      <c r="D1921" s="5" t="n">
        <v>23</v>
      </c>
      <c r="E1921" s="13" t="n">
        <v>5.37</v>
      </c>
      <c r="F1921" s="14" t="n">
        <f aca="false">E1921*Assumptions!$D$6</f>
        <v>803.498386730792</v>
      </c>
      <c r="G1921" s="14" t="n">
        <v>680</v>
      </c>
      <c r="H1921" s="14" t="n">
        <v>950</v>
      </c>
      <c r="I1921" s="14" t="n">
        <f aca="false">F1921-(G1921+H1921)/2</f>
        <v>-11.5016132692084</v>
      </c>
      <c r="J1921" s="5" t="str">
        <f aca="false">IF(D1921&lt;8,"LOW SAMPLE",IF(F1921&gt;H1921*(1+Assumptions!$B$10),"UNDERPAID",IF(F1921&lt;G1921*(1-Assumptions!$B$10),"OVERPAID","FAIR")))</f>
        <v>FAIR</v>
      </c>
      <c r="K1921" s="5" t="n">
        <v>154</v>
      </c>
    </row>
    <row r="1922" customFormat="false" ht="15" hidden="false" customHeight="false" outlineLevel="0" collapsed="false">
      <c r="A1922" s="5" t="n">
        <v>2023</v>
      </c>
      <c r="B1922" s="5" t="s">
        <v>607</v>
      </c>
      <c r="C1922" s="5" t="s">
        <v>891</v>
      </c>
      <c r="D1922" s="5" t="n">
        <v>1</v>
      </c>
      <c r="E1922" s="13" t="n">
        <v>0.02</v>
      </c>
      <c r="F1922" s="14" t="n">
        <f aca="false">E1922*Assumptions!$D$6</f>
        <v>2.99254520197688</v>
      </c>
      <c r="G1922" s="14" t="n">
        <v>250</v>
      </c>
      <c r="H1922" s="14" t="n">
        <v>380</v>
      </c>
      <c r="I1922" s="14" t="n">
        <f aca="false">F1922-(G1922+H1922)/2</f>
        <v>-312.007454798023</v>
      </c>
      <c r="J1922" s="5" t="str">
        <f aca="false">IF(D1922&lt;8,"LOW SAMPLE",IF(F1922&gt;H1922*(1+Assumptions!$B$10),"UNDERPAID",IF(F1922&lt;G1922*(1-Assumptions!$B$10),"OVERPAID","FAIR")))</f>
        <v>LOW SAMPLE</v>
      </c>
      <c r="K1922" s="5" t="n">
        <v>0</v>
      </c>
    </row>
    <row r="1923" customFormat="false" ht="15" hidden="false" customHeight="false" outlineLevel="0" collapsed="false">
      <c r="A1923" s="5" t="n">
        <v>2023</v>
      </c>
      <c r="B1923" s="5" t="s">
        <v>607</v>
      </c>
      <c r="C1923" s="5" t="s">
        <v>621</v>
      </c>
      <c r="D1923" s="5" t="n">
        <v>23</v>
      </c>
      <c r="E1923" s="13" t="n">
        <v>4.69</v>
      </c>
      <c r="F1923" s="14" t="n">
        <f aca="false">E1923*Assumptions!$D$6</f>
        <v>701.751849863578</v>
      </c>
      <c r="G1923" s="14" t="n">
        <v>500</v>
      </c>
      <c r="H1923" s="14" t="n">
        <v>680</v>
      </c>
      <c r="I1923" s="14" t="n">
        <f aca="false">F1923-(G1923+H1923)/2</f>
        <v>111.751849863578</v>
      </c>
      <c r="J1923" s="5" t="str">
        <f aca="false">IF(D1923&lt;8,"LOW SAMPLE",IF(F1923&gt;H1923*(1+Assumptions!$B$10),"UNDERPAID",IF(F1923&lt;G1923*(1-Assumptions!$B$10),"OVERPAID","FAIR")))</f>
        <v>FAIR</v>
      </c>
      <c r="K1923" s="5" t="n">
        <v>179</v>
      </c>
    </row>
    <row r="1924" customFormat="false" ht="15" hidden="false" customHeight="false" outlineLevel="0" collapsed="false">
      <c r="A1924" s="5" t="n">
        <v>2023</v>
      </c>
      <c r="B1924" s="5" t="s">
        <v>607</v>
      </c>
      <c r="C1924" s="5" t="s">
        <v>623</v>
      </c>
      <c r="D1924" s="5" t="n">
        <v>24</v>
      </c>
      <c r="E1924" s="13" t="n">
        <v>5.47</v>
      </c>
      <c r="F1924" s="14" t="n">
        <f aca="false">E1924*Assumptions!$D$6</f>
        <v>818.461112740676</v>
      </c>
      <c r="G1924" s="14" t="n">
        <v>500</v>
      </c>
      <c r="H1924" s="14" t="n">
        <v>680</v>
      </c>
      <c r="I1924" s="14" t="n">
        <f aca="false">F1924-(G1924+H1924)/2</f>
        <v>228.461112740676</v>
      </c>
      <c r="J1924" s="5" t="str">
        <f aca="false">IF(D1924&lt;8,"LOW SAMPLE",IF(F1924&gt;H1924*(1+Assumptions!$B$10),"UNDERPAID",IF(F1924&lt;G1924*(1-Assumptions!$B$10),"OVERPAID","FAIR")))</f>
        <v>UNDERPAID</v>
      </c>
      <c r="K1924" s="5" t="n">
        <v>69</v>
      </c>
    </row>
    <row r="1925" customFormat="false" ht="15" hidden="false" customHeight="false" outlineLevel="0" collapsed="false">
      <c r="A1925" s="5" t="n">
        <v>2023</v>
      </c>
      <c r="B1925" s="5" t="s">
        <v>607</v>
      </c>
      <c r="C1925" s="5" t="s">
        <v>624</v>
      </c>
      <c r="D1925" s="5" t="n">
        <v>15</v>
      </c>
      <c r="E1925" s="13" t="n">
        <v>2.72</v>
      </c>
      <c r="F1925" s="14" t="n">
        <f aca="false">E1925*Assumptions!$D$6</f>
        <v>406.986147468855</v>
      </c>
      <c r="G1925" s="14" t="n">
        <v>140</v>
      </c>
      <c r="H1925" s="14" t="n">
        <v>250</v>
      </c>
      <c r="I1925" s="14" t="n">
        <f aca="false">F1925-(G1925+H1925)/2</f>
        <v>211.986147468855</v>
      </c>
      <c r="J1925" s="5" t="str">
        <f aca="false">IF(D1925&lt;8,"LOW SAMPLE",IF(F1925&gt;H1925*(1+Assumptions!$B$10),"UNDERPAID",IF(F1925&lt;G1925*(1-Assumptions!$B$10),"OVERPAID","FAIR")))</f>
        <v>UNDERPAID</v>
      </c>
      <c r="K1925" s="5" t="n">
        <v>13</v>
      </c>
    </row>
    <row r="1926" customFormat="false" ht="15" hidden="false" customHeight="false" outlineLevel="0" collapsed="false">
      <c r="A1926" s="5" t="n">
        <v>2023</v>
      </c>
      <c r="B1926" s="5" t="s">
        <v>607</v>
      </c>
      <c r="C1926" s="5" t="s">
        <v>627</v>
      </c>
      <c r="D1926" s="5" t="n">
        <v>19</v>
      </c>
      <c r="E1926" s="13" t="n">
        <v>3.09</v>
      </c>
      <c r="F1926" s="14" t="n">
        <f aca="false">E1926*Assumptions!$D$6</f>
        <v>462.348233705428</v>
      </c>
      <c r="G1926" s="14" t="n">
        <v>380</v>
      </c>
      <c r="H1926" s="14" t="n">
        <v>500</v>
      </c>
      <c r="I1926" s="14" t="n">
        <f aca="false">F1926-(G1926+H1926)/2</f>
        <v>22.3482337054275</v>
      </c>
      <c r="J1926" s="5" t="str">
        <f aca="false">IF(D1926&lt;8,"LOW SAMPLE",IF(F1926&gt;H1926*(1+Assumptions!$B$10),"UNDERPAID",IF(F1926&lt;G1926*(1-Assumptions!$B$10),"OVERPAID","FAIR")))</f>
        <v>FAIR</v>
      </c>
      <c r="K1926" s="5" t="n">
        <v>53</v>
      </c>
    </row>
    <row r="1927" customFormat="false" ht="15" hidden="false" customHeight="false" outlineLevel="0" collapsed="false">
      <c r="A1927" s="5" t="n">
        <v>2023</v>
      </c>
      <c r="B1927" s="5" t="s">
        <v>607</v>
      </c>
      <c r="C1927" s="5" t="s">
        <v>892</v>
      </c>
      <c r="D1927" s="5" t="n">
        <v>2</v>
      </c>
      <c r="E1927" s="13" t="n">
        <v>0.25</v>
      </c>
      <c r="F1927" s="14" t="n">
        <f aca="false">E1927*Assumptions!$D$6</f>
        <v>37.406815024711</v>
      </c>
      <c r="G1927" s="14" t="n">
        <v>250</v>
      </c>
      <c r="H1927" s="14" t="n">
        <v>380</v>
      </c>
      <c r="I1927" s="14" t="n">
        <f aca="false">F1927-(G1927+H1927)/2</f>
        <v>-277.593184975289</v>
      </c>
      <c r="J1927" s="5" t="str">
        <f aca="false">IF(D1927&lt;8,"LOW SAMPLE",IF(F1927&gt;H1927*(1+Assumptions!$B$10),"UNDERPAID",IF(F1927&lt;G1927*(1-Assumptions!$B$10),"OVERPAID","FAIR")))</f>
        <v>LOW SAMPLE</v>
      </c>
      <c r="K1927" s="5" t="n">
        <v>0</v>
      </c>
    </row>
    <row r="1928" customFormat="false" ht="15" hidden="false" customHeight="false" outlineLevel="0" collapsed="false">
      <c r="A1928" s="5" t="n">
        <v>2023</v>
      </c>
      <c r="B1928" s="5" t="s">
        <v>607</v>
      </c>
      <c r="C1928" s="5" t="s">
        <v>629</v>
      </c>
      <c r="D1928" s="5" t="n">
        <v>13</v>
      </c>
      <c r="E1928" s="13" t="n">
        <v>2.65</v>
      </c>
      <c r="F1928" s="14" t="n">
        <f aca="false">E1928*Assumptions!$D$6</f>
        <v>396.512239261936</v>
      </c>
      <c r="G1928" s="14" t="n">
        <v>680</v>
      </c>
      <c r="H1928" s="14" t="n">
        <v>950</v>
      </c>
      <c r="I1928" s="14" t="n">
        <f aca="false">F1928-(G1928+H1928)/2</f>
        <v>-418.487760738064</v>
      </c>
      <c r="J1928" s="5" t="str">
        <f aca="false">IF(D1928&lt;8,"LOW SAMPLE",IF(F1928&gt;H1928*(1+Assumptions!$B$10),"UNDERPAID",IF(F1928&lt;G1928*(1-Assumptions!$B$10),"OVERPAID","FAIR")))</f>
        <v>OVERPAID</v>
      </c>
      <c r="K1928" s="5" t="n">
        <v>137</v>
      </c>
    </row>
    <row r="1929" customFormat="false" ht="15" hidden="false" customHeight="false" outlineLevel="0" collapsed="false">
      <c r="A1929" s="5" t="n">
        <v>2023</v>
      </c>
      <c r="B1929" s="5" t="s">
        <v>607</v>
      </c>
      <c r="C1929" s="5" t="s">
        <v>630</v>
      </c>
      <c r="D1929" s="5" t="n">
        <v>8</v>
      </c>
      <c r="E1929" s="13" t="n">
        <v>1.17</v>
      </c>
      <c r="F1929" s="14" t="n">
        <f aca="false">E1929*Assumptions!$D$6</f>
        <v>175.063894315647</v>
      </c>
      <c r="G1929" s="14" t="n">
        <v>250</v>
      </c>
      <c r="H1929" s="14" t="n">
        <v>380</v>
      </c>
      <c r="I1929" s="14" t="n">
        <f aca="false">F1929-(G1929+H1929)/2</f>
        <v>-139.936105684353</v>
      </c>
      <c r="J1929" s="5" t="str">
        <f aca="false">IF(D1929&lt;8,"LOW SAMPLE",IF(F1929&gt;H1929*(1+Assumptions!$B$10),"UNDERPAID",IF(F1929&lt;G1929*(1-Assumptions!$B$10),"OVERPAID","FAIR")))</f>
        <v>OVERPAID</v>
      </c>
      <c r="K1929" s="5" t="n">
        <v>52</v>
      </c>
    </row>
    <row r="1930" customFormat="false" ht="15" hidden="false" customHeight="false" outlineLevel="0" collapsed="false">
      <c r="A1930" s="5" t="n">
        <v>2023</v>
      </c>
      <c r="B1930" s="5" t="s">
        <v>607</v>
      </c>
      <c r="C1930" s="5" t="s">
        <v>632</v>
      </c>
      <c r="D1930" s="5" t="n">
        <v>20</v>
      </c>
      <c r="E1930" s="13" t="n">
        <v>3.45</v>
      </c>
      <c r="F1930" s="14" t="n">
        <f aca="false">E1930*Assumptions!$D$6</f>
        <v>516.214047341011</v>
      </c>
      <c r="G1930" s="14" t="n">
        <v>250</v>
      </c>
      <c r="H1930" s="14" t="n">
        <v>380</v>
      </c>
      <c r="I1930" s="14" t="n">
        <f aca="false">F1930-(G1930+H1930)/2</f>
        <v>201.214047341011</v>
      </c>
      <c r="J1930" s="5" t="str">
        <f aca="false">IF(D1930&lt;8,"LOW SAMPLE",IF(F1930&gt;H1930*(1+Assumptions!$B$10),"UNDERPAID",IF(F1930&lt;G1930*(1-Assumptions!$B$10),"OVERPAID","FAIR")))</f>
        <v>UNDERPAID</v>
      </c>
      <c r="K1930" s="5" t="n">
        <v>24</v>
      </c>
    </row>
    <row r="1931" customFormat="false" ht="15" hidden="false" customHeight="false" outlineLevel="0" collapsed="false">
      <c r="A1931" s="5" t="n">
        <v>2023</v>
      </c>
      <c r="B1931" s="5" t="s">
        <v>607</v>
      </c>
      <c r="C1931" s="5" t="s">
        <v>633</v>
      </c>
      <c r="D1931" s="5" t="n">
        <v>23</v>
      </c>
      <c r="E1931" s="13" t="n">
        <v>5.63</v>
      </c>
      <c r="F1931" s="14" t="n">
        <f aca="false">E1931*Assumptions!$D$6</f>
        <v>842.401474356491</v>
      </c>
      <c r="G1931" s="14" t="n">
        <v>950</v>
      </c>
      <c r="H1931" s="14" t="n">
        <v>1300</v>
      </c>
      <c r="I1931" s="14" t="n">
        <f aca="false">F1931-(G1931+H1931)/2</f>
        <v>-282.598525643509</v>
      </c>
      <c r="J1931" s="5" t="str">
        <f aca="false">IF(D1931&lt;8,"LOW SAMPLE",IF(F1931&gt;H1931*(1+Assumptions!$B$10),"UNDERPAID",IF(F1931&lt;G1931*(1-Assumptions!$B$10),"OVERPAID","FAIR")))</f>
        <v>FAIR</v>
      </c>
      <c r="K1931" s="5" t="n">
        <v>178</v>
      </c>
    </row>
    <row r="1932" customFormat="false" ht="15" hidden="false" customHeight="false" outlineLevel="0" collapsed="false">
      <c r="A1932" s="5" t="n">
        <v>2023</v>
      </c>
      <c r="B1932" s="5" t="s">
        <v>607</v>
      </c>
      <c r="C1932" s="5" t="s">
        <v>893</v>
      </c>
      <c r="D1932" s="5" t="n">
        <v>3</v>
      </c>
      <c r="E1932" s="13" t="n">
        <v>0.18</v>
      </c>
      <c r="F1932" s="14" t="n">
        <f aca="false">E1932*Assumptions!$D$6</f>
        <v>26.9329068177919</v>
      </c>
      <c r="G1932" s="14" t="n">
        <v>250</v>
      </c>
      <c r="H1932" s="14" t="n">
        <v>380</v>
      </c>
      <c r="I1932" s="14" t="n">
        <f aca="false">F1932-(G1932+H1932)/2</f>
        <v>-288.067093182208</v>
      </c>
      <c r="J1932" s="5" t="str">
        <f aca="false">IF(D1932&lt;8,"LOW SAMPLE",IF(F1932&gt;H1932*(1+Assumptions!$B$10),"UNDERPAID",IF(F1932&lt;G1932*(1-Assumptions!$B$10),"OVERPAID","FAIR")))</f>
        <v>LOW SAMPLE</v>
      </c>
      <c r="K1932" s="5" t="n">
        <v>0</v>
      </c>
    </row>
    <row r="1933" customFormat="false" ht="15" hidden="false" customHeight="false" outlineLevel="0" collapsed="false">
      <c r="A1933" s="5" t="n">
        <v>2023</v>
      </c>
      <c r="B1933" s="5" t="s">
        <v>607</v>
      </c>
      <c r="C1933" s="5" t="s">
        <v>809</v>
      </c>
      <c r="D1933" s="5" t="n">
        <v>6</v>
      </c>
      <c r="E1933" s="13" t="n">
        <v>0.38</v>
      </c>
      <c r="F1933" s="14" t="n">
        <f aca="false">E1933*Assumptions!$D$6</f>
        <v>56.8583588375607</v>
      </c>
      <c r="G1933" s="14" t="n">
        <v>140</v>
      </c>
      <c r="H1933" s="14" t="n">
        <v>250</v>
      </c>
      <c r="I1933" s="14" t="n">
        <f aca="false">F1933-(G1933+H1933)/2</f>
        <v>-138.141641162439</v>
      </c>
      <c r="J1933" s="5" t="str">
        <f aca="false">IF(D1933&lt;8,"LOW SAMPLE",IF(F1933&gt;H1933*(1+Assumptions!$B$10),"UNDERPAID",IF(F1933&lt;G1933*(1-Assumptions!$B$10),"OVERPAID","FAIR")))</f>
        <v>LOW SAMPLE</v>
      </c>
      <c r="K1933" s="5" t="n">
        <v>1</v>
      </c>
    </row>
    <row r="1934" customFormat="false" ht="15" hidden="false" customHeight="false" outlineLevel="0" collapsed="false">
      <c r="A1934" s="5" t="n">
        <v>2023</v>
      </c>
      <c r="B1934" s="5" t="s">
        <v>607</v>
      </c>
      <c r="C1934" s="5" t="s">
        <v>635</v>
      </c>
      <c r="D1934" s="5" t="n">
        <v>24</v>
      </c>
      <c r="E1934" s="13" t="n">
        <v>5.24</v>
      </c>
      <c r="F1934" s="14" t="n">
        <f aca="false">E1934*Assumptions!$D$6</f>
        <v>784.046842917942</v>
      </c>
      <c r="G1934" s="14" t="n">
        <v>500</v>
      </c>
      <c r="H1934" s="14" t="n">
        <v>680</v>
      </c>
      <c r="I1934" s="14" t="n">
        <f aca="false">F1934-(G1934+H1934)/2</f>
        <v>194.046842917942</v>
      </c>
      <c r="J1934" s="5" t="str">
        <f aca="false">IF(D1934&lt;8,"LOW SAMPLE",IF(F1934&gt;H1934*(1+Assumptions!$B$10),"UNDERPAID",IF(F1934&lt;G1934*(1-Assumptions!$B$10),"OVERPAID","FAIR")))</f>
        <v>UNDERPAID</v>
      </c>
      <c r="K1934" s="5" t="n">
        <v>78</v>
      </c>
    </row>
    <row r="1935" customFormat="false" ht="15" hidden="false" customHeight="false" outlineLevel="0" collapsed="false">
      <c r="A1935" s="5" t="n">
        <v>2023</v>
      </c>
      <c r="B1935" s="5" t="s">
        <v>607</v>
      </c>
      <c r="C1935" s="5" t="s">
        <v>636</v>
      </c>
      <c r="D1935" s="5" t="n">
        <v>24</v>
      </c>
      <c r="E1935" s="13" t="n">
        <v>4.1</v>
      </c>
      <c r="F1935" s="14" t="n">
        <f aca="false">E1935*Assumptions!$D$6</f>
        <v>613.47176640526</v>
      </c>
      <c r="G1935" s="14" t="n">
        <v>500</v>
      </c>
      <c r="H1935" s="14" t="n">
        <v>680</v>
      </c>
      <c r="I1935" s="14" t="n">
        <f aca="false">F1935-(G1935+H1935)/2</f>
        <v>23.4717664052598</v>
      </c>
      <c r="J1935" s="5" t="str">
        <f aca="false">IF(D1935&lt;8,"LOW SAMPLE",IF(F1935&gt;H1935*(1+Assumptions!$B$10),"UNDERPAID",IF(F1935&lt;G1935*(1-Assumptions!$B$10),"OVERPAID","FAIR")))</f>
        <v>FAIR</v>
      </c>
      <c r="K1935" s="5" t="n">
        <v>118</v>
      </c>
    </row>
    <row r="1936" customFormat="false" ht="15" hidden="false" customHeight="false" outlineLevel="0" collapsed="false">
      <c r="A1936" s="5" t="n">
        <v>2023</v>
      </c>
      <c r="B1936" s="5" t="s">
        <v>607</v>
      </c>
      <c r="C1936" s="5" t="s">
        <v>810</v>
      </c>
      <c r="D1936" s="5" t="n">
        <v>4</v>
      </c>
      <c r="E1936" s="13" t="n">
        <v>0.45</v>
      </c>
      <c r="F1936" s="14" t="n">
        <f aca="false">E1936*Assumptions!$D$6</f>
        <v>67.3322670444797</v>
      </c>
      <c r="G1936" s="14" t="n">
        <v>500</v>
      </c>
      <c r="H1936" s="14" t="n">
        <v>680</v>
      </c>
      <c r="I1936" s="14" t="n">
        <f aca="false">F1936-(G1936+H1936)/2</f>
        <v>-522.66773295552</v>
      </c>
      <c r="J1936" s="5" t="str">
        <f aca="false">IF(D1936&lt;8,"LOW SAMPLE",IF(F1936&gt;H1936*(1+Assumptions!$B$10),"UNDERPAID",IF(F1936&lt;G1936*(1-Assumptions!$B$10),"OVERPAID","FAIR")))</f>
        <v>LOW SAMPLE</v>
      </c>
      <c r="K1936" s="5" t="n">
        <v>59</v>
      </c>
    </row>
    <row r="1937" customFormat="false" ht="15" hidden="false" customHeight="false" outlineLevel="0" collapsed="false">
      <c r="A1937" s="5" t="n">
        <v>2023</v>
      </c>
      <c r="B1937" s="5" t="s">
        <v>607</v>
      </c>
      <c r="C1937" s="5" t="s">
        <v>510</v>
      </c>
      <c r="D1937" s="5" t="n">
        <v>9</v>
      </c>
      <c r="E1937" s="13" t="n">
        <v>2</v>
      </c>
      <c r="F1937" s="14" t="n">
        <f aca="false">E1937*Assumptions!$D$6</f>
        <v>299.254520197688</v>
      </c>
      <c r="G1937" s="14" t="n">
        <v>380</v>
      </c>
      <c r="H1937" s="14" t="n">
        <v>500</v>
      </c>
      <c r="I1937" s="14" t="n">
        <f aca="false">F1937-(G1937+H1937)/2</f>
        <v>-140.745479802312</v>
      </c>
      <c r="J1937" s="5" t="str">
        <f aca="false">IF(D1937&lt;8,"LOW SAMPLE",IF(F1937&gt;H1937*(1+Assumptions!$B$10),"UNDERPAID",IF(F1937&lt;G1937*(1-Assumptions!$B$10),"OVERPAID","FAIR")))</f>
        <v>OVERPAID</v>
      </c>
      <c r="K1937" s="5" t="n">
        <v>43</v>
      </c>
    </row>
    <row r="1938" customFormat="false" ht="15" hidden="false" customHeight="false" outlineLevel="0" collapsed="false">
      <c r="A1938" s="5" t="n">
        <v>2023</v>
      </c>
      <c r="B1938" s="5" t="s">
        <v>607</v>
      </c>
      <c r="C1938" s="5" t="s">
        <v>637</v>
      </c>
      <c r="D1938" s="5" t="n">
        <v>20</v>
      </c>
      <c r="E1938" s="13" t="n">
        <v>2.96</v>
      </c>
      <c r="F1938" s="14" t="n">
        <f aca="false">E1938*Assumptions!$D$6</f>
        <v>442.896689892578</v>
      </c>
      <c r="G1938" s="14" t="n">
        <v>380</v>
      </c>
      <c r="H1938" s="14" t="n">
        <v>500</v>
      </c>
      <c r="I1938" s="14" t="n">
        <f aca="false">F1938-(G1938+H1938)/2</f>
        <v>2.89668989257785</v>
      </c>
      <c r="J1938" s="5" t="str">
        <f aca="false">IF(D1938&lt;8,"LOW SAMPLE",IF(F1938&gt;H1938*(1+Assumptions!$B$10),"UNDERPAID",IF(F1938&lt;G1938*(1-Assumptions!$B$10),"OVERPAID","FAIR")))</f>
        <v>FAIR</v>
      </c>
      <c r="K1938" s="5" t="n">
        <v>67</v>
      </c>
    </row>
    <row r="1939" customFormat="false" ht="15" hidden="false" customHeight="false" outlineLevel="0" collapsed="false">
      <c r="A1939" s="5" t="n">
        <v>2023</v>
      </c>
      <c r="B1939" s="5" t="s">
        <v>607</v>
      </c>
      <c r="C1939" s="5" t="s">
        <v>638</v>
      </c>
      <c r="D1939" s="5" t="n">
        <v>16</v>
      </c>
      <c r="E1939" s="13" t="n">
        <v>1.05</v>
      </c>
      <c r="F1939" s="14" t="n">
        <f aca="false">E1939*Assumptions!$D$6</f>
        <v>157.108623103786</v>
      </c>
      <c r="G1939" s="14" t="n">
        <v>250</v>
      </c>
      <c r="H1939" s="14" t="n">
        <v>380</v>
      </c>
      <c r="I1939" s="14" t="n">
        <f aca="false">F1939-(G1939+H1939)/2</f>
        <v>-157.891376896214</v>
      </c>
      <c r="J1939" s="5" t="str">
        <f aca="false">IF(D1939&lt;8,"LOW SAMPLE",IF(F1939&gt;H1939*(1+Assumptions!$B$10),"UNDERPAID",IF(F1939&lt;G1939*(1-Assumptions!$B$10),"OVERPAID","FAIR")))</f>
        <v>OVERPAID</v>
      </c>
      <c r="K1939" s="5" t="n">
        <v>81</v>
      </c>
    </row>
    <row r="1940" customFormat="false" ht="15" hidden="false" customHeight="false" outlineLevel="0" collapsed="false">
      <c r="A1940" s="5" t="n">
        <v>2023</v>
      </c>
      <c r="B1940" s="5" t="s">
        <v>607</v>
      </c>
      <c r="C1940" s="5" t="s">
        <v>639</v>
      </c>
      <c r="D1940" s="5" t="n">
        <v>11</v>
      </c>
      <c r="E1940" s="13" t="n">
        <v>1.78</v>
      </c>
      <c r="F1940" s="14" t="n">
        <f aca="false">E1940*Assumptions!$D$6</f>
        <v>266.336522975942</v>
      </c>
      <c r="G1940" s="14" t="n">
        <v>250</v>
      </c>
      <c r="H1940" s="14" t="n">
        <v>380</v>
      </c>
      <c r="I1940" s="14" t="n">
        <f aca="false">F1940-(G1940+H1940)/2</f>
        <v>-48.6634770240579</v>
      </c>
      <c r="J1940" s="5" t="str">
        <f aca="false">IF(D1940&lt;8,"LOW SAMPLE",IF(F1940&gt;H1940*(1+Assumptions!$B$10),"UNDERPAID",IF(F1940&lt;G1940*(1-Assumptions!$B$10),"OVERPAID","FAIR")))</f>
        <v>FAIR</v>
      </c>
      <c r="K1940" s="5" t="n">
        <v>39</v>
      </c>
    </row>
    <row r="1941" customFormat="false" ht="15" hidden="false" customHeight="false" outlineLevel="0" collapsed="false">
      <c r="A1941" s="5" t="n">
        <v>2023</v>
      </c>
      <c r="B1941" s="5" t="s">
        <v>607</v>
      </c>
      <c r="C1941" s="5" t="s">
        <v>640</v>
      </c>
      <c r="D1941" s="5" t="n">
        <v>12</v>
      </c>
      <c r="E1941" s="13" t="n">
        <v>2.29</v>
      </c>
      <c r="F1941" s="14" t="n">
        <f aca="false">E1941*Assumptions!$D$6</f>
        <v>342.646425626352</v>
      </c>
      <c r="G1941" s="14" t="n">
        <v>500</v>
      </c>
      <c r="H1941" s="14" t="n">
        <v>680</v>
      </c>
      <c r="I1941" s="14" t="n">
        <f aca="false">F1941-(G1941+H1941)/2</f>
        <v>-247.353574373648</v>
      </c>
      <c r="J1941" s="5" t="str">
        <f aca="false">IF(D1941&lt;8,"LOW SAMPLE",IF(F1941&gt;H1941*(1+Assumptions!$B$10),"UNDERPAID",IF(F1941&lt;G1941*(1-Assumptions!$B$10),"OVERPAID","FAIR")))</f>
        <v>OVERPAID</v>
      </c>
      <c r="K1941" s="5" t="n">
        <v>109</v>
      </c>
    </row>
    <row r="1942" customFormat="false" ht="15" hidden="false" customHeight="false" outlineLevel="0" collapsed="false">
      <c r="A1942" s="5" t="n">
        <v>2023</v>
      </c>
      <c r="B1942" s="5" t="s">
        <v>607</v>
      </c>
      <c r="C1942" s="5" t="s">
        <v>641</v>
      </c>
      <c r="D1942" s="5" t="n">
        <v>15</v>
      </c>
      <c r="E1942" s="13" t="n">
        <v>2.78</v>
      </c>
      <c r="F1942" s="14" t="n">
        <f aca="false">E1942*Assumptions!$D$6</f>
        <v>415.963783074786</v>
      </c>
      <c r="G1942" s="14" t="n">
        <v>500</v>
      </c>
      <c r="H1942" s="14" t="n">
        <v>680</v>
      </c>
      <c r="I1942" s="14" t="n">
        <f aca="false">F1942-(G1942+H1942)/2</f>
        <v>-174.036216925214</v>
      </c>
      <c r="J1942" s="5" t="str">
        <f aca="false">IF(D1942&lt;8,"LOW SAMPLE",IF(F1942&gt;H1942*(1+Assumptions!$B$10),"UNDERPAID",IF(F1942&lt;G1942*(1-Assumptions!$B$10),"OVERPAID","FAIR")))</f>
        <v>OVERPAID</v>
      </c>
      <c r="K1942" s="5" t="n">
        <v>95</v>
      </c>
    </row>
    <row r="1943" customFormat="false" ht="15" hidden="false" customHeight="false" outlineLevel="0" collapsed="false">
      <c r="A1943" s="5" t="n">
        <v>2023</v>
      </c>
      <c r="B1943" s="5" t="s">
        <v>607</v>
      </c>
      <c r="C1943" s="5" t="s">
        <v>642</v>
      </c>
      <c r="D1943" s="5" t="n">
        <v>23</v>
      </c>
      <c r="E1943" s="13" t="n">
        <v>5.61</v>
      </c>
      <c r="F1943" s="14" t="n">
        <f aca="false">E1943*Assumptions!$D$6</f>
        <v>839.408929154514</v>
      </c>
      <c r="G1943" s="14" t="n">
        <v>680</v>
      </c>
      <c r="H1943" s="14" t="n">
        <v>950</v>
      </c>
      <c r="I1943" s="14" t="n">
        <f aca="false">F1943-(G1943+H1943)/2</f>
        <v>24.4089291545141</v>
      </c>
      <c r="J1943" s="5" t="str">
        <f aca="false">IF(D1943&lt;8,"LOW SAMPLE",IF(F1943&gt;H1943*(1+Assumptions!$B$10),"UNDERPAID",IF(F1943&lt;G1943*(1-Assumptions!$B$10),"OVERPAID","FAIR")))</f>
        <v>FAIR</v>
      </c>
      <c r="K1943" s="5" t="n">
        <v>141</v>
      </c>
    </row>
    <row r="1944" customFormat="false" ht="15" hidden="false" customHeight="false" outlineLevel="0" collapsed="false">
      <c r="A1944" s="5" t="n">
        <v>2023</v>
      </c>
      <c r="B1944" s="5" t="s">
        <v>607</v>
      </c>
      <c r="C1944" s="5" t="s">
        <v>894</v>
      </c>
      <c r="D1944" s="5" t="n">
        <v>4</v>
      </c>
      <c r="E1944" s="13" t="n">
        <v>0.43</v>
      </c>
      <c r="F1944" s="14" t="n">
        <f aca="false">E1944*Assumptions!$D$6</f>
        <v>64.3397218425029</v>
      </c>
      <c r="G1944" s="14" t="n">
        <v>250</v>
      </c>
      <c r="H1944" s="14" t="n">
        <v>380</v>
      </c>
      <c r="I1944" s="14" t="n">
        <f aca="false">F1944-(G1944+H1944)/2</f>
        <v>-250.660278157497</v>
      </c>
      <c r="J1944" s="5" t="str">
        <f aca="false">IF(D1944&lt;8,"LOW SAMPLE",IF(F1944&gt;H1944*(1+Assumptions!$B$10),"UNDERPAID",IF(F1944&lt;G1944*(1-Assumptions!$B$10),"OVERPAID","FAIR")))</f>
        <v>LOW SAMPLE</v>
      </c>
      <c r="K1944" s="5" t="n">
        <v>0</v>
      </c>
    </row>
    <row r="1945" customFormat="false" ht="15" hidden="false" customHeight="false" outlineLevel="0" collapsed="false">
      <c r="A1945" s="5" t="n">
        <v>2023</v>
      </c>
      <c r="B1945" s="5" t="s">
        <v>607</v>
      </c>
      <c r="C1945" s="5" t="s">
        <v>643</v>
      </c>
      <c r="D1945" s="5" t="n">
        <v>23</v>
      </c>
      <c r="E1945" s="13" t="n">
        <v>3.94</v>
      </c>
      <c r="F1945" s="14" t="n">
        <f aca="false">E1945*Assumptions!$D$6</f>
        <v>589.531404789445</v>
      </c>
      <c r="G1945" s="14" t="n">
        <v>500</v>
      </c>
      <c r="H1945" s="14" t="n">
        <v>680</v>
      </c>
      <c r="I1945" s="14" t="n">
        <f aca="false">F1945-(G1945+H1945)/2</f>
        <v>-0.468595210555236</v>
      </c>
      <c r="J1945" s="5" t="str">
        <f aca="false">IF(D1945&lt;8,"LOW SAMPLE",IF(F1945&gt;H1945*(1+Assumptions!$B$10),"UNDERPAID",IF(F1945&lt;G1945*(1-Assumptions!$B$10),"OVERPAID","FAIR")))</f>
        <v>FAIR</v>
      </c>
      <c r="K1945" s="5" t="n">
        <v>114</v>
      </c>
    </row>
    <row r="1946" customFormat="false" ht="15" hidden="false" customHeight="false" outlineLevel="0" collapsed="false">
      <c r="A1946" s="5" t="n">
        <v>2023</v>
      </c>
      <c r="B1946" s="5" t="s">
        <v>644</v>
      </c>
      <c r="C1946" s="5" t="s">
        <v>645</v>
      </c>
      <c r="D1946" s="5" t="n">
        <v>22</v>
      </c>
      <c r="E1946" s="13" t="n">
        <v>3.59</v>
      </c>
      <c r="F1946" s="14" t="n">
        <f aca="false">E1946*Assumptions!$D$6</f>
        <v>537.16186375485</v>
      </c>
      <c r="G1946" s="14" t="n">
        <v>250</v>
      </c>
      <c r="H1946" s="14" t="n">
        <v>380</v>
      </c>
      <c r="I1946" s="14" t="n">
        <f aca="false">F1946-(G1946+H1946)/2</f>
        <v>222.16186375485</v>
      </c>
      <c r="J1946" s="5" t="str">
        <f aca="false">IF(D1946&lt;8,"LOW SAMPLE",IF(F1946&gt;H1946*(1+Assumptions!$B$10),"UNDERPAID",IF(F1946&lt;G1946*(1-Assumptions!$B$10),"OVERPAID","FAIR")))</f>
        <v>UNDERPAID</v>
      </c>
      <c r="K1946" s="5" t="n">
        <v>81</v>
      </c>
    </row>
    <row r="1947" customFormat="false" ht="15" hidden="false" customHeight="false" outlineLevel="0" collapsed="false">
      <c r="A1947" s="5" t="n">
        <v>2023</v>
      </c>
      <c r="B1947" s="5" t="s">
        <v>644</v>
      </c>
      <c r="C1947" s="5" t="s">
        <v>646</v>
      </c>
      <c r="D1947" s="5" t="n">
        <v>23</v>
      </c>
      <c r="E1947" s="13" t="n">
        <v>2.91</v>
      </c>
      <c r="F1947" s="14" t="n">
        <f aca="false">E1947*Assumptions!$D$6</f>
        <v>435.415326887636</v>
      </c>
      <c r="G1947" s="14" t="n">
        <v>380</v>
      </c>
      <c r="H1947" s="14" t="n">
        <v>500</v>
      </c>
      <c r="I1947" s="14" t="n">
        <f aca="false">F1947-(G1947+H1947)/2</f>
        <v>-4.58467311236433</v>
      </c>
      <c r="J1947" s="5" t="str">
        <f aca="false">IF(D1947&lt;8,"LOW SAMPLE",IF(F1947&gt;H1947*(1+Assumptions!$B$10),"UNDERPAID",IF(F1947&lt;G1947*(1-Assumptions!$B$10),"OVERPAID","FAIR")))</f>
        <v>FAIR</v>
      </c>
      <c r="K1947" s="5" t="n">
        <v>167</v>
      </c>
    </row>
    <row r="1948" customFormat="false" ht="15" hidden="false" customHeight="false" outlineLevel="0" collapsed="false">
      <c r="A1948" s="5" t="n">
        <v>2023</v>
      </c>
      <c r="B1948" s="5" t="s">
        <v>644</v>
      </c>
      <c r="C1948" s="5" t="s">
        <v>647</v>
      </c>
      <c r="D1948" s="5" t="n">
        <v>23</v>
      </c>
      <c r="E1948" s="13" t="n">
        <v>4.57</v>
      </c>
      <c r="F1948" s="14" t="n">
        <f aca="false">E1948*Assumptions!$D$6</f>
        <v>683.796578651717</v>
      </c>
      <c r="G1948" s="14" t="n">
        <v>680</v>
      </c>
      <c r="H1948" s="14" t="n">
        <v>950</v>
      </c>
      <c r="I1948" s="14" t="n">
        <f aca="false">F1948-(G1948+H1948)/2</f>
        <v>-131.203421348284</v>
      </c>
      <c r="J1948" s="5" t="str">
        <f aca="false">IF(D1948&lt;8,"LOW SAMPLE",IF(F1948&gt;H1948*(1+Assumptions!$B$10),"UNDERPAID",IF(F1948&lt;G1948*(1-Assumptions!$B$10),"OVERPAID","FAIR")))</f>
        <v>FAIR</v>
      </c>
      <c r="K1948" s="5" t="n">
        <v>130</v>
      </c>
    </row>
    <row r="1949" customFormat="false" ht="15" hidden="false" customHeight="false" outlineLevel="0" collapsed="false">
      <c r="A1949" s="5" t="n">
        <v>2023</v>
      </c>
      <c r="B1949" s="5" t="s">
        <v>644</v>
      </c>
      <c r="C1949" s="5" t="s">
        <v>813</v>
      </c>
      <c r="D1949" s="5" t="n">
        <v>15</v>
      </c>
      <c r="E1949" s="13" t="n">
        <v>1.28</v>
      </c>
      <c r="F1949" s="14" t="n">
        <f aca="false">E1949*Assumptions!$D$6</f>
        <v>191.52289292652</v>
      </c>
      <c r="G1949" s="14" t="n">
        <v>140</v>
      </c>
      <c r="H1949" s="14" t="n">
        <v>250</v>
      </c>
      <c r="I1949" s="14" t="n">
        <f aca="false">F1949-(G1949+H1949)/2</f>
        <v>-3.47710707347986</v>
      </c>
      <c r="J1949" s="5" t="str">
        <f aca="false">IF(D1949&lt;8,"LOW SAMPLE",IF(F1949&gt;H1949*(1+Assumptions!$B$10),"UNDERPAID",IF(F1949&lt;G1949*(1-Assumptions!$B$10),"OVERPAID","FAIR")))</f>
        <v>FAIR</v>
      </c>
      <c r="K1949" s="5" t="n">
        <v>15</v>
      </c>
    </row>
    <row r="1950" customFormat="false" ht="15" hidden="false" customHeight="false" outlineLevel="0" collapsed="false">
      <c r="A1950" s="5" t="n">
        <v>2023</v>
      </c>
      <c r="B1950" s="5" t="s">
        <v>644</v>
      </c>
      <c r="C1950" s="5" t="s">
        <v>814</v>
      </c>
      <c r="D1950" s="5" t="n">
        <v>4</v>
      </c>
      <c r="E1950" s="13" t="n">
        <v>0.38</v>
      </c>
      <c r="F1950" s="14" t="n">
        <f aca="false">E1950*Assumptions!$D$6</f>
        <v>56.8583588375607</v>
      </c>
      <c r="G1950" s="14" t="n">
        <v>140</v>
      </c>
      <c r="H1950" s="14" t="n">
        <v>250</v>
      </c>
      <c r="I1950" s="14" t="n">
        <f aca="false">F1950-(G1950+H1950)/2</f>
        <v>-138.141641162439</v>
      </c>
      <c r="J1950" s="5" t="str">
        <f aca="false">IF(D1950&lt;8,"LOW SAMPLE",IF(F1950&gt;H1950*(1+Assumptions!$B$10),"UNDERPAID",IF(F1950&lt;G1950*(1-Assumptions!$B$10),"OVERPAID","FAIR")))</f>
        <v>LOW SAMPLE</v>
      </c>
      <c r="K1950" s="5" t="n">
        <v>9</v>
      </c>
    </row>
    <row r="1951" customFormat="false" ht="15" hidden="false" customHeight="false" outlineLevel="0" collapsed="false">
      <c r="A1951" s="5" t="n">
        <v>2023</v>
      </c>
      <c r="B1951" s="5" t="s">
        <v>644</v>
      </c>
      <c r="C1951" s="5" t="s">
        <v>895</v>
      </c>
      <c r="D1951" s="5" t="n">
        <v>14</v>
      </c>
      <c r="E1951" s="13" t="n">
        <v>1.03</v>
      </c>
      <c r="F1951" s="14" t="n">
        <f aca="false">E1951*Assumptions!$D$6</f>
        <v>154.116077901809</v>
      </c>
      <c r="G1951" s="14" t="n">
        <v>250</v>
      </c>
      <c r="H1951" s="14" t="n">
        <v>380</v>
      </c>
      <c r="I1951" s="14" t="n">
        <f aca="false">F1951-(G1951+H1951)/2</f>
        <v>-160.883922098191</v>
      </c>
      <c r="J1951" s="5" t="str">
        <f aca="false">IF(D1951&lt;8,"LOW SAMPLE",IF(F1951&gt;H1951*(1+Assumptions!$B$10),"UNDERPAID",IF(F1951&lt;G1951*(1-Assumptions!$B$10),"OVERPAID","FAIR")))</f>
        <v>OVERPAID</v>
      </c>
      <c r="K1951" s="5" t="n">
        <v>0</v>
      </c>
    </row>
    <row r="1952" customFormat="false" ht="15" hidden="false" customHeight="false" outlineLevel="0" collapsed="false">
      <c r="A1952" s="5" t="n">
        <v>2023</v>
      </c>
      <c r="B1952" s="5" t="s">
        <v>644</v>
      </c>
      <c r="C1952" s="5" t="s">
        <v>651</v>
      </c>
      <c r="D1952" s="5" t="n">
        <v>9</v>
      </c>
      <c r="E1952" s="13" t="n">
        <v>0.76</v>
      </c>
      <c r="F1952" s="14" t="n">
        <f aca="false">E1952*Assumptions!$D$6</f>
        <v>113.716717675121</v>
      </c>
      <c r="G1952" s="14" t="n">
        <v>140</v>
      </c>
      <c r="H1952" s="14" t="n">
        <v>250</v>
      </c>
      <c r="I1952" s="14" t="n">
        <f aca="false">F1952-(G1952+H1952)/2</f>
        <v>-81.2832823248787</v>
      </c>
      <c r="J1952" s="5" t="str">
        <f aca="false">IF(D1952&lt;8,"LOW SAMPLE",IF(F1952&gt;H1952*(1+Assumptions!$B$10),"UNDERPAID",IF(F1952&lt;G1952*(1-Assumptions!$B$10),"OVERPAID","FAIR")))</f>
        <v>OVERPAID</v>
      </c>
      <c r="K1952" s="5" t="n">
        <v>19</v>
      </c>
    </row>
    <row r="1953" customFormat="false" ht="15" hidden="false" customHeight="false" outlineLevel="0" collapsed="false">
      <c r="A1953" s="5" t="n">
        <v>2023</v>
      </c>
      <c r="B1953" s="5" t="s">
        <v>644</v>
      </c>
      <c r="C1953" s="5" t="s">
        <v>652</v>
      </c>
      <c r="D1953" s="5" t="n">
        <v>15</v>
      </c>
      <c r="E1953" s="13" t="n">
        <v>2.59</v>
      </c>
      <c r="F1953" s="14" t="n">
        <f aca="false">E1953*Assumptions!$D$6</f>
        <v>387.534603656006</v>
      </c>
      <c r="G1953" s="14" t="n">
        <v>380</v>
      </c>
      <c r="H1953" s="14" t="n">
        <v>500</v>
      </c>
      <c r="I1953" s="14" t="n">
        <f aca="false">F1953-(G1953+H1953)/2</f>
        <v>-52.4653963439944</v>
      </c>
      <c r="J1953" s="5" t="str">
        <f aca="false">IF(D1953&lt;8,"LOW SAMPLE",IF(F1953&gt;H1953*(1+Assumptions!$B$10),"UNDERPAID",IF(F1953&lt;G1953*(1-Assumptions!$B$10),"OVERPAID","FAIR")))</f>
        <v>FAIR</v>
      </c>
      <c r="K1953" s="5" t="n">
        <v>132</v>
      </c>
    </row>
    <row r="1954" customFormat="false" ht="15" hidden="false" customHeight="false" outlineLevel="0" collapsed="false">
      <c r="A1954" s="5" t="n">
        <v>2023</v>
      </c>
      <c r="B1954" s="5" t="s">
        <v>644</v>
      </c>
      <c r="C1954" s="5" t="s">
        <v>896</v>
      </c>
      <c r="D1954" s="5" t="n">
        <v>14</v>
      </c>
      <c r="E1954" s="13" t="n">
        <v>1.65</v>
      </c>
      <c r="F1954" s="14" t="n">
        <f aca="false">E1954*Assumptions!$D$6</f>
        <v>246.884979163092</v>
      </c>
      <c r="G1954" s="14" t="n">
        <v>250</v>
      </c>
      <c r="H1954" s="14" t="n">
        <v>380</v>
      </c>
      <c r="I1954" s="14" t="n">
        <f aca="false">F1954-(G1954+H1954)/2</f>
        <v>-68.1150208369076</v>
      </c>
      <c r="J1954" s="5" t="str">
        <f aca="false">IF(D1954&lt;8,"LOW SAMPLE",IF(F1954&gt;H1954*(1+Assumptions!$B$10),"UNDERPAID",IF(F1954&lt;G1954*(1-Assumptions!$B$10),"OVERPAID","FAIR")))</f>
        <v>FAIR</v>
      </c>
      <c r="K1954" s="5" t="n">
        <v>0</v>
      </c>
    </row>
    <row r="1955" customFormat="false" ht="15" hidden="false" customHeight="false" outlineLevel="0" collapsed="false">
      <c r="A1955" s="5" t="n">
        <v>2023</v>
      </c>
      <c r="B1955" s="5" t="s">
        <v>644</v>
      </c>
      <c r="C1955" s="5" t="s">
        <v>653</v>
      </c>
      <c r="D1955" s="5" t="n">
        <v>10</v>
      </c>
      <c r="E1955" s="13" t="n">
        <v>1.9</v>
      </c>
      <c r="F1955" s="14" t="n">
        <f aca="false">E1955*Assumptions!$D$6</f>
        <v>284.291794187803</v>
      </c>
      <c r="G1955" s="14" t="n">
        <v>380</v>
      </c>
      <c r="H1955" s="14" t="n">
        <v>500</v>
      </c>
      <c r="I1955" s="14" t="n">
        <f aca="false">F1955-(G1955+H1955)/2</f>
        <v>-155.708205812197</v>
      </c>
      <c r="J1955" s="5" t="str">
        <f aca="false">IF(D1955&lt;8,"LOW SAMPLE",IF(F1955&gt;H1955*(1+Assumptions!$B$10),"UNDERPAID",IF(F1955&lt;G1955*(1-Assumptions!$B$10),"OVERPAID","FAIR")))</f>
        <v>OVERPAID</v>
      </c>
      <c r="K1955" s="5" t="n">
        <v>142</v>
      </c>
    </row>
    <row r="1956" customFormat="false" ht="15" hidden="false" customHeight="false" outlineLevel="0" collapsed="false">
      <c r="A1956" s="5" t="n">
        <v>2023</v>
      </c>
      <c r="B1956" s="5" t="s">
        <v>644</v>
      </c>
      <c r="C1956" s="5" t="s">
        <v>816</v>
      </c>
      <c r="D1956" s="5" t="n">
        <v>12</v>
      </c>
      <c r="E1956" s="13" t="n">
        <v>0.82</v>
      </c>
      <c r="F1956" s="14" t="n">
        <f aca="false">E1956*Assumptions!$D$6</f>
        <v>122.694353281052</v>
      </c>
      <c r="G1956" s="14" t="n">
        <v>140</v>
      </c>
      <c r="H1956" s="14" t="n">
        <v>250</v>
      </c>
      <c r="I1956" s="14" t="n">
        <f aca="false">F1956-(G1956+H1956)/2</f>
        <v>-72.305646718948</v>
      </c>
      <c r="J1956" s="5" t="str">
        <f aca="false">IF(D1956&lt;8,"LOW SAMPLE",IF(F1956&gt;H1956*(1+Assumptions!$B$10),"UNDERPAID",IF(F1956&lt;G1956*(1-Assumptions!$B$10),"OVERPAID","FAIR")))</f>
        <v>FAIR</v>
      </c>
      <c r="K1956" s="5" t="n">
        <v>9</v>
      </c>
    </row>
    <row r="1957" customFormat="false" ht="15" hidden="false" customHeight="false" outlineLevel="0" collapsed="false">
      <c r="A1957" s="5" t="n">
        <v>2023</v>
      </c>
      <c r="B1957" s="5" t="s">
        <v>644</v>
      </c>
      <c r="C1957" s="5" t="s">
        <v>897</v>
      </c>
      <c r="D1957" s="5" t="n">
        <v>1</v>
      </c>
      <c r="E1957" s="13" t="n">
        <v>0.01</v>
      </c>
      <c r="F1957" s="14" t="n">
        <f aca="false">E1957*Assumptions!$D$6</f>
        <v>1.49627260098844</v>
      </c>
      <c r="G1957" s="14" t="n">
        <v>250</v>
      </c>
      <c r="H1957" s="14" t="n">
        <v>380</v>
      </c>
      <c r="I1957" s="14" t="n">
        <f aca="false">F1957-(G1957+H1957)/2</f>
        <v>-313.503727399012</v>
      </c>
      <c r="J1957" s="5" t="str">
        <f aca="false">IF(D1957&lt;8,"LOW SAMPLE",IF(F1957&gt;H1957*(1+Assumptions!$B$10),"UNDERPAID",IF(F1957&lt;G1957*(1-Assumptions!$B$10),"OVERPAID","FAIR")))</f>
        <v>LOW SAMPLE</v>
      </c>
      <c r="K1957" s="5" t="n">
        <v>0</v>
      </c>
    </row>
    <row r="1958" customFormat="false" ht="15" hidden="false" customHeight="false" outlineLevel="0" collapsed="false">
      <c r="A1958" s="5" t="n">
        <v>2023</v>
      </c>
      <c r="B1958" s="5" t="s">
        <v>644</v>
      </c>
      <c r="C1958" s="5" t="s">
        <v>654</v>
      </c>
      <c r="D1958" s="5" t="n">
        <v>2</v>
      </c>
      <c r="E1958" s="13" t="n">
        <v>0.27</v>
      </c>
      <c r="F1958" s="14" t="n">
        <f aca="false">E1958*Assumptions!$D$6</f>
        <v>40.3993602266879</v>
      </c>
      <c r="G1958" s="14" t="n">
        <v>250</v>
      </c>
      <c r="H1958" s="14" t="n">
        <v>380</v>
      </c>
      <c r="I1958" s="14" t="n">
        <f aca="false">F1958-(G1958+H1958)/2</f>
        <v>-274.600639773312</v>
      </c>
      <c r="J1958" s="5" t="str">
        <f aca="false">IF(D1958&lt;8,"LOW SAMPLE",IF(F1958&gt;H1958*(1+Assumptions!$B$10),"UNDERPAID",IF(F1958&lt;G1958*(1-Assumptions!$B$10),"OVERPAID","FAIR")))</f>
        <v>LOW SAMPLE</v>
      </c>
      <c r="K1958" s="5" t="n">
        <v>28</v>
      </c>
    </row>
    <row r="1959" customFormat="false" ht="15" hidden="false" customHeight="false" outlineLevel="0" collapsed="false">
      <c r="A1959" s="5" t="n">
        <v>2023</v>
      </c>
      <c r="B1959" s="5" t="s">
        <v>644</v>
      </c>
      <c r="C1959" s="5" t="s">
        <v>656</v>
      </c>
      <c r="D1959" s="5" t="n">
        <v>20</v>
      </c>
      <c r="E1959" s="13" t="n">
        <v>3.41</v>
      </c>
      <c r="F1959" s="14" t="n">
        <f aca="false">E1959*Assumptions!$D$6</f>
        <v>510.228956937058</v>
      </c>
      <c r="G1959" s="14" t="n">
        <v>680</v>
      </c>
      <c r="H1959" s="14" t="n">
        <v>950</v>
      </c>
      <c r="I1959" s="14" t="n">
        <f aca="false">F1959-(G1959+H1959)/2</f>
        <v>-304.771043062942</v>
      </c>
      <c r="J1959" s="5" t="str">
        <f aca="false">IF(D1959&lt;8,"LOW SAMPLE",IF(F1959&gt;H1959*(1+Assumptions!$B$10),"UNDERPAID",IF(F1959&lt;G1959*(1-Assumptions!$B$10),"OVERPAID","FAIR")))</f>
        <v>OVERPAID</v>
      </c>
      <c r="K1959" s="5" t="n">
        <v>167</v>
      </c>
    </row>
    <row r="1960" customFormat="false" ht="15" hidden="false" customHeight="false" outlineLevel="0" collapsed="false">
      <c r="A1960" s="5" t="n">
        <v>2023</v>
      </c>
      <c r="B1960" s="5" t="s">
        <v>644</v>
      </c>
      <c r="C1960" s="5" t="s">
        <v>657</v>
      </c>
      <c r="D1960" s="5" t="n">
        <v>18</v>
      </c>
      <c r="E1960" s="13" t="n">
        <v>2.55</v>
      </c>
      <c r="F1960" s="14" t="n">
        <f aca="false">E1960*Assumptions!$D$6</f>
        <v>381.549513252052</v>
      </c>
      <c r="G1960" s="14" t="n">
        <v>250</v>
      </c>
      <c r="H1960" s="14" t="n">
        <v>380</v>
      </c>
      <c r="I1960" s="14" t="n">
        <f aca="false">F1960-(G1960+H1960)/2</f>
        <v>66.5495132520518</v>
      </c>
      <c r="J1960" s="5" t="str">
        <f aca="false">IF(D1960&lt;8,"LOW SAMPLE",IF(F1960&gt;H1960*(1+Assumptions!$B$10),"UNDERPAID",IF(F1960&lt;G1960*(1-Assumptions!$B$10),"OVERPAID","FAIR")))</f>
        <v>FAIR</v>
      </c>
      <c r="K1960" s="5" t="n">
        <v>54</v>
      </c>
    </row>
    <row r="1961" customFormat="false" ht="15" hidden="false" customHeight="false" outlineLevel="0" collapsed="false">
      <c r="A1961" s="5" t="n">
        <v>2023</v>
      </c>
      <c r="B1961" s="5" t="s">
        <v>644</v>
      </c>
      <c r="C1961" s="5" t="s">
        <v>818</v>
      </c>
      <c r="D1961" s="5" t="n">
        <v>10</v>
      </c>
      <c r="E1961" s="13" t="n">
        <v>0.99</v>
      </c>
      <c r="F1961" s="14" t="n">
        <f aca="false">E1961*Assumptions!$D$6</f>
        <v>148.130987497855</v>
      </c>
      <c r="G1961" s="14" t="n">
        <v>140</v>
      </c>
      <c r="H1961" s="14" t="n">
        <v>250</v>
      </c>
      <c r="I1961" s="14" t="n">
        <f aca="false">F1961-(G1961+H1961)/2</f>
        <v>-46.8690125021446</v>
      </c>
      <c r="J1961" s="5" t="str">
        <f aca="false">IF(D1961&lt;8,"LOW SAMPLE",IF(F1961&gt;H1961*(1+Assumptions!$B$10),"UNDERPAID",IF(F1961&lt;G1961*(1-Assumptions!$B$10),"OVERPAID","FAIR")))</f>
        <v>FAIR</v>
      </c>
      <c r="K1961" s="5" t="n">
        <v>1</v>
      </c>
    </row>
    <row r="1962" customFormat="false" ht="15" hidden="false" customHeight="false" outlineLevel="0" collapsed="false">
      <c r="A1962" s="5" t="n">
        <v>2023</v>
      </c>
      <c r="B1962" s="5" t="s">
        <v>644</v>
      </c>
      <c r="C1962" s="5" t="s">
        <v>819</v>
      </c>
      <c r="D1962" s="5" t="n">
        <v>5</v>
      </c>
      <c r="E1962" s="13" t="n">
        <v>0.57</v>
      </c>
      <c r="F1962" s="14" t="n">
        <f aca="false">E1962*Assumptions!$D$6</f>
        <v>85.287538256341</v>
      </c>
      <c r="G1962" s="14" t="n">
        <v>140</v>
      </c>
      <c r="H1962" s="14" t="n">
        <v>250</v>
      </c>
      <c r="I1962" s="14" t="n">
        <f aca="false">F1962-(G1962+H1962)/2</f>
        <v>-109.712461743659</v>
      </c>
      <c r="J1962" s="5" t="str">
        <f aca="false">IF(D1962&lt;8,"LOW SAMPLE",IF(F1962&gt;H1962*(1+Assumptions!$B$10),"UNDERPAID",IF(F1962&lt;G1962*(1-Assumptions!$B$10),"OVERPAID","FAIR")))</f>
        <v>LOW SAMPLE</v>
      </c>
      <c r="K1962" s="5" t="n">
        <v>4</v>
      </c>
    </row>
    <row r="1963" customFormat="false" ht="15" hidden="false" customHeight="false" outlineLevel="0" collapsed="false">
      <c r="A1963" s="5" t="n">
        <v>2023</v>
      </c>
      <c r="B1963" s="5" t="s">
        <v>644</v>
      </c>
      <c r="C1963" s="5" t="s">
        <v>660</v>
      </c>
      <c r="D1963" s="5" t="n">
        <v>11</v>
      </c>
      <c r="E1963" s="13" t="n">
        <v>1.79</v>
      </c>
      <c r="F1963" s="14" t="n">
        <f aca="false">E1963*Assumptions!$D$6</f>
        <v>267.832795576931</v>
      </c>
      <c r="G1963" s="14" t="n">
        <v>380</v>
      </c>
      <c r="H1963" s="14" t="n">
        <v>500</v>
      </c>
      <c r="I1963" s="14" t="n">
        <f aca="false">F1963-(G1963+H1963)/2</f>
        <v>-172.16720442307</v>
      </c>
      <c r="J1963" s="5" t="str">
        <f aca="false">IF(D1963&lt;8,"LOW SAMPLE",IF(F1963&gt;H1963*(1+Assumptions!$B$10),"UNDERPAID",IF(F1963&lt;G1963*(1-Assumptions!$B$10),"OVERPAID","FAIR")))</f>
        <v>OVERPAID</v>
      </c>
      <c r="K1963" s="5" t="n">
        <v>73</v>
      </c>
    </row>
    <row r="1964" customFormat="false" ht="15" hidden="false" customHeight="false" outlineLevel="0" collapsed="false">
      <c r="A1964" s="5" t="n">
        <v>2023</v>
      </c>
      <c r="B1964" s="5" t="s">
        <v>644</v>
      </c>
      <c r="C1964" s="5" t="s">
        <v>661</v>
      </c>
      <c r="D1964" s="5" t="n">
        <v>13</v>
      </c>
      <c r="E1964" s="13" t="n">
        <v>1.87</v>
      </c>
      <c r="F1964" s="14" t="n">
        <f aca="false">E1964*Assumptions!$D$6</f>
        <v>279.802976384838</v>
      </c>
      <c r="G1964" s="14" t="n">
        <v>250</v>
      </c>
      <c r="H1964" s="14" t="n">
        <v>380</v>
      </c>
      <c r="I1964" s="14" t="n">
        <f aca="false">F1964-(G1964+H1964)/2</f>
        <v>-35.197023615162</v>
      </c>
      <c r="J1964" s="5" t="str">
        <f aca="false">IF(D1964&lt;8,"LOW SAMPLE",IF(F1964&gt;H1964*(1+Assumptions!$B$10),"UNDERPAID",IF(F1964&lt;G1964*(1-Assumptions!$B$10),"OVERPAID","FAIR")))</f>
        <v>FAIR</v>
      </c>
      <c r="K1964" s="5" t="n">
        <v>42</v>
      </c>
    </row>
    <row r="1965" customFormat="false" ht="15" hidden="false" customHeight="false" outlineLevel="0" collapsed="false">
      <c r="A1965" s="5" t="n">
        <v>2023</v>
      </c>
      <c r="B1965" s="5" t="s">
        <v>644</v>
      </c>
      <c r="C1965" s="5" t="s">
        <v>662</v>
      </c>
      <c r="D1965" s="5" t="n">
        <v>12</v>
      </c>
      <c r="E1965" s="13" t="n">
        <v>2.12</v>
      </c>
      <c r="F1965" s="14" t="n">
        <f aca="false">E1965*Assumptions!$D$6</f>
        <v>317.209791409549</v>
      </c>
      <c r="G1965" s="14" t="n">
        <v>500</v>
      </c>
      <c r="H1965" s="14" t="n">
        <v>680</v>
      </c>
      <c r="I1965" s="14" t="n">
        <f aca="false">F1965-(G1965+H1965)/2</f>
        <v>-272.790208590451</v>
      </c>
      <c r="J1965" s="5" t="str">
        <f aca="false">IF(D1965&lt;8,"LOW SAMPLE",IF(F1965&gt;H1965*(1+Assumptions!$B$10),"UNDERPAID",IF(F1965&lt;G1965*(1-Assumptions!$B$10),"OVERPAID","FAIR")))</f>
        <v>OVERPAID</v>
      </c>
      <c r="K1965" s="5" t="n">
        <v>166</v>
      </c>
    </row>
    <row r="1966" customFormat="false" ht="15" hidden="false" customHeight="false" outlineLevel="0" collapsed="false">
      <c r="A1966" s="5" t="n">
        <v>2023</v>
      </c>
      <c r="B1966" s="5" t="s">
        <v>644</v>
      </c>
      <c r="C1966" s="5" t="s">
        <v>436</v>
      </c>
      <c r="D1966" s="5" t="n">
        <v>23</v>
      </c>
      <c r="E1966" s="13" t="n">
        <v>3.59</v>
      </c>
      <c r="F1966" s="14" t="n">
        <f aca="false">E1966*Assumptions!$D$6</f>
        <v>537.16186375485</v>
      </c>
      <c r="G1966" s="14" t="n">
        <v>380</v>
      </c>
      <c r="H1966" s="14" t="n">
        <v>500</v>
      </c>
      <c r="I1966" s="14" t="n">
        <f aca="false">F1966-(G1966+H1966)/2</f>
        <v>97.1618637548495</v>
      </c>
      <c r="J1966" s="5" t="str">
        <f aca="false">IF(D1966&lt;8,"LOW SAMPLE",IF(F1966&gt;H1966*(1+Assumptions!$B$10),"UNDERPAID",IF(F1966&lt;G1966*(1-Assumptions!$B$10),"OVERPAID","FAIR")))</f>
        <v>FAIR</v>
      </c>
      <c r="K1966" s="5" t="n">
        <v>114</v>
      </c>
    </row>
    <row r="1967" customFormat="false" ht="15" hidden="false" customHeight="false" outlineLevel="0" collapsed="false">
      <c r="A1967" s="5" t="n">
        <v>2023</v>
      </c>
      <c r="B1967" s="5" t="s">
        <v>644</v>
      </c>
      <c r="C1967" s="5" t="s">
        <v>664</v>
      </c>
      <c r="D1967" s="5" t="n">
        <v>9</v>
      </c>
      <c r="E1967" s="13" t="n">
        <v>1.3</v>
      </c>
      <c r="F1967" s="14" t="n">
        <f aca="false">E1967*Assumptions!$D$6</f>
        <v>194.515438128497</v>
      </c>
      <c r="G1967" s="14" t="n">
        <v>380</v>
      </c>
      <c r="H1967" s="14" t="n">
        <v>500</v>
      </c>
      <c r="I1967" s="14" t="n">
        <f aca="false">F1967-(G1967+H1967)/2</f>
        <v>-245.484561871503</v>
      </c>
      <c r="J1967" s="5" t="str">
        <f aca="false">IF(D1967&lt;8,"LOW SAMPLE",IF(F1967&gt;H1967*(1+Assumptions!$B$10),"UNDERPAID",IF(F1967&lt;G1967*(1-Assumptions!$B$10),"OVERPAID","FAIR")))</f>
        <v>OVERPAID</v>
      </c>
      <c r="K1967" s="5" t="n">
        <v>150</v>
      </c>
    </row>
    <row r="1968" customFormat="false" ht="15" hidden="false" customHeight="false" outlineLevel="0" collapsed="false">
      <c r="A1968" s="5" t="n">
        <v>2023</v>
      </c>
      <c r="B1968" s="5" t="s">
        <v>644</v>
      </c>
      <c r="C1968" s="5" t="s">
        <v>665</v>
      </c>
      <c r="D1968" s="5" t="n">
        <v>13</v>
      </c>
      <c r="E1968" s="13" t="n">
        <v>1.27</v>
      </c>
      <c r="F1968" s="14" t="n">
        <f aca="false">E1968*Assumptions!$D$6</f>
        <v>190.026620325532</v>
      </c>
      <c r="G1968" s="14" t="n">
        <v>250</v>
      </c>
      <c r="H1968" s="14" t="n">
        <v>380</v>
      </c>
      <c r="I1968" s="14" t="n">
        <f aca="false">F1968-(G1968+H1968)/2</f>
        <v>-124.973379674468</v>
      </c>
      <c r="J1968" s="5" t="str">
        <f aca="false">IF(D1968&lt;8,"LOW SAMPLE",IF(F1968&gt;H1968*(1+Assumptions!$B$10),"UNDERPAID",IF(F1968&lt;G1968*(1-Assumptions!$B$10),"OVERPAID","FAIR")))</f>
        <v>OVERPAID</v>
      </c>
      <c r="K1968" s="5" t="n">
        <v>46</v>
      </c>
    </row>
    <row r="1969" customFormat="false" ht="15" hidden="false" customHeight="false" outlineLevel="0" collapsed="false">
      <c r="A1969" s="5" t="n">
        <v>2023</v>
      </c>
      <c r="B1969" s="5" t="s">
        <v>644</v>
      </c>
      <c r="C1969" s="5" t="s">
        <v>666</v>
      </c>
      <c r="D1969" s="5" t="n">
        <v>22</v>
      </c>
      <c r="E1969" s="13" t="n">
        <v>4.08</v>
      </c>
      <c r="F1969" s="14" t="n">
        <f aca="false">E1969*Assumptions!$D$6</f>
        <v>610.479221203283</v>
      </c>
      <c r="G1969" s="14" t="n">
        <v>380</v>
      </c>
      <c r="H1969" s="14" t="n">
        <v>500</v>
      </c>
      <c r="I1969" s="14" t="n">
        <f aca="false">F1969-(G1969+H1969)/2</f>
        <v>170.479221203283</v>
      </c>
      <c r="J1969" s="5" t="str">
        <f aca="false">IF(D1969&lt;8,"LOW SAMPLE",IF(F1969&gt;H1969*(1+Assumptions!$B$10),"UNDERPAID",IF(F1969&lt;G1969*(1-Assumptions!$B$10),"OVERPAID","FAIR")))</f>
        <v>UNDERPAID</v>
      </c>
      <c r="K1969" s="5" t="n">
        <v>136</v>
      </c>
    </row>
    <row r="1970" customFormat="false" ht="15" hidden="false" customHeight="false" outlineLevel="0" collapsed="false">
      <c r="A1970" s="5" t="n">
        <v>2023</v>
      </c>
      <c r="B1970" s="5" t="s">
        <v>644</v>
      </c>
      <c r="C1970" s="5" t="s">
        <v>667</v>
      </c>
      <c r="D1970" s="5" t="n">
        <v>3</v>
      </c>
      <c r="E1970" s="13" t="n">
        <v>0.52</v>
      </c>
      <c r="F1970" s="14" t="n">
        <f aca="false">E1970*Assumptions!$D$6</f>
        <v>77.8061752513988</v>
      </c>
      <c r="G1970" s="14" t="n">
        <v>380</v>
      </c>
      <c r="H1970" s="14" t="n">
        <v>500</v>
      </c>
      <c r="I1970" s="14" t="n">
        <f aca="false">F1970-(G1970+H1970)/2</f>
        <v>-362.193824748601</v>
      </c>
      <c r="J1970" s="5" t="str">
        <f aca="false">IF(D1970&lt;8,"LOW SAMPLE",IF(F1970&gt;H1970*(1+Assumptions!$B$10),"UNDERPAID",IF(F1970&lt;G1970*(1-Assumptions!$B$10),"OVERPAID","FAIR")))</f>
        <v>LOW SAMPLE</v>
      </c>
      <c r="K1970" s="5" t="n">
        <v>86</v>
      </c>
    </row>
    <row r="1971" customFormat="false" ht="15" hidden="false" customHeight="false" outlineLevel="0" collapsed="false">
      <c r="A1971" s="5" t="n">
        <v>2023</v>
      </c>
      <c r="B1971" s="5" t="s">
        <v>644</v>
      </c>
      <c r="C1971" s="5" t="s">
        <v>668</v>
      </c>
      <c r="D1971" s="5" t="n">
        <v>14</v>
      </c>
      <c r="E1971" s="13" t="n">
        <v>1.04</v>
      </c>
      <c r="F1971" s="14" t="n">
        <f aca="false">E1971*Assumptions!$D$6</f>
        <v>155.612350502798</v>
      </c>
      <c r="G1971" s="14" t="n">
        <v>140</v>
      </c>
      <c r="H1971" s="14" t="n">
        <v>250</v>
      </c>
      <c r="I1971" s="14" t="n">
        <f aca="false">F1971-(G1971+H1971)/2</f>
        <v>-39.3876494972024</v>
      </c>
      <c r="J1971" s="5" t="str">
        <f aca="false">IF(D1971&lt;8,"LOW SAMPLE",IF(F1971&gt;H1971*(1+Assumptions!$B$10),"UNDERPAID",IF(F1971&lt;G1971*(1-Assumptions!$B$10),"OVERPAID","FAIR")))</f>
        <v>FAIR</v>
      </c>
      <c r="K1971" s="5" t="n">
        <v>11</v>
      </c>
    </row>
    <row r="1972" customFormat="false" ht="15" hidden="false" customHeight="false" outlineLevel="0" collapsed="false">
      <c r="A1972" s="5" t="n">
        <v>2023</v>
      </c>
      <c r="B1972" s="5" t="s">
        <v>644</v>
      </c>
      <c r="C1972" s="5" t="s">
        <v>669</v>
      </c>
      <c r="D1972" s="5" t="n">
        <v>9</v>
      </c>
      <c r="E1972" s="13" t="n">
        <v>0.85</v>
      </c>
      <c r="F1972" s="14" t="n">
        <f aca="false">E1972*Assumptions!$D$6</f>
        <v>127.183171084017</v>
      </c>
      <c r="G1972" s="14" t="n">
        <v>140</v>
      </c>
      <c r="H1972" s="14" t="n">
        <v>250</v>
      </c>
      <c r="I1972" s="14" t="n">
        <f aca="false">F1972-(G1972+H1972)/2</f>
        <v>-67.8168289159827</v>
      </c>
      <c r="J1972" s="5" t="str">
        <f aca="false">IF(D1972&lt;8,"LOW SAMPLE",IF(F1972&gt;H1972*(1+Assumptions!$B$10),"UNDERPAID",IF(F1972&lt;G1972*(1-Assumptions!$B$10),"OVERPAID","FAIR")))</f>
        <v>FAIR</v>
      </c>
      <c r="K1972" s="5" t="n">
        <v>23</v>
      </c>
    </row>
    <row r="1973" customFormat="false" ht="15" hidden="false" customHeight="false" outlineLevel="0" collapsed="false">
      <c r="A1973" s="5" t="n">
        <v>2023</v>
      </c>
      <c r="B1973" s="5" t="s">
        <v>644</v>
      </c>
      <c r="C1973" s="5" t="s">
        <v>670</v>
      </c>
      <c r="D1973" s="5" t="n">
        <v>10</v>
      </c>
      <c r="E1973" s="13" t="n">
        <v>1.85</v>
      </c>
      <c r="F1973" s="14" t="n">
        <f aca="false">E1973*Assumptions!$D$6</f>
        <v>276.810431182861</v>
      </c>
      <c r="G1973" s="14" t="n">
        <v>380</v>
      </c>
      <c r="H1973" s="14" t="n">
        <v>500</v>
      </c>
      <c r="I1973" s="14" t="n">
        <f aca="false">F1973-(G1973+H1973)/2</f>
        <v>-163.189568817139</v>
      </c>
      <c r="J1973" s="5" t="str">
        <f aca="false">IF(D1973&lt;8,"LOW SAMPLE",IF(F1973&gt;H1973*(1+Assumptions!$B$10),"UNDERPAID",IF(F1973&lt;G1973*(1-Assumptions!$B$10),"OVERPAID","FAIR")))</f>
        <v>OVERPAID</v>
      </c>
      <c r="K1973" s="5" t="n">
        <v>152</v>
      </c>
    </row>
    <row r="1974" customFormat="false" ht="15" hidden="false" customHeight="false" outlineLevel="0" collapsed="false">
      <c r="A1974" s="5" t="n">
        <v>2023</v>
      </c>
      <c r="B1974" s="5" t="s">
        <v>644</v>
      </c>
      <c r="C1974" s="5" t="s">
        <v>898</v>
      </c>
      <c r="D1974" s="5" t="n">
        <v>19</v>
      </c>
      <c r="E1974" s="13" t="n">
        <v>2.03</v>
      </c>
      <c r="F1974" s="14" t="n">
        <f aca="false">E1974*Assumptions!$D$6</f>
        <v>303.743338000653</v>
      </c>
      <c r="G1974" s="14" t="n">
        <v>250</v>
      </c>
      <c r="H1974" s="14" t="n">
        <v>380</v>
      </c>
      <c r="I1974" s="14" t="n">
        <f aca="false">F1974-(G1974+H1974)/2</f>
        <v>-11.256661999347</v>
      </c>
      <c r="J1974" s="5" t="str">
        <f aca="false">IF(D1974&lt;8,"LOW SAMPLE",IF(F1974&gt;H1974*(1+Assumptions!$B$10),"UNDERPAID",IF(F1974&lt;G1974*(1-Assumptions!$B$10),"OVERPAID","FAIR")))</f>
        <v>FAIR</v>
      </c>
      <c r="K1974" s="5" t="n">
        <v>0</v>
      </c>
    </row>
    <row r="1975" customFormat="false" ht="15" hidden="false" customHeight="false" outlineLevel="0" collapsed="false">
      <c r="A1975" s="5" t="n">
        <v>2023</v>
      </c>
      <c r="B1975" s="5" t="s">
        <v>644</v>
      </c>
      <c r="C1975" s="5" t="s">
        <v>674</v>
      </c>
      <c r="D1975" s="5" t="n">
        <v>23</v>
      </c>
      <c r="E1975" s="13" t="n">
        <v>5</v>
      </c>
      <c r="F1975" s="14" t="n">
        <f aca="false">E1975*Assumptions!$D$6</f>
        <v>748.136300494219</v>
      </c>
      <c r="G1975" s="14" t="n">
        <v>500</v>
      </c>
      <c r="H1975" s="14" t="n">
        <v>680</v>
      </c>
      <c r="I1975" s="14" t="n">
        <f aca="false">F1975-(G1975+H1975)/2</f>
        <v>158.136300494219</v>
      </c>
      <c r="J1975" s="5" t="str">
        <f aca="false">IF(D1975&lt;8,"LOW SAMPLE",IF(F1975&gt;H1975*(1+Assumptions!$B$10),"UNDERPAID",IF(F1975&lt;G1975*(1-Assumptions!$B$10),"OVERPAID","FAIR")))</f>
        <v>FAIR</v>
      </c>
      <c r="K1975" s="5" t="n">
        <v>59</v>
      </c>
    </row>
    <row r="1976" customFormat="false" ht="15" hidden="false" customHeight="false" outlineLevel="0" collapsed="false">
      <c r="A1976" s="5" t="n">
        <v>2023</v>
      </c>
      <c r="B1976" s="5" t="s">
        <v>644</v>
      </c>
      <c r="C1976" s="5" t="s">
        <v>899</v>
      </c>
      <c r="D1976" s="5" t="n">
        <v>17</v>
      </c>
      <c r="E1976" s="13" t="n">
        <v>2.46</v>
      </c>
      <c r="F1976" s="14" t="n">
        <f aca="false">E1976*Assumptions!$D$6</f>
        <v>368.083059843156</v>
      </c>
      <c r="G1976" s="14" t="n">
        <v>250</v>
      </c>
      <c r="H1976" s="14" t="n">
        <v>380</v>
      </c>
      <c r="I1976" s="14" t="n">
        <f aca="false">F1976-(G1976+H1976)/2</f>
        <v>53.0830598431559</v>
      </c>
      <c r="J1976" s="5" t="str">
        <f aca="false">IF(D1976&lt;8,"LOW SAMPLE",IF(F1976&gt;H1976*(1+Assumptions!$B$10),"UNDERPAID",IF(F1976&lt;G1976*(1-Assumptions!$B$10),"OVERPAID","FAIR")))</f>
        <v>FAIR</v>
      </c>
      <c r="K1976" s="5" t="n">
        <v>0</v>
      </c>
    </row>
    <row r="1977" customFormat="false" ht="15" hidden="false" customHeight="false" outlineLevel="0" collapsed="false">
      <c r="A1977" s="5" t="n">
        <v>2023</v>
      </c>
      <c r="B1977" s="5" t="s">
        <v>644</v>
      </c>
      <c r="C1977" s="5" t="s">
        <v>822</v>
      </c>
      <c r="D1977" s="5" t="n">
        <v>11</v>
      </c>
      <c r="E1977" s="13" t="n">
        <v>0.71</v>
      </c>
      <c r="F1977" s="14" t="n">
        <f aca="false">E1977*Assumptions!$D$6</f>
        <v>106.235354670179</v>
      </c>
      <c r="G1977" s="14" t="n">
        <v>140</v>
      </c>
      <c r="H1977" s="14" t="n">
        <v>250</v>
      </c>
      <c r="I1977" s="14" t="n">
        <f aca="false">F1977-(G1977+H1977)/2</f>
        <v>-88.7646453298209</v>
      </c>
      <c r="J1977" s="5" t="str">
        <f aca="false">IF(D1977&lt;8,"LOW SAMPLE",IF(F1977&gt;H1977*(1+Assumptions!$B$10),"UNDERPAID",IF(F1977&lt;G1977*(1-Assumptions!$B$10),"OVERPAID","FAIR")))</f>
        <v>OVERPAID</v>
      </c>
      <c r="K1977" s="5" t="n">
        <v>9</v>
      </c>
    </row>
    <row r="1978" customFormat="false" ht="15" hidden="false" customHeight="false" outlineLevel="0" collapsed="false">
      <c r="A1978" s="5" t="n">
        <v>2023</v>
      </c>
      <c r="B1978" s="5" t="s">
        <v>644</v>
      </c>
      <c r="C1978" s="5" t="s">
        <v>900</v>
      </c>
      <c r="D1978" s="5" t="n">
        <v>10</v>
      </c>
      <c r="E1978" s="13" t="n">
        <v>1.24</v>
      </c>
      <c r="F1978" s="14" t="n">
        <f aca="false">E1978*Assumptions!$D$6</f>
        <v>185.537802522566</v>
      </c>
      <c r="G1978" s="14" t="n">
        <v>250</v>
      </c>
      <c r="H1978" s="14" t="n">
        <v>380</v>
      </c>
      <c r="I1978" s="14" t="n">
        <f aca="false">F1978-(G1978+H1978)/2</f>
        <v>-129.462197477434</v>
      </c>
      <c r="J1978" s="5" t="str">
        <f aca="false">IF(D1978&lt;8,"LOW SAMPLE",IF(F1978&gt;H1978*(1+Assumptions!$B$10),"UNDERPAID",IF(F1978&lt;G1978*(1-Assumptions!$B$10),"OVERPAID","FAIR")))</f>
        <v>OVERPAID</v>
      </c>
      <c r="K1978" s="5" t="n">
        <v>0</v>
      </c>
    </row>
    <row r="1979" customFormat="false" ht="15" hidden="false" customHeight="false" outlineLevel="0" collapsed="false">
      <c r="A1979" s="5" t="n">
        <v>2023</v>
      </c>
      <c r="B1979" s="5" t="s">
        <v>644</v>
      </c>
      <c r="C1979" s="5" t="s">
        <v>139</v>
      </c>
      <c r="D1979" s="5" t="n">
        <v>13</v>
      </c>
      <c r="E1979" s="13" t="n">
        <v>1.58</v>
      </c>
      <c r="F1979" s="14" t="n">
        <f aca="false">E1979*Assumptions!$D$6</f>
        <v>236.411070956173</v>
      </c>
      <c r="G1979" s="14" t="n">
        <v>380</v>
      </c>
      <c r="H1979" s="14" t="n">
        <v>500</v>
      </c>
      <c r="I1979" s="14" t="n">
        <f aca="false">F1979-(G1979+H1979)/2</f>
        <v>-203.588929043827</v>
      </c>
      <c r="J1979" s="5" t="str">
        <f aca="false">IF(D1979&lt;8,"LOW SAMPLE",IF(F1979&gt;H1979*(1+Assumptions!$B$10),"UNDERPAID",IF(F1979&lt;G1979*(1-Assumptions!$B$10),"OVERPAID","FAIR")))</f>
        <v>OVERPAID</v>
      </c>
      <c r="K1979" s="5" t="n">
        <v>108</v>
      </c>
    </row>
    <row r="1980" customFormat="false" ht="15" hidden="false" customHeight="false" outlineLevel="0" collapsed="false">
      <c r="A1980" s="5" t="n">
        <v>2023</v>
      </c>
      <c r="B1980" s="5" t="s">
        <v>644</v>
      </c>
      <c r="C1980" s="5" t="s">
        <v>675</v>
      </c>
      <c r="D1980" s="5" t="n">
        <v>13</v>
      </c>
      <c r="E1980" s="13" t="n">
        <v>1.97</v>
      </c>
      <c r="F1980" s="14" t="n">
        <f aca="false">E1980*Assumptions!$D$6</f>
        <v>294.765702394722</v>
      </c>
      <c r="G1980" s="14" t="n">
        <v>380</v>
      </c>
      <c r="H1980" s="14" t="n">
        <v>500</v>
      </c>
      <c r="I1980" s="14" t="n">
        <f aca="false">F1980-(G1980+H1980)/2</f>
        <v>-145.234297605278</v>
      </c>
      <c r="J1980" s="5" t="str">
        <f aca="false">IF(D1980&lt;8,"LOW SAMPLE",IF(F1980&gt;H1980*(1+Assumptions!$B$10),"UNDERPAID",IF(F1980&lt;G1980*(1-Assumptions!$B$10),"OVERPAID","FAIR")))</f>
        <v>OVERPAID</v>
      </c>
      <c r="K1980" s="5" t="n">
        <v>168</v>
      </c>
    </row>
    <row r="1981" customFormat="false" ht="15" hidden="false" customHeight="false" outlineLevel="0" collapsed="false">
      <c r="A1981" s="5" t="n">
        <v>2023</v>
      </c>
      <c r="B1981" s="5" t="s">
        <v>644</v>
      </c>
      <c r="C1981" s="5" t="s">
        <v>676</v>
      </c>
      <c r="D1981" s="5" t="n">
        <v>22</v>
      </c>
      <c r="E1981" s="13" t="n">
        <v>5.85</v>
      </c>
      <c r="F1981" s="14" t="n">
        <f aca="false">E1981*Assumptions!$D$6</f>
        <v>875.319471578237</v>
      </c>
      <c r="G1981" s="14" t="n">
        <v>500</v>
      </c>
      <c r="H1981" s="14" t="n">
        <v>680</v>
      </c>
      <c r="I1981" s="14" t="n">
        <f aca="false">F1981-(G1981+H1981)/2</f>
        <v>285.319471578237</v>
      </c>
      <c r="J1981" s="5" t="str">
        <f aca="false">IF(D1981&lt;8,"LOW SAMPLE",IF(F1981&gt;H1981*(1+Assumptions!$B$10),"UNDERPAID",IF(F1981&lt;G1981*(1-Assumptions!$B$10),"OVERPAID","FAIR")))</f>
        <v>UNDERPAID</v>
      </c>
      <c r="K1981" s="5" t="n">
        <v>102</v>
      </c>
    </row>
    <row r="1982" customFormat="false" ht="15" hidden="false" customHeight="false" outlineLevel="0" collapsed="false">
      <c r="A1982" s="5" t="n">
        <v>2023</v>
      </c>
      <c r="B1982" s="5" t="s">
        <v>644</v>
      </c>
      <c r="C1982" s="5" t="s">
        <v>677</v>
      </c>
      <c r="D1982" s="5" t="n">
        <v>14</v>
      </c>
      <c r="E1982" s="13" t="n">
        <v>2.24</v>
      </c>
      <c r="F1982" s="14" t="n">
        <f aca="false">E1982*Assumptions!$D$6</f>
        <v>335.16506262141</v>
      </c>
      <c r="G1982" s="14" t="n">
        <v>500</v>
      </c>
      <c r="H1982" s="14" t="n">
        <v>680</v>
      </c>
      <c r="I1982" s="14" t="n">
        <f aca="false">F1982-(G1982+H1982)/2</f>
        <v>-254.83493737859</v>
      </c>
      <c r="J1982" s="5" t="str">
        <f aca="false">IF(D1982&lt;8,"LOW SAMPLE",IF(F1982&gt;H1982*(1+Assumptions!$B$10),"UNDERPAID",IF(F1982&lt;G1982*(1-Assumptions!$B$10),"OVERPAID","FAIR")))</f>
        <v>OVERPAID</v>
      </c>
      <c r="K1982" s="5" t="n">
        <v>118</v>
      </c>
    </row>
    <row r="1983" customFormat="false" ht="15" hidden="false" customHeight="false" outlineLevel="0" collapsed="false">
      <c r="A1983" s="5" t="n">
        <v>2023</v>
      </c>
      <c r="B1983" s="5" t="s">
        <v>644</v>
      </c>
      <c r="C1983" s="5" t="s">
        <v>678</v>
      </c>
      <c r="D1983" s="5" t="n">
        <v>12</v>
      </c>
      <c r="E1983" s="13" t="n">
        <v>1.36</v>
      </c>
      <c r="F1983" s="14" t="n">
        <f aca="false">E1983*Assumptions!$D$6</f>
        <v>203.493073734428</v>
      </c>
      <c r="G1983" s="14" t="n">
        <v>380</v>
      </c>
      <c r="H1983" s="14" t="n">
        <v>500</v>
      </c>
      <c r="I1983" s="14" t="n">
        <f aca="false">F1983-(G1983+H1983)/2</f>
        <v>-236.506926265572</v>
      </c>
      <c r="J1983" s="5" t="str">
        <f aca="false">IF(D1983&lt;8,"LOW SAMPLE",IF(F1983&gt;H1983*(1+Assumptions!$B$10),"UNDERPAID",IF(F1983&lt;G1983*(1-Assumptions!$B$10),"OVERPAID","FAIR")))</f>
        <v>OVERPAID</v>
      </c>
      <c r="K1983" s="5" t="n">
        <v>78</v>
      </c>
    </row>
    <row r="1984" customFormat="false" ht="15" hidden="false" customHeight="false" outlineLevel="0" collapsed="false">
      <c r="A1984" s="5" t="n">
        <v>2023</v>
      </c>
      <c r="B1984" s="5" t="s">
        <v>644</v>
      </c>
      <c r="C1984" s="5" t="s">
        <v>679</v>
      </c>
      <c r="D1984" s="5" t="n">
        <v>15</v>
      </c>
      <c r="E1984" s="13" t="n">
        <v>1.77</v>
      </c>
      <c r="F1984" s="14" t="n">
        <f aca="false">E1984*Assumptions!$D$6</f>
        <v>264.840250374954</v>
      </c>
      <c r="G1984" s="14" t="n">
        <v>140</v>
      </c>
      <c r="H1984" s="14" t="n">
        <v>250</v>
      </c>
      <c r="I1984" s="14" t="n">
        <f aca="false">F1984-(G1984+H1984)/2</f>
        <v>69.8402503749537</v>
      </c>
      <c r="J1984" s="5" t="str">
        <f aca="false">IF(D1984&lt;8,"LOW SAMPLE",IF(F1984&gt;H1984*(1+Assumptions!$B$10),"UNDERPAID",IF(F1984&lt;G1984*(1-Assumptions!$B$10),"OVERPAID","FAIR")))</f>
        <v>FAIR</v>
      </c>
      <c r="K1984" s="5" t="n">
        <v>24</v>
      </c>
    </row>
    <row r="1985" customFormat="false" ht="15" hidden="false" customHeight="false" outlineLevel="0" collapsed="false">
      <c r="A1985" s="5" t="n">
        <v>2023</v>
      </c>
      <c r="B1985" s="5" t="s">
        <v>644</v>
      </c>
      <c r="C1985" s="5" t="s">
        <v>824</v>
      </c>
      <c r="D1985" s="5" t="n">
        <v>4</v>
      </c>
      <c r="E1985" s="13" t="n">
        <v>0.36</v>
      </c>
      <c r="F1985" s="14" t="n">
        <f aca="false">E1985*Assumptions!$D$6</f>
        <v>53.8658136355838</v>
      </c>
      <c r="G1985" s="14" t="n">
        <v>140</v>
      </c>
      <c r="H1985" s="14" t="n">
        <v>250</v>
      </c>
      <c r="I1985" s="14" t="n">
        <f aca="false">F1985-(G1985+H1985)/2</f>
        <v>-141.134186364416</v>
      </c>
      <c r="J1985" s="5" t="str">
        <f aca="false">IF(D1985&lt;8,"LOW SAMPLE",IF(F1985&gt;H1985*(1+Assumptions!$B$10),"UNDERPAID",IF(F1985&lt;G1985*(1-Assumptions!$B$10),"OVERPAID","FAIR")))</f>
        <v>LOW SAMPLE</v>
      </c>
      <c r="K1985" s="5" t="n">
        <v>2</v>
      </c>
    </row>
    <row r="1986" customFormat="false" ht="15" hidden="false" customHeight="false" outlineLevel="0" collapsed="false">
      <c r="A1986" s="5" t="n">
        <v>2023</v>
      </c>
      <c r="B1986" s="5" t="s">
        <v>681</v>
      </c>
      <c r="C1986" s="5" t="s">
        <v>682</v>
      </c>
      <c r="D1986" s="5" t="n">
        <v>23</v>
      </c>
      <c r="E1986" s="13" t="n">
        <v>6.14</v>
      </c>
      <c r="F1986" s="14" t="n">
        <f aca="false">E1986*Assumptions!$D$6</f>
        <v>918.711377006901</v>
      </c>
      <c r="G1986" s="14" t="n">
        <v>680</v>
      </c>
      <c r="H1986" s="14" t="n">
        <v>950</v>
      </c>
      <c r="I1986" s="14" t="n">
        <f aca="false">F1986-(G1986+H1986)/2</f>
        <v>103.711377006901</v>
      </c>
      <c r="J1986" s="5" t="str">
        <f aca="false">IF(D1986&lt;8,"LOW SAMPLE",IF(F1986&gt;H1986*(1+Assumptions!$B$10),"UNDERPAID",IF(F1986&lt;G1986*(1-Assumptions!$B$10),"OVERPAID","FAIR")))</f>
        <v>FAIR</v>
      </c>
      <c r="K1986" s="5" t="n">
        <v>100</v>
      </c>
    </row>
    <row r="1987" customFormat="false" ht="15" hidden="false" customHeight="false" outlineLevel="0" collapsed="false">
      <c r="A1987" s="5" t="n">
        <v>2023</v>
      </c>
      <c r="B1987" s="5" t="s">
        <v>681</v>
      </c>
      <c r="C1987" s="5" t="s">
        <v>683</v>
      </c>
      <c r="D1987" s="5" t="n">
        <v>19</v>
      </c>
      <c r="E1987" s="13" t="n">
        <v>5.16</v>
      </c>
      <c r="F1987" s="14" t="n">
        <f aca="false">E1987*Assumptions!$D$6</f>
        <v>772.076662110034</v>
      </c>
      <c r="G1987" s="14" t="n">
        <v>500</v>
      </c>
      <c r="H1987" s="14" t="n">
        <v>680</v>
      </c>
      <c r="I1987" s="14" t="n">
        <f aca="false">F1987-(G1987+H1987)/2</f>
        <v>182.076662110034</v>
      </c>
      <c r="J1987" s="5" t="str">
        <f aca="false">IF(D1987&lt;8,"LOW SAMPLE",IF(F1987&gt;H1987*(1+Assumptions!$B$10),"UNDERPAID",IF(F1987&lt;G1987*(1-Assumptions!$B$10),"OVERPAID","FAIR")))</f>
        <v>FAIR</v>
      </c>
      <c r="K1987" s="5" t="n">
        <v>154</v>
      </c>
    </row>
    <row r="1988" customFormat="false" ht="15" hidden="false" customHeight="false" outlineLevel="0" collapsed="false">
      <c r="A1988" s="5" t="n">
        <v>2023</v>
      </c>
      <c r="B1988" s="5" t="s">
        <v>681</v>
      </c>
      <c r="C1988" s="5" t="s">
        <v>684</v>
      </c>
      <c r="D1988" s="5" t="n">
        <v>18</v>
      </c>
      <c r="E1988" s="13" t="n">
        <v>2.44</v>
      </c>
      <c r="F1988" s="14" t="n">
        <f aca="false">E1988*Assumptions!$D$6</f>
        <v>365.090514641179</v>
      </c>
      <c r="G1988" s="14" t="n">
        <v>380</v>
      </c>
      <c r="H1988" s="14" t="n">
        <v>500</v>
      </c>
      <c r="I1988" s="14" t="n">
        <f aca="false">F1988-(G1988+H1988)/2</f>
        <v>-74.909485358821</v>
      </c>
      <c r="J1988" s="5" t="str">
        <f aca="false">IF(D1988&lt;8,"LOW SAMPLE",IF(F1988&gt;H1988*(1+Assumptions!$B$10),"UNDERPAID",IF(F1988&lt;G1988*(1-Assumptions!$B$10),"OVERPAID","FAIR")))</f>
        <v>FAIR</v>
      </c>
      <c r="K1988" s="5" t="n">
        <v>86</v>
      </c>
    </row>
    <row r="1989" customFormat="false" ht="15" hidden="false" customHeight="false" outlineLevel="0" collapsed="false">
      <c r="A1989" s="5" t="n">
        <v>2023</v>
      </c>
      <c r="B1989" s="5" t="s">
        <v>681</v>
      </c>
      <c r="C1989" s="5" t="s">
        <v>685</v>
      </c>
      <c r="D1989" s="5" t="n">
        <v>22</v>
      </c>
      <c r="E1989" s="13" t="n">
        <v>2.83</v>
      </c>
      <c r="F1989" s="14" t="n">
        <f aca="false">E1989*Assumptions!$D$6</f>
        <v>423.445146079728</v>
      </c>
      <c r="G1989" s="14" t="n">
        <v>250</v>
      </c>
      <c r="H1989" s="14" t="n">
        <v>380</v>
      </c>
      <c r="I1989" s="14" t="n">
        <f aca="false">F1989-(G1989+H1989)/2</f>
        <v>108.445146079728</v>
      </c>
      <c r="J1989" s="5" t="str">
        <f aca="false">IF(D1989&lt;8,"LOW SAMPLE",IF(F1989&gt;H1989*(1+Assumptions!$B$10),"UNDERPAID",IF(F1989&lt;G1989*(1-Assumptions!$B$10),"OVERPAID","FAIR")))</f>
        <v>FAIR</v>
      </c>
      <c r="K1989" s="5" t="n">
        <v>35</v>
      </c>
    </row>
    <row r="1990" customFormat="false" ht="15" hidden="false" customHeight="false" outlineLevel="0" collapsed="false">
      <c r="A1990" s="5" t="n">
        <v>2023</v>
      </c>
      <c r="B1990" s="5" t="s">
        <v>681</v>
      </c>
      <c r="C1990" s="5" t="s">
        <v>901</v>
      </c>
      <c r="D1990" s="5" t="n">
        <v>13</v>
      </c>
      <c r="E1990" s="13" t="n">
        <v>1.19</v>
      </c>
      <c r="F1990" s="14" t="n">
        <f aca="false">E1990*Assumptions!$D$6</f>
        <v>178.056439517624</v>
      </c>
      <c r="G1990" s="14" t="n">
        <v>250</v>
      </c>
      <c r="H1990" s="14" t="n">
        <v>380</v>
      </c>
      <c r="I1990" s="14" t="n">
        <f aca="false">F1990-(G1990+H1990)/2</f>
        <v>-136.943560482376</v>
      </c>
      <c r="J1990" s="5" t="str">
        <f aca="false">IF(D1990&lt;8,"LOW SAMPLE",IF(F1990&gt;H1990*(1+Assumptions!$B$10),"UNDERPAID",IF(F1990&lt;G1990*(1-Assumptions!$B$10),"OVERPAID","FAIR")))</f>
        <v>OVERPAID</v>
      </c>
      <c r="K1990" s="5" t="n">
        <v>0</v>
      </c>
    </row>
    <row r="1991" customFormat="false" ht="15" hidden="false" customHeight="false" outlineLevel="0" collapsed="false">
      <c r="A1991" s="5" t="n">
        <v>2023</v>
      </c>
      <c r="B1991" s="5" t="s">
        <v>681</v>
      </c>
      <c r="C1991" s="5" t="s">
        <v>686</v>
      </c>
      <c r="D1991" s="5" t="n">
        <v>23</v>
      </c>
      <c r="E1991" s="13" t="n">
        <v>4.47</v>
      </c>
      <c r="F1991" s="14" t="n">
        <f aca="false">E1991*Assumptions!$D$6</f>
        <v>668.833852641832</v>
      </c>
      <c r="G1991" s="14" t="n">
        <v>680</v>
      </c>
      <c r="H1991" s="14" t="n">
        <v>950</v>
      </c>
      <c r="I1991" s="14" t="n">
        <f aca="false">F1991-(G1991+H1991)/2</f>
        <v>-146.166147358168</v>
      </c>
      <c r="J1991" s="5" t="str">
        <f aca="false">IF(D1991&lt;8,"LOW SAMPLE",IF(F1991&gt;H1991*(1+Assumptions!$B$10),"UNDERPAID",IF(F1991&lt;G1991*(1-Assumptions!$B$10),"OVERPAID","FAIR")))</f>
        <v>FAIR</v>
      </c>
      <c r="K1991" s="5" t="n">
        <v>108</v>
      </c>
    </row>
    <row r="1992" customFormat="false" ht="15" hidden="false" customHeight="false" outlineLevel="0" collapsed="false">
      <c r="A1992" s="5" t="n">
        <v>2023</v>
      </c>
      <c r="B1992" s="5" t="s">
        <v>681</v>
      </c>
      <c r="C1992" s="5" t="s">
        <v>687</v>
      </c>
      <c r="D1992" s="5" t="n">
        <v>19</v>
      </c>
      <c r="E1992" s="13" t="n">
        <v>3.75</v>
      </c>
      <c r="F1992" s="14" t="n">
        <f aca="false">E1992*Assumptions!$D$6</f>
        <v>561.102225370664</v>
      </c>
      <c r="G1992" s="14" t="n">
        <v>680</v>
      </c>
      <c r="H1992" s="14" t="n">
        <v>950</v>
      </c>
      <c r="I1992" s="14" t="n">
        <f aca="false">F1992-(G1992+H1992)/2</f>
        <v>-253.897774629336</v>
      </c>
      <c r="J1992" s="5" t="str">
        <f aca="false">IF(D1992&lt;8,"LOW SAMPLE",IF(F1992&gt;H1992*(1+Assumptions!$B$10),"UNDERPAID",IF(F1992&lt;G1992*(1-Assumptions!$B$10),"OVERPAID","FAIR")))</f>
        <v>OVERPAID</v>
      </c>
      <c r="K1992" s="5" t="n">
        <v>84</v>
      </c>
    </row>
    <row r="1993" customFormat="false" ht="15" hidden="false" customHeight="false" outlineLevel="0" collapsed="false">
      <c r="A1993" s="5" t="n">
        <v>2023</v>
      </c>
      <c r="B1993" s="5" t="s">
        <v>681</v>
      </c>
      <c r="C1993" s="5" t="s">
        <v>647</v>
      </c>
      <c r="D1993" s="5" t="n">
        <v>23</v>
      </c>
      <c r="E1993" s="13" t="n">
        <v>3.68</v>
      </c>
      <c r="F1993" s="14" t="n">
        <f aca="false">E1993*Assumptions!$D$6</f>
        <v>550.628317163746</v>
      </c>
      <c r="G1993" s="14" t="n">
        <v>680</v>
      </c>
      <c r="H1993" s="14" t="n">
        <v>950</v>
      </c>
      <c r="I1993" s="14" t="n">
        <f aca="false">F1993-(G1993+H1993)/2</f>
        <v>-264.371682836255</v>
      </c>
      <c r="J1993" s="5" t="str">
        <f aca="false">IF(D1993&lt;8,"LOW SAMPLE",IF(F1993&gt;H1993*(1+Assumptions!$B$10),"UNDERPAID",IF(F1993&lt;G1993*(1-Assumptions!$B$10),"OVERPAID","FAIR")))</f>
        <v>OVERPAID</v>
      </c>
      <c r="K1993" s="5" t="n">
        <v>130</v>
      </c>
    </row>
    <row r="1994" customFormat="false" ht="15" hidden="false" customHeight="false" outlineLevel="0" collapsed="false">
      <c r="A1994" s="5" t="n">
        <v>2023</v>
      </c>
      <c r="B1994" s="5" t="s">
        <v>681</v>
      </c>
      <c r="C1994" s="5" t="s">
        <v>689</v>
      </c>
      <c r="D1994" s="5" t="n">
        <v>1</v>
      </c>
      <c r="E1994" s="13" t="n">
        <v>0.11</v>
      </c>
      <c r="F1994" s="14" t="n">
        <f aca="false">E1994*Assumptions!$D$6</f>
        <v>16.4589986108728</v>
      </c>
      <c r="G1994" s="14" t="n">
        <v>140</v>
      </c>
      <c r="H1994" s="14" t="n">
        <v>250</v>
      </c>
      <c r="I1994" s="14" t="n">
        <f aca="false">F1994-(G1994+H1994)/2</f>
        <v>-178.541001389127</v>
      </c>
      <c r="J1994" s="5" t="str">
        <f aca="false">IF(D1994&lt;8,"LOW SAMPLE",IF(F1994&gt;H1994*(1+Assumptions!$B$10),"UNDERPAID",IF(F1994&lt;G1994*(1-Assumptions!$B$10),"OVERPAID","FAIR")))</f>
        <v>LOW SAMPLE</v>
      </c>
      <c r="K1994" s="5" t="n">
        <v>9</v>
      </c>
    </row>
    <row r="1995" customFormat="false" ht="15" hidden="false" customHeight="false" outlineLevel="0" collapsed="false">
      <c r="A1995" s="5" t="n">
        <v>2023</v>
      </c>
      <c r="B1995" s="5" t="s">
        <v>681</v>
      </c>
      <c r="C1995" s="5" t="s">
        <v>690</v>
      </c>
      <c r="D1995" s="5" t="n">
        <v>23</v>
      </c>
      <c r="E1995" s="13" t="n">
        <v>5.16</v>
      </c>
      <c r="F1995" s="14" t="n">
        <f aca="false">E1995*Assumptions!$D$6</f>
        <v>772.076662110034</v>
      </c>
      <c r="G1995" s="14" t="n">
        <v>500</v>
      </c>
      <c r="H1995" s="14" t="n">
        <v>680</v>
      </c>
      <c r="I1995" s="14" t="n">
        <f aca="false">F1995-(G1995+H1995)/2</f>
        <v>182.076662110034</v>
      </c>
      <c r="J1995" s="5" t="str">
        <f aca="false">IF(D1995&lt;8,"LOW SAMPLE",IF(F1995&gt;H1995*(1+Assumptions!$B$10),"UNDERPAID",IF(F1995&lt;G1995*(1-Assumptions!$B$10),"OVERPAID","FAIR")))</f>
        <v>FAIR</v>
      </c>
      <c r="K1995" s="5" t="n">
        <v>153</v>
      </c>
    </row>
    <row r="1996" customFormat="false" ht="15" hidden="false" customHeight="false" outlineLevel="0" collapsed="false">
      <c r="A1996" s="5" t="n">
        <v>2023</v>
      </c>
      <c r="B1996" s="5" t="s">
        <v>681</v>
      </c>
      <c r="C1996" s="5" t="s">
        <v>153</v>
      </c>
      <c r="D1996" s="5" t="n">
        <v>9</v>
      </c>
      <c r="E1996" s="13" t="n">
        <v>1.16</v>
      </c>
      <c r="F1996" s="14" t="n">
        <f aca="false">E1996*Assumptions!$D$6</f>
        <v>173.567621714659</v>
      </c>
      <c r="G1996" s="14" t="n">
        <v>140</v>
      </c>
      <c r="H1996" s="14" t="n">
        <v>250</v>
      </c>
      <c r="I1996" s="14" t="n">
        <f aca="false">F1996-(G1996+H1996)/2</f>
        <v>-21.4323782853411</v>
      </c>
      <c r="J1996" s="5" t="str">
        <f aca="false">IF(D1996&lt;8,"LOW SAMPLE",IF(F1996&gt;H1996*(1+Assumptions!$B$10),"UNDERPAID",IF(F1996&lt;G1996*(1-Assumptions!$B$10),"OVERPAID","FAIR")))</f>
        <v>FAIR</v>
      </c>
      <c r="K1996" s="5" t="n">
        <v>12</v>
      </c>
    </row>
    <row r="1997" customFormat="false" ht="15" hidden="false" customHeight="false" outlineLevel="0" collapsed="false">
      <c r="A1997" s="5" t="n">
        <v>2023</v>
      </c>
      <c r="B1997" s="5" t="s">
        <v>681</v>
      </c>
      <c r="C1997" s="5" t="s">
        <v>691</v>
      </c>
      <c r="D1997" s="5" t="n">
        <v>19</v>
      </c>
      <c r="E1997" s="13" t="n">
        <v>3.86</v>
      </c>
      <c r="F1997" s="14" t="n">
        <f aca="false">E1997*Assumptions!$D$6</f>
        <v>577.561223981537</v>
      </c>
      <c r="G1997" s="14" t="n">
        <v>380</v>
      </c>
      <c r="H1997" s="14" t="n">
        <v>500</v>
      </c>
      <c r="I1997" s="14" t="n">
        <f aca="false">F1997-(G1997+H1997)/2</f>
        <v>137.561223981537</v>
      </c>
      <c r="J1997" s="5" t="str">
        <f aca="false">IF(D1997&lt;8,"LOW SAMPLE",IF(F1997&gt;H1997*(1+Assumptions!$B$10),"UNDERPAID",IF(F1997&lt;G1997*(1-Assumptions!$B$10),"OVERPAID","FAIR")))</f>
        <v>UNDERPAID</v>
      </c>
      <c r="K1997" s="5" t="n">
        <v>40</v>
      </c>
    </row>
    <row r="1998" customFormat="false" ht="15" hidden="false" customHeight="false" outlineLevel="0" collapsed="false">
      <c r="A1998" s="5" t="n">
        <v>2023</v>
      </c>
      <c r="B1998" s="5" t="s">
        <v>681</v>
      </c>
      <c r="C1998" s="5" t="s">
        <v>693</v>
      </c>
      <c r="D1998" s="5" t="n">
        <v>19</v>
      </c>
      <c r="E1998" s="13" t="n">
        <v>4.24</v>
      </c>
      <c r="F1998" s="14" t="n">
        <f aca="false">E1998*Assumptions!$D$6</f>
        <v>634.419582819098</v>
      </c>
      <c r="G1998" s="14" t="n">
        <v>380</v>
      </c>
      <c r="H1998" s="14" t="n">
        <v>500</v>
      </c>
      <c r="I1998" s="14" t="n">
        <f aca="false">F1998-(G1998+H1998)/2</f>
        <v>194.419582819098</v>
      </c>
      <c r="J1998" s="5" t="str">
        <f aca="false">IF(D1998&lt;8,"LOW SAMPLE",IF(F1998&gt;H1998*(1+Assumptions!$B$10),"UNDERPAID",IF(F1998&lt;G1998*(1-Assumptions!$B$10),"OVERPAID","FAIR")))</f>
        <v>UNDERPAID</v>
      </c>
      <c r="K1998" s="5" t="n">
        <v>85</v>
      </c>
    </row>
    <row r="1999" customFormat="false" ht="15" hidden="false" customHeight="false" outlineLevel="0" collapsed="false">
      <c r="A1999" s="5" t="n">
        <v>2023</v>
      </c>
      <c r="B1999" s="5" t="s">
        <v>681</v>
      </c>
      <c r="C1999" s="5" t="s">
        <v>694</v>
      </c>
      <c r="D1999" s="5" t="n">
        <v>4</v>
      </c>
      <c r="E1999" s="13" t="n">
        <v>0.5</v>
      </c>
      <c r="F1999" s="14" t="n">
        <f aca="false">E1999*Assumptions!$D$6</f>
        <v>74.8136300494219</v>
      </c>
      <c r="G1999" s="14" t="n">
        <v>380</v>
      </c>
      <c r="H1999" s="14" t="n">
        <v>500</v>
      </c>
      <c r="I1999" s="14" t="n">
        <f aca="false">F1999-(G1999+H1999)/2</f>
        <v>-365.186369950578</v>
      </c>
      <c r="J1999" s="5" t="str">
        <f aca="false">IF(D1999&lt;8,"LOW SAMPLE",IF(F1999&gt;H1999*(1+Assumptions!$B$10),"UNDERPAID",IF(F1999&lt;G1999*(1-Assumptions!$B$10),"OVERPAID","FAIR")))</f>
        <v>LOW SAMPLE</v>
      </c>
      <c r="K1999" s="5" t="n">
        <v>115</v>
      </c>
    </row>
    <row r="2000" customFormat="false" ht="15" hidden="false" customHeight="false" outlineLevel="0" collapsed="false">
      <c r="A2000" s="5" t="n">
        <v>2023</v>
      </c>
      <c r="B2000" s="5" t="s">
        <v>681</v>
      </c>
      <c r="C2000" s="5" t="s">
        <v>695</v>
      </c>
      <c r="D2000" s="5" t="n">
        <v>22</v>
      </c>
      <c r="E2000" s="13" t="n">
        <v>5.22</v>
      </c>
      <c r="F2000" s="14" t="n">
        <f aca="false">E2000*Assumptions!$D$6</f>
        <v>781.054297715965</v>
      </c>
      <c r="G2000" s="14" t="n">
        <v>950</v>
      </c>
      <c r="H2000" s="14" t="n">
        <v>1300</v>
      </c>
      <c r="I2000" s="14" t="n">
        <f aca="false">F2000-(G2000+H2000)/2</f>
        <v>-343.945702284035</v>
      </c>
      <c r="J2000" s="5" t="str">
        <f aca="false">IF(D2000&lt;8,"LOW SAMPLE",IF(F2000&gt;H2000*(1+Assumptions!$B$10),"UNDERPAID",IF(F2000&lt;G2000*(1-Assumptions!$B$10),"OVERPAID","FAIR")))</f>
        <v>OVERPAID</v>
      </c>
      <c r="K2000" s="5" t="n">
        <v>174</v>
      </c>
    </row>
    <row r="2001" customFormat="false" ht="15" hidden="false" customHeight="false" outlineLevel="0" collapsed="false">
      <c r="A2001" s="5" t="n">
        <v>2023</v>
      </c>
      <c r="B2001" s="5" t="s">
        <v>681</v>
      </c>
      <c r="C2001" s="5" t="s">
        <v>696</v>
      </c>
      <c r="D2001" s="5" t="n">
        <v>23</v>
      </c>
      <c r="E2001" s="13" t="n">
        <v>4.83</v>
      </c>
      <c r="F2001" s="14" t="n">
        <f aca="false">E2001*Assumptions!$D$6</f>
        <v>722.699666277416</v>
      </c>
      <c r="G2001" s="14" t="n">
        <v>250</v>
      </c>
      <c r="H2001" s="14" t="n">
        <v>380</v>
      </c>
      <c r="I2001" s="14" t="n">
        <f aca="false">F2001-(G2001+H2001)/2</f>
        <v>407.699666277416</v>
      </c>
      <c r="J2001" s="5" t="str">
        <f aca="false">IF(D2001&lt;8,"LOW SAMPLE",IF(F2001&gt;H2001*(1+Assumptions!$B$10),"UNDERPAID",IF(F2001&lt;G2001*(1-Assumptions!$B$10),"OVERPAID","FAIR")))</f>
        <v>UNDERPAID</v>
      </c>
      <c r="K2001" s="5" t="n">
        <v>22</v>
      </c>
    </row>
    <row r="2002" customFormat="false" ht="15" hidden="false" customHeight="false" outlineLevel="0" collapsed="false">
      <c r="A2002" s="5" t="n">
        <v>2023</v>
      </c>
      <c r="B2002" s="5" t="s">
        <v>681</v>
      </c>
      <c r="C2002" s="5" t="s">
        <v>902</v>
      </c>
      <c r="D2002" s="5" t="n">
        <v>12</v>
      </c>
      <c r="E2002" s="13" t="n">
        <v>1.36</v>
      </c>
      <c r="F2002" s="14" t="n">
        <f aca="false">E2002*Assumptions!$D$6</f>
        <v>203.493073734428</v>
      </c>
      <c r="G2002" s="14" t="n">
        <v>250</v>
      </c>
      <c r="H2002" s="14" t="n">
        <v>380</v>
      </c>
      <c r="I2002" s="14" t="n">
        <f aca="false">F2002-(G2002+H2002)/2</f>
        <v>-111.506926265572</v>
      </c>
      <c r="J2002" s="5" t="str">
        <f aca="false">IF(D2002&lt;8,"LOW SAMPLE",IF(F2002&gt;H2002*(1+Assumptions!$B$10),"UNDERPAID",IF(F2002&lt;G2002*(1-Assumptions!$B$10),"OVERPAID","FAIR")))</f>
        <v>OVERPAID</v>
      </c>
      <c r="K2002" s="5" t="n">
        <v>0</v>
      </c>
    </row>
    <row r="2003" customFormat="false" ht="15" hidden="false" customHeight="false" outlineLevel="0" collapsed="false">
      <c r="A2003" s="5" t="n">
        <v>2023</v>
      </c>
      <c r="B2003" s="5" t="s">
        <v>681</v>
      </c>
      <c r="C2003" s="5" t="s">
        <v>697</v>
      </c>
      <c r="D2003" s="5" t="n">
        <v>11</v>
      </c>
      <c r="E2003" s="13" t="n">
        <v>1.76</v>
      </c>
      <c r="F2003" s="14" t="n">
        <f aca="false">E2003*Assumptions!$D$6</f>
        <v>263.343977773965</v>
      </c>
      <c r="G2003" s="14" t="n">
        <v>380</v>
      </c>
      <c r="H2003" s="14" t="n">
        <v>500</v>
      </c>
      <c r="I2003" s="14" t="n">
        <f aca="false">F2003-(G2003+H2003)/2</f>
        <v>-176.656022226035</v>
      </c>
      <c r="J2003" s="5" t="str">
        <f aca="false">IF(D2003&lt;8,"LOW SAMPLE",IF(F2003&gt;H2003*(1+Assumptions!$B$10),"UNDERPAID",IF(F2003&lt;G2003*(1-Assumptions!$B$10),"OVERPAID","FAIR")))</f>
        <v>OVERPAID</v>
      </c>
      <c r="K2003" s="5" t="n">
        <v>149</v>
      </c>
    </row>
    <row r="2004" customFormat="false" ht="15" hidden="false" customHeight="false" outlineLevel="0" collapsed="false">
      <c r="A2004" s="5" t="n">
        <v>2023</v>
      </c>
      <c r="B2004" s="5" t="s">
        <v>681</v>
      </c>
      <c r="C2004" s="5" t="s">
        <v>699</v>
      </c>
      <c r="D2004" s="5" t="n">
        <v>8</v>
      </c>
      <c r="E2004" s="13" t="n">
        <v>1.02</v>
      </c>
      <c r="F2004" s="14" t="n">
        <f aca="false">E2004*Assumptions!$D$6</f>
        <v>152.619805300821</v>
      </c>
      <c r="G2004" s="14" t="n">
        <v>380</v>
      </c>
      <c r="H2004" s="14" t="n">
        <v>500</v>
      </c>
      <c r="I2004" s="14" t="n">
        <f aca="false">F2004-(G2004+H2004)/2</f>
        <v>-287.380194699179</v>
      </c>
      <c r="J2004" s="5" t="str">
        <f aca="false">IF(D2004&lt;8,"LOW SAMPLE",IF(F2004&gt;H2004*(1+Assumptions!$B$10),"UNDERPAID",IF(F2004&lt;G2004*(1-Assumptions!$B$10),"OVERPAID","FAIR")))</f>
        <v>OVERPAID</v>
      </c>
      <c r="K2004" s="5" t="n">
        <v>131</v>
      </c>
    </row>
    <row r="2005" customFormat="false" ht="15" hidden="false" customHeight="false" outlineLevel="0" collapsed="false">
      <c r="A2005" s="5" t="n">
        <v>2023</v>
      </c>
      <c r="B2005" s="5" t="s">
        <v>681</v>
      </c>
      <c r="C2005" s="5" t="s">
        <v>703</v>
      </c>
      <c r="D2005" s="5" t="n">
        <v>13</v>
      </c>
      <c r="E2005" s="13" t="n">
        <v>0.93</v>
      </c>
      <c r="F2005" s="14" t="n">
        <f aca="false">E2005*Assumptions!$D$6</f>
        <v>139.153351891925</v>
      </c>
      <c r="G2005" s="14" t="n">
        <v>250</v>
      </c>
      <c r="H2005" s="14" t="n">
        <v>380</v>
      </c>
      <c r="I2005" s="14" t="n">
        <f aca="false">F2005-(G2005+H2005)/2</f>
        <v>-175.846648108075</v>
      </c>
      <c r="J2005" s="5" t="str">
        <f aca="false">IF(D2005&lt;8,"LOW SAMPLE",IF(F2005&gt;H2005*(1+Assumptions!$B$10),"UNDERPAID",IF(F2005&lt;G2005*(1-Assumptions!$B$10),"OVERPAID","FAIR")))</f>
        <v>OVERPAID</v>
      </c>
      <c r="K2005" s="5" t="n">
        <v>29</v>
      </c>
    </row>
    <row r="2006" customFormat="false" ht="15" hidden="false" customHeight="false" outlineLevel="0" collapsed="false">
      <c r="A2006" s="5" t="n">
        <v>2023</v>
      </c>
      <c r="B2006" s="5" t="s">
        <v>681</v>
      </c>
      <c r="C2006" s="5" t="s">
        <v>704</v>
      </c>
      <c r="D2006" s="5" t="n">
        <v>11</v>
      </c>
      <c r="E2006" s="13" t="n">
        <v>1.66</v>
      </c>
      <c r="F2006" s="14" t="n">
        <f aca="false">E2006*Assumptions!$D$6</f>
        <v>248.381251764081</v>
      </c>
      <c r="G2006" s="14" t="n">
        <v>250</v>
      </c>
      <c r="H2006" s="14" t="n">
        <v>380</v>
      </c>
      <c r="I2006" s="14" t="n">
        <f aca="false">F2006-(G2006+H2006)/2</f>
        <v>-66.6187482359192</v>
      </c>
      <c r="J2006" s="5" t="str">
        <f aca="false">IF(D2006&lt;8,"LOW SAMPLE",IF(F2006&gt;H2006*(1+Assumptions!$B$10),"UNDERPAID",IF(F2006&lt;G2006*(1-Assumptions!$B$10),"OVERPAID","FAIR")))</f>
        <v>FAIR</v>
      </c>
      <c r="K2006" s="5" t="n">
        <v>33</v>
      </c>
    </row>
    <row r="2007" customFormat="false" ht="15" hidden="false" customHeight="false" outlineLevel="0" collapsed="false">
      <c r="A2007" s="5" t="n">
        <v>2023</v>
      </c>
      <c r="B2007" s="5" t="s">
        <v>681</v>
      </c>
      <c r="C2007" s="5" t="s">
        <v>123</v>
      </c>
      <c r="D2007" s="5" t="n">
        <v>18</v>
      </c>
      <c r="E2007" s="13" t="n">
        <v>3.19</v>
      </c>
      <c r="F2007" s="14" t="n">
        <f aca="false">E2007*Assumptions!$D$6</f>
        <v>477.310959715312</v>
      </c>
      <c r="G2007" s="14" t="n">
        <v>500</v>
      </c>
      <c r="H2007" s="14" t="n">
        <v>680</v>
      </c>
      <c r="I2007" s="14" t="n">
        <f aca="false">F2007-(G2007+H2007)/2</f>
        <v>-112.689040284688</v>
      </c>
      <c r="J2007" s="5" t="str">
        <f aca="false">IF(D2007&lt;8,"LOW SAMPLE",IF(F2007&gt;H2007*(1+Assumptions!$B$10),"UNDERPAID",IF(F2007&lt;G2007*(1-Assumptions!$B$10),"OVERPAID","FAIR")))</f>
        <v>FAIR</v>
      </c>
      <c r="K2007" s="5" t="n">
        <v>95</v>
      </c>
    </row>
    <row r="2008" customFormat="false" ht="15" hidden="false" customHeight="false" outlineLevel="0" collapsed="false">
      <c r="A2008" s="5" t="n">
        <v>2023</v>
      </c>
      <c r="B2008" s="5" t="s">
        <v>681</v>
      </c>
      <c r="C2008" s="5" t="s">
        <v>826</v>
      </c>
      <c r="D2008" s="5" t="n">
        <v>1</v>
      </c>
      <c r="E2008" s="13" t="n">
        <v>0.16</v>
      </c>
      <c r="F2008" s="14" t="n">
        <f aca="false">E2008*Assumptions!$D$6</f>
        <v>23.940361615815</v>
      </c>
      <c r="G2008" s="14" t="n">
        <v>140</v>
      </c>
      <c r="H2008" s="14" t="n">
        <v>250</v>
      </c>
      <c r="I2008" s="14" t="n">
        <f aca="false">F2008-(G2008+H2008)/2</f>
        <v>-171.059638384185</v>
      </c>
      <c r="J2008" s="5" t="str">
        <f aca="false">IF(D2008&lt;8,"LOW SAMPLE",IF(F2008&gt;H2008*(1+Assumptions!$B$10),"UNDERPAID",IF(F2008&lt;G2008*(1-Assumptions!$B$10),"OVERPAID","FAIR")))</f>
        <v>LOW SAMPLE</v>
      </c>
      <c r="K2008" s="5" t="n">
        <v>4</v>
      </c>
    </row>
    <row r="2009" customFormat="false" ht="15" hidden="false" customHeight="false" outlineLevel="0" collapsed="false">
      <c r="A2009" s="5" t="n">
        <v>2023</v>
      </c>
      <c r="B2009" s="5" t="s">
        <v>681</v>
      </c>
      <c r="C2009" s="5" t="s">
        <v>708</v>
      </c>
      <c r="D2009" s="5" t="n">
        <v>23</v>
      </c>
      <c r="E2009" s="13" t="n">
        <v>9.3</v>
      </c>
      <c r="F2009" s="14" t="n">
        <f aca="false">E2009*Assumptions!$D$6</f>
        <v>1391.53351891925</v>
      </c>
      <c r="G2009" s="14" t="n">
        <v>1300</v>
      </c>
      <c r="H2009" s="14" t="n">
        <v>1700</v>
      </c>
      <c r="I2009" s="14" t="n">
        <f aca="false">F2009-(G2009+H2009)/2</f>
        <v>-108.466481080752</v>
      </c>
      <c r="J2009" s="5" t="str">
        <f aca="false">IF(D2009&lt;8,"LOW SAMPLE",IF(F2009&gt;H2009*(1+Assumptions!$B$10),"UNDERPAID",IF(F2009&lt;G2009*(1-Assumptions!$B$10),"OVERPAID","FAIR")))</f>
        <v>FAIR</v>
      </c>
      <c r="K2009" s="5" t="n">
        <v>177</v>
      </c>
    </row>
    <row r="2010" customFormat="false" ht="15" hidden="false" customHeight="false" outlineLevel="0" collapsed="false">
      <c r="A2010" s="5" t="n">
        <v>2023</v>
      </c>
      <c r="B2010" s="5" t="s">
        <v>681</v>
      </c>
      <c r="C2010" s="5" t="s">
        <v>709</v>
      </c>
      <c r="D2010" s="5" t="n">
        <v>6</v>
      </c>
      <c r="E2010" s="13" t="n">
        <v>0.65</v>
      </c>
      <c r="F2010" s="14" t="n">
        <f aca="false">E2010*Assumptions!$D$6</f>
        <v>97.2577190642485</v>
      </c>
      <c r="G2010" s="14" t="n">
        <v>250</v>
      </c>
      <c r="H2010" s="14" t="n">
        <v>380</v>
      </c>
      <c r="I2010" s="14" t="n">
        <f aca="false">F2010-(G2010+H2010)/2</f>
        <v>-217.742280935751</v>
      </c>
      <c r="J2010" s="5" t="str">
        <f aca="false">IF(D2010&lt;8,"LOW SAMPLE",IF(F2010&gt;H2010*(1+Assumptions!$B$10),"UNDERPAID",IF(F2010&lt;G2010*(1-Assumptions!$B$10),"OVERPAID","FAIR")))</f>
        <v>LOW SAMPLE</v>
      </c>
      <c r="K2010" s="5" t="n">
        <v>74</v>
      </c>
    </row>
    <row r="2011" customFormat="false" ht="15" hidden="false" customHeight="false" outlineLevel="0" collapsed="false">
      <c r="A2011" s="5" t="n">
        <v>2023</v>
      </c>
      <c r="B2011" s="5" t="s">
        <v>681</v>
      </c>
      <c r="C2011" s="5" t="s">
        <v>446</v>
      </c>
      <c r="D2011" s="5" t="n">
        <v>18</v>
      </c>
      <c r="E2011" s="13" t="n">
        <v>2.6</v>
      </c>
      <c r="F2011" s="14" t="n">
        <f aca="false">E2011*Assumptions!$D$6</f>
        <v>389.030876256994</v>
      </c>
      <c r="G2011" s="14" t="n">
        <v>140</v>
      </c>
      <c r="H2011" s="14" t="n">
        <v>250</v>
      </c>
      <c r="I2011" s="14" t="n">
        <f aca="false">F2011-(G2011+H2011)/2</f>
        <v>194.030876256994</v>
      </c>
      <c r="J2011" s="5" t="str">
        <f aca="false">IF(D2011&lt;8,"LOW SAMPLE",IF(F2011&gt;H2011*(1+Assumptions!$B$10),"UNDERPAID",IF(F2011&lt;G2011*(1-Assumptions!$B$10),"OVERPAID","FAIR")))</f>
        <v>UNDERPAID</v>
      </c>
      <c r="K2011" s="5" t="n">
        <v>15</v>
      </c>
    </row>
    <row r="2012" customFormat="false" ht="15" hidden="false" customHeight="false" outlineLevel="0" collapsed="false">
      <c r="A2012" s="5" t="n">
        <v>2023</v>
      </c>
      <c r="B2012" s="5" t="s">
        <v>681</v>
      </c>
      <c r="C2012" s="5" t="s">
        <v>712</v>
      </c>
      <c r="D2012" s="5" t="n">
        <v>12</v>
      </c>
      <c r="E2012" s="13" t="n">
        <v>1.79</v>
      </c>
      <c r="F2012" s="14" t="n">
        <f aca="false">E2012*Assumptions!$D$6</f>
        <v>267.832795576931</v>
      </c>
      <c r="G2012" s="14" t="n">
        <v>140</v>
      </c>
      <c r="H2012" s="14" t="n">
        <v>250</v>
      </c>
      <c r="I2012" s="14" t="n">
        <f aca="false">F2012-(G2012+H2012)/2</f>
        <v>72.8327955769305</v>
      </c>
      <c r="J2012" s="5" t="str">
        <f aca="false">IF(D2012&lt;8,"LOW SAMPLE",IF(F2012&gt;H2012*(1+Assumptions!$B$10),"UNDERPAID",IF(F2012&lt;G2012*(1-Assumptions!$B$10),"OVERPAID","FAIR")))</f>
        <v>FAIR</v>
      </c>
      <c r="K2012" s="5" t="n">
        <v>25</v>
      </c>
    </row>
    <row r="2013" customFormat="false" ht="15" hidden="false" customHeight="false" outlineLevel="0" collapsed="false">
      <c r="A2013" s="5" t="n">
        <v>2023</v>
      </c>
      <c r="B2013" s="5" t="s">
        <v>681</v>
      </c>
      <c r="C2013" s="5" t="s">
        <v>713</v>
      </c>
      <c r="D2013" s="5" t="n">
        <v>3</v>
      </c>
      <c r="E2013" s="13" t="n">
        <v>0.27</v>
      </c>
      <c r="F2013" s="14" t="n">
        <f aca="false">E2013*Assumptions!$D$6</f>
        <v>40.3993602266879</v>
      </c>
      <c r="G2013" s="14" t="n">
        <v>140</v>
      </c>
      <c r="H2013" s="14" t="n">
        <v>250</v>
      </c>
      <c r="I2013" s="14" t="n">
        <f aca="false">F2013-(G2013+H2013)/2</f>
        <v>-154.600639773312</v>
      </c>
      <c r="J2013" s="5" t="str">
        <f aca="false">IF(D2013&lt;8,"LOW SAMPLE",IF(F2013&gt;H2013*(1+Assumptions!$B$10),"UNDERPAID",IF(F2013&lt;G2013*(1-Assumptions!$B$10),"OVERPAID","FAIR")))</f>
        <v>LOW SAMPLE</v>
      </c>
      <c r="K2013" s="5" t="n">
        <v>16</v>
      </c>
    </row>
    <row r="2014" customFormat="false" ht="15" hidden="false" customHeight="false" outlineLevel="0" collapsed="false">
      <c r="A2014" s="5" t="n">
        <v>2023</v>
      </c>
      <c r="B2014" s="5" t="s">
        <v>681</v>
      </c>
      <c r="C2014" s="5" t="s">
        <v>827</v>
      </c>
      <c r="D2014" s="5" t="n">
        <v>3</v>
      </c>
      <c r="E2014" s="13" t="n">
        <v>0.15</v>
      </c>
      <c r="F2014" s="14" t="n">
        <f aca="false">E2014*Assumptions!$D$6</f>
        <v>22.4440890148266</v>
      </c>
      <c r="G2014" s="14" t="n">
        <v>250</v>
      </c>
      <c r="H2014" s="14" t="n">
        <v>380</v>
      </c>
      <c r="I2014" s="14" t="n">
        <f aca="false">F2014-(G2014+H2014)/2</f>
        <v>-292.555910985173</v>
      </c>
      <c r="J2014" s="5" t="str">
        <f aca="false">IF(D2014&lt;8,"LOW SAMPLE",IF(F2014&gt;H2014*(1+Assumptions!$B$10),"UNDERPAID",IF(F2014&lt;G2014*(1-Assumptions!$B$10),"OVERPAID","FAIR")))</f>
        <v>LOW SAMPLE</v>
      </c>
      <c r="K2014" s="5" t="n">
        <v>15</v>
      </c>
    </row>
    <row r="2015" customFormat="false" ht="15" hidden="false" customHeight="false" outlineLevel="0" collapsed="false">
      <c r="A2015" s="5" t="n">
        <v>2023</v>
      </c>
      <c r="B2015" s="5" t="s">
        <v>681</v>
      </c>
      <c r="C2015" s="5" t="s">
        <v>256</v>
      </c>
      <c r="D2015" s="5" t="n">
        <v>20</v>
      </c>
      <c r="E2015" s="13" t="n">
        <v>4.09</v>
      </c>
      <c r="F2015" s="14" t="n">
        <f aca="false">E2015*Assumptions!$D$6</f>
        <v>611.975493804271</v>
      </c>
      <c r="G2015" s="14" t="n">
        <v>500</v>
      </c>
      <c r="H2015" s="14" t="n">
        <v>680</v>
      </c>
      <c r="I2015" s="14" t="n">
        <f aca="false">F2015-(G2015+H2015)/2</f>
        <v>21.9754938042714</v>
      </c>
      <c r="J2015" s="5" t="str">
        <f aca="false">IF(D2015&lt;8,"LOW SAMPLE",IF(F2015&gt;H2015*(1+Assumptions!$B$10),"UNDERPAID",IF(F2015&lt;G2015*(1-Assumptions!$B$10),"OVERPAID","FAIR")))</f>
        <v>FAIR</v>
      </c>
      <c r="K2015" s="5" t="n">
        <v>138</v>
      </c>
    </row>
    <row r="2016" customFormat="false" ht="15" hidden="false" customHeight="false" outlineLevel="0" collapsed="false">
      <c r="A2016" s="5" t="n">
        <v>2023</v>
      </c>
      <c r="B2016" s="5" t="s">
        <v>681</v>
      </c>
      <c r="C2016" s="5" t="s">
        <v>715</v>
      </c>
      <c r="D2016" s="5" t="n">
        <v>10</v>
      </c>
      <c r="E2016" s="13" t="n">
        <v>1.91</v>
      </c>
      <c r="F2016" s="14" t="n">
        <f aca="false">E2016*Assumptions!$D$6</f>
        <v>285.788066788792</v>
      </c>
      <c r="G2016" s="14" t="n">
        <v>380</v>
      </c>
      <c r="H2016" s="14" t="n">
        <v>500</v>
      </c>
      <c r="I2016" s="14" t="n">
        <f aca="false">F2016-(G2016+H2016)/2</f>
        <v>-154.211933211208</v>
      </c>
      <c r="J2016" s="5" t="str">
        <f aca="false">IF(D2016&lt;8,"LOW SAMPLE",IF(F2016&gt;H2016*(1+Assumptions!$B$10),"UNDERPAID",IF(F2016&lt;G2016*(1-Assumptions!$B$10),"OVERPAID","FAIR")))</f>
        <v>OVERPAID</v>
      </c>
      <c r="K2016" s="5" t="n">
        <v>43</v>
      </c>
    </row>
    <row r="2017" customFormat="false" ht="15" hidden="false" customHeight="false" outlineLevel="0" collapsed="false">
      <c r="A2017" s="5" t="n">
        <v>2023</v>
      </c>
      <c r="B2017" s="5" t="s">
        <v>681</v>
      </c>
      <c r="C2017" s="5" t="s">
        <v>828</v>
      </c>
      <c r="D2017" s="5" t="n">
        <v>3</v>
      </c>
      <c r="E2017" s="13" t="n">
        <v>0.25</v>
      </c>
      <c r="F2017" s="14" t="n">
        <f aca="false">E2017*Assumptions!$D$6</f>
        <v>37.406815024711</v>
      </c>
      <c r="G2017" s="14" t="n">
        <v>140</v>
      </c>
      <c r="H2017" s="14" t="n">
        <v>250</v>
      </c>
      <c r="I2017" s="14" t="n">
        <f aca="false">F2017-(G2017+H2017)/2</f>
        <v>-157.593184975289</v>
      </c>
      <c r="J2017" s="5" t="str">
        <f aca="false">IF(D2017&lt;8,"LOW SAMPLE",IF(F2017&gt;H2017*(1+Assumptions!$B$10),"UNDERPAID",IF(F2017&lt;G2017*(1-Assumptions!$B$10),"OVERPAID","FAIR")))</f>
        <v>LOW SAMPLE</v>
      </c>
      <c r="K2017" s="5" t="n">
        <v>4</v>
      </c>
    </row>
    <row r="2018" customFormat="false" ht="15" hidden="false" customHeight="false" outlineLevel="0" collapsed="false">
      <c r="A2018" s="5" t="n">
        <v>2023</v>
      </c>
      <c r="B2018" s="5" t="s">
        <v>681</v>
      </c>
      <c r="C2018" s="5" t="s">
        <v>717</v>
      </c>
      <c r="D2018" s="5" t="n">
        <v>20</v>
      </c>
      <c r="E2018" s="13" t="n">
        <v>2.54</v>
      </c>
      <c r="F2018" s="14" t="n">
        <f aca="false">E2018*Assumptions!$D$6</f>
        <v>380.053240651063</v>
      </c>
      <c r="G2018" s="14" t="n">
        <v>380</v>
      </c>
      <c r="H2018" s="14" t="n">
        <v>500</v>
      </c>
      <c r="I2018" s="14" t="n">
        <f aca="false">F2018-(G2018+H2018)/2</f>
        <v>-59.9467593489366</v>
      </c>
      <c r="J2018" s="5" t="str">
        <f aca="false">IF(D2018&lt;8,"LOW SAMPLE",IF(F2018&gt;H2018*(1+Assumptions!$B$10),"UNDERPAID",IF(F2018&lt;G2018*(1-Assumptions!$B$10),"OVERPAID","FAIR")))</f>
        <v>FAIR</v>
      </c>
      <c r="K2018" s="5" t="n">
        <v>131</v>
      </c>
    </row>
    <row r="2019" customFormat="false" ht="15" hidden="false" customHeight="false" outlineLevel="0" collapsed="false">
      <c r="A2019" s="5" t="n">
        <v>2023</v>
      </c>
      <c r="B2019" s="5" t="s">
        <v>681</v>
      </c>
      <c r="C2019" s="5" t="s">
        <v>718</v>
      </c>
      <c r="D2019" s="5" t="n">
        <v>23</v>
      </c>
      <c r="E2019" s="13" t="n">
        <v>7.31</v>
      </c>
      <c r="F2019" s="14" t="n">
        <f aca="false">E2019*Assumptions!$D$6</f>
        <v>1093.77527132255</v>
      </c>
      <c r="G2019" s="14" t="n">
        <v>680</v>
      </c>
      <c r="H2019" s="14" t="n">
        <v>950</v>
      </c>
      <c r="I2019" s="14" t="n">
        <f aca="false">F2019-(G2019+H2019)/2</f>
        <v>278.775271322549</v>
      </c>
      <c r="J2019" s="5" t="str">
        <f aca="false">IF(D2019&lt;8,"LOW SAMPLE",IF(F2019&gt;H2019*(1+Assumptions!$B$10),"UNDERPAID",IF(F2019&lt;G2019*(1-Assumptions!$B$10),"OVERPAID","FAIR")))</f>
        <v>UNDERPAID</v>
      </c>
      <c r="K2019" s="5" t="n">
        <v>85</v>
      </c>
    </row>
    <row r="2020" customFormat="false" ht="15" hidden="false" customHeight="false" outlineLevel="0" collapsed="false">
      <c r="A2020" s="5" t="n">
        <v>2023</v>
      </c>
      <c r="B2020" s="5" t="s">
        <v>681</v>
      </c>
      <c r="C2020" s="5" t="s">
        <v>412</v>
      </c>
      <c r="D2020" s="5" t="n">
        <v>7</v>
      </c>
      <c r="E2020" s="13" t="n">
        <v>1.14</v>
      </c>
      <c r="F2020" s="14" t="n">
        <f aca="false">E2020*Assumptions!$D$6</f>
        <v>170.575076512682</v>
      </c>
      <c r="G2020" s="14" t="n">
        <v>380</v>
      </c>
      <c r="H2020" s="14" t="n">
        <v>500</v>
      </c>
      <c r="I2020" s="14" t="n">
        <f aca="false">F2020-(G2020+H2020)/2</f>
        <v>-269.424923487318</v>
      </c>
      <c r="J2020" s="5" t="str">
        <f aca="false">IF(D2020&lt;8,"LOW SAMPLE",IF(F2020&gt;H2020*(1+Assumptions!$B$10),"UNDERPAID",IF(F2020&lt;G2020*(1-Assumptions!$B$10),"OVERPAID","FAIR")))</f>
        <v>LOW SAMPLE</v>
      </c>
      <c r="K2020" s="5" t="n">
        <v>104</v>
      </c>
    </row>
    <row r="2021" customFormat="false" ht="15" hidden="false" customHeight="false" outlineLevel="0" collapsed="false">
      <c r="A2021" s="5" t="n">
        <v>2023</v>
      </c>
      <c r="B2021" s="5" t="s">
        <v>681</v>
      </c>
      <c r="C2021" s="5" t="s">
        <v>719</v>
      </c>
      <c r="D2021" s="5" t="n">
        <v>6</v>
      </c>
      <c r="E2021" s="13" t="n">
        <v>0.44</v>
      </c>
      <c r="F2021" s="14" t="n">
        <f aca="false">E2021*Assumptions!$D$6</f>
        <v>65.8359944434913</v>
      </c>
      <c r="G2021" s="14" t="n">
        <v>250</v>
      </c>
      <c r="H2021" s="14" t="n">
        <v>380</v>
      </c>
      <c r="I2021" s="14" t="n">
        <f aca="false">F2021-(G2021+H2021)/2</f>
        <v>-249.164005556509</v>
      </c>
      <c r="J2021" s="5" t="str">
        <f aca="false">IF(D2021&lt;8,"LOW SAMPLE",IF(F2021&gt;H2021*(1+Assumptions!$B$10),"UNDERPAID",IF(F2021&lt;G2021*(1-Assumptions!$B$10),"OVERPAID","FAIR")))</f>
        <v>LOW SAMPLE</v>
      </c>
      <c r="K2021" s="5" t="n">
        <v>96</v>
      </c>
    </row>
    <row r="2022" customFormat="false" ht="15" hidden="false" customHeight="false" outlineLevel="0" collapsed="false">
      <c r="A2022" s="5" t="n">
        <v>2023</v>
      </c>
      <c r="B2022" s="5" t="s">
        <v>681</v>
      </c>
      <c r="C2022" s="5" t="s">
        <v>720</v>
      </c>
      <c r="D2022" s="5" t="n">
        <v>21</v>
      </c>
      <c r="E2022" s="13" t="n">
        <v>6.62</v>
      </c>
      <c r="F2022" s="14" t="n">
        <f aca="false">E2022*Assumptions!$D$6</f>
        <v>990.532461854346</v>
      </c>
      <c r="G2022" s="14" t="n">
        <v>950</v>
      </c>
      <c r="H2022" s="14" t="n">
        <v>1300</v>
      </c>
      <c r="I2022" s="14" t="n">
        <f aca="false">F2022-(G2022+H2022)/2</f>
        <v>-134.467538145654</v>
      </c>
      <c r="J2022" s="5" t="str">
        <f aca="false">IF(D2022&lt;8,"LOW SAMPLE",IF(F2022&gt;H2022*(1+Assumptions!$B$10),"UNDERPAID",IF(F2022&lt;G2022*(1-Assumptions!$B$10),"OVERPAID","FAIR")))</f>
        <v>FAIR</v>
      </c>
      <c r="K2022" s="5" t="n">
        <v>118</v>
      </c>
    </row>
  </sheetData>
  <autoFilter ref="A1:K202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18"/>
    <col collapsed="false" customWidth="true" hidden="false" outlineLevel="0" max="3" min="3" style="0" width="12"/>
    <col collapsed="false" customWidth="true" hidden="false" outlineLevel="0" max="4" min="4" style="0" width="15"/>
    <col collapsed="false" customWidth="true" hidden="false" outlineLevel="0" max="5" min="5" style="0" width="11"/>
    <col collapsed="false" customWidth="true" hidden="false" outlineLevel="0" max="6" min="6" style="0" width="13"/>
    <col collapsed="false" customWidth="true" hidden="false" outlineLevel="0" max="7" min="7" style="0" width="12"/>
    <col collapsed="false" customWidth="true" hidden="false" outlineLevel="0" max="8" min="8" style="0" width="40"/>
    <col collapsed="false" customWidth="true" hidden="false" outlineLevel="0" max="9" min="9" style="0" width="10"/>
  </cols>
  <sheetData>
    <row r="1" customFormat="false" ht="15" hidden="false" customHeight="false" outlineLevel="0" collapsed="false">
      <c r="A1" s="12" t="s">
        <v>13</v>
      </c>
      <c r="B1" s="12" t="s">
        <v>25</v>
      </c>
      <c r="C1" s="12" t="s">
        <v>903</v>
      </c>
      <c r="D1" s="12" t="s">
        <v>904</v>
      </c>
      <c r="E1" s="12" t="s">
        <v>14</v>
      </c>
      <c r="F1" s="12" t="s">
        <v>905</v>
      </c>
      <c r="G1" s="12" t="s">
        <v>906</v>
      </c>
      <c r="H1" s="12" t="s">
        <v>33</v>
      </c>
      <c r="I1" s="4" t="s">
        <v>907</v>
      </c>
    </row>
    <row r="2" customFormat="false" ht="15" hidden="false" customHeight="false" outlineLevel="0" collapsed="false">
      <c r="A2" s="5" t="s">
        <v>17</v>
      </c>
      <c r="B2" s="5" t="s">
        <v>35</v>
      </c>
      <c r="C2" s="5" t="s">
        <v>908</v>
      </c>
      <c r="D2" s="13" t="n">
        <f aca="false">SUMIFS('Player Ledger'!$E:$E,'Player Ledger'!$A:$A,2021,'Player Ledger'!$B:$B,B2)*Assumptions!$D$4/1000</f>
        <v>12.0439841750058</v>
      </c>
      <c r="E2" s="13" t="n">
        <f aca="false">Assumptions!$B$4</f>
        <v>13</v>
      </c>
      <c r="F2" s="15" t="n">
        <f aca="false">D2-E2</f>
        <v>-0.956015824994184</v>
      </c>
      <c r="G2" s="16" t="n">
        <f aca="false">D2/E2-1</f>
        <v>-0.0735396788457065</v>
      </c>
      <c r="H2" s="5" t="str">
        <f aca="false">IF(F2&gt;0.05*E2,"LIST WORTH MORE THAN CAP: BOUGHT WELL, CANNOT AFFORD OWN PLAYERS AT FAIR VALUE",IF(F2&lt;-0.05*E2,"LIST WORTH LESS THAN CAP: PAYING OVERS AS A GROUP","ROUGHLY FAIR VALUE"))</f>
        <v>LIST WORTH LESS THAN CAP: PAYING OVERS AS A GROUP</v>
      </c>
    </row>
    <row r="3" customFormat="false" ht="15" hidden="false" customHeight="false" outlineLevel="0" collapsed="false">
      <c r="A3" s="5" t="s">
        <v>17</v>
      </c>
      <c r="B3" s="5" t="s">
        <v>73</v>
      </c>
      <c r="C3" s="5" t="s">
        <v>908</v>
      </c>
      <c r="D3" s="13" t="n">
        <f aca="false">SUMIFS('Player Ledger'!$E:$E,'Player Ledger'!$A:$A,2021,'Player Ledger'!$B:$B,B3)*Assumptions!$D$4/1000</f>
        <v>14.5839954785731</v>
      </c>
      <c r="E3" s="13" t="n">
        <f aca="false">Assumptions!$B$4</f>
        <v>13</v>
      </c>
      <c r="F3" s="15" t="n">
        <f aca="false">D3-E3</f>
        <v>1.58399547857309</v>
      </c>
      <c r="G3" s="16" t="n">
        <f aca="false">D3/E3-1</f>
        <v>0.121845806044084</v>
      </c>
      <c r="H3" s="5" t="str">
        <f aca="false">IF(F3&gt;0.05*E3,"LIST WORTH MORE THAN CAP: BOUGHT WELL, CANNOT AFFORD OWN PLAYERS AT FAIR VALUE",IF(F3&lt;-0.05*E3,"LIST WORTH LESS THAN CAP: PAYING OVERS AS A GROUP","ROUGHLY FAIR VALUE"))</f>
        <v>LIST WORTH MORE THAN CAP: BOUGHT WELL, CANNOT AFFORD OWN PLAYERS AT FAIR VALUE</v>
      </c>
    </row>
    <row r="4" customFormat="false" ht="15" hidden="false" customHeight="false" outlineLevel="0" collapsed="false">
      <c r="A4" s="5" t="s">
        <v>17</v>
      </c>
      <c r="B4" s="5" t="s">
        <v>106</v>
      </c>
      <c r="C4" s="5" t="s">
        <v>908</v>
      </c>
      <c r="D4" s="13" t="n">
        <f aca="false">SUMIFS('Player Ledger'!$E:$E,'Player Ledger'!$A:$A,2021,'Player Ledger'!$B:$B,B4)*Assumptions!$D$4/1000</f>
        <v>12.4018418165498</v>
      </c>
      <c r="E4" s="13" t="n">
        <f aca="false">Assumptions!$B$4</f>
        <v>13</v>
      </c>
      <c r="F4" s="15" t="n">
        <f aca="false">D4-E4</f>
        <v>-0.598158183450249</v>
      </c>
      <c r="G4" s="16" t="n">
        <f aca="false">D4/E4-1</f>
        <v>-0.0460121679577115</v>
      </c>
      <c r="H4" s="5" t="str">
        <f aca="false">IF(F4&gt;0.05*E4,"LIST WORTH MORE THAN CAP: BOUGHT WELL, CANNOT AFFORD OWN PLAYERS AT FAIR VALUE",IF(F4&lt;-0.05*E4,"LIST WORTH LESS THAN CAP: PAYING OVERS AS A GROUP","ROUGHLY FAIR VALUE"))</f>
        <v>ROUGHLY FAIR VALUE</v>
      </c>
    </row>
    <row r="5" customFormat="false" ht="15" hidden="false" customHeight="false" outlineLevel="0" collapsed="false">
      <c r="A5" s="5" t="s">
        <v>17</v>
      </c>
      <c r="B5" s="5" t="s">
        <v>146</v>
      </c>
      <c r="C5" s="5" t="s">
        <v>908</v>
      </c>
      <c r="D5" s="13" t="n">
        <f aca="false">SUMIFS('Player Ledger'!$E:$E,'Player Ledger'!$A:$A,2021,'Player Ledger'!$B:$B,B5)*Assumptions!$D$4/1000</f>
        <v>11.9519265933043</v>
      </c>
      <c r="E5" s="13" t="n">
        <f aca="false">Assumptions!$B$4</f>
        <v>13</v>
      </c>
      <c r="F5" s="15" t="n">
        <f aca="false">D5-E5</f>
        <v>-1.0480734066957</v>
      </c>
      <c r="G5" s="16" t="n">
        <f aca="false">D5/E5-1</f>
        <v>-0.0806210312842848</v>
      </c>
      <c r="H5" s="5" t="str">
        <f aca="false">IF(F5&gt;0.05*E5,"LIST WORTH MORE THAN CAP: BOUGHT WELL, CANNOT AFFORD OWN PLAYERS AT FAIR VALUE",IF(F5&lt;-0.05*E5,"LIST WORTH LESS THAN CAP: PAYING OVERS AS A GROUP","ROUGHLY FAIR VALUE"))</f>
        <v>LIST WORTH LESS THAN CAP: PAYING OVERS AS A GROUP</v>
      </c>
    </row>
    <row r="6" customFormat="false" ht="15" hidden="false" customHeight="false" outlineLevel="0" collapsed="false">
      <c r="A6" s="5" t="s">
        <v>17</v>
      </c>
      <c r="B6" s="5" t="s">
        <v>186</v>
      </c>
      <c r="C6" s="5" t="s">
        <v>908</v>
      </c>
      <c r="D6" s="13" t="n">
        <f aca="false">SUMIFS('Player Ledger'!$E:$E,'Player Ledger'!$A:$A,2021,'Player Ledger'!$B:$B,B6)*Assumptions!$D$4/1000</f>
        <v>13.3690947172446</v>
      </c>
      <c r="E6" s="13" t="n">
        <f aca="false">Assumptions!$B$4</f>
        <v>13</v>
      </c>
      <c r="F6" s="15" t="n">
        <f aca="false">D6-E6</f>
        <v>0.369094717244588</v>
      </c>
      <c r="G6" s="16" t="n">
        <f aca="false">D6/E6-1</f>
        <v>0.0283919013265068</v>
      </c>
      <c r="H6" s="5" t="str">
        <f aca="false">IF(F6&gt;0.05*E6,"LIST WORTH MORE THAN CAP: BOUGHT WELL, CANNOT AFFORD OWN PLAYERS AT FAIR VALUE",IF(F6&lt;-0.05*E6,"LIST WORTH LESS THAN CAP: PAYING OVERS AS A GROUP","ROUGHLY FAIR VALUE"))</f>
        <v>ROUGHLY FAIR VALUE</v>
      </c>
    </row>
    <row r="7" customFormat="false" ht="15" hidden="false" customHeight="false" outlineLevel="0" collapsed="false">
      <c r="A7" s="5" t="s">
        <v>17</v>
      </c>
      <c r="B7" s="5" t="s">
        <v>224</v>
      </c>
      <c r="C7" s="5" t="s">
        <v>908</v>
      </c>
      <c r="D7" s="13" t="n">
        <f aca="false">SUMIFS('Player Ledger'!$E:$E,'Player Ledger'!$A:$A,2021,'Player Ledger'!$B:$B,B7)*Assumptions!$D$4/1000</f>
        <v>12.3642408324745</v>
      </c>
      <c r="E7" s="13" t="n">
        <f aca="false">Assumptions!$B$4</f>
        <v>13</v>
      </c>
      <c r="F7" s="15" t="n">
        <f aca="false">D7-E7</f>
        <v>-0.635759167525517</v>
      </c>
      <c r="G7" s="16" t="n">
        <f aca="false">D7/E7-1</f>
        <v>-0.0489045513481167</v>
      </c>
      <c r="H7" s="5" t="str">
        <f aca="false">IF(F7&gt;0.05*E7,"LIST WORTH MORE THAN CAP: BOUGHT WELL, CANNOT AFFORD OWN PLAYERS AT FAIR VALUE",IF(F7&lt;-0.05*E7,"LIST WORTH LESS THAN CAP: PAYING OVERS AS A GROUP","ROUGHLY FAIR VALUE"))</f>
        <v>ROUGHLY FAIR VALUE</v>
      </c>
    </row>
    <row r="8" customFormat="false" ht="15" hidden="false" customHeight="false" outlineLevel="0" collapsed="false">
      <c r="A8" s="5" t="s">
        <v>17</v>
      </c>
      <c r="B8" s="5" t="s">
        <v>264</v>
      </c>
      <c r="C8" s="5" t="s">
        <v>908</v>
      </c>
      <c r="D8" s="13" t="n">
        <f aca="false">SUMIFS('Player Ledger'!$E:$E,'Player Ledger'!$A:$A,2021,'Player Ledger'!$B:$B,B8)*Assumptions!$D$4/1000</f>
        <v>12.7661823863825</v>
      </c>
      <c r="E8" s="13" t="n">
        <f aca="false">Assumptions!$B$4</f>
        <v>13</v>
      </c>
      <c r="F8" s="15" t="n">
        <f aca="false">D8-E8</f>
        <v>-0.233817613617475</v>
      </c>
      <c r="G8" s="16" t="n">
        <f aca="false">D8/E8-1</f>
        <v>-0.0179859702782673</v>
      </c>
      <c r="H8" s="5" t="str">
        <f aca="false">IF(F8&gt;0.05*E8,"LIST WORTH MORE THAN CAP: BOUGHT WELL, CANNOT AFFORD OWN PLAYERS AT FAIR VALUE",IF(F8&lt;-0.05*E8,"LIST WORTH LESS THAN CAP: PAYING OVERS AS A GROUP","ROUGHLY FAIR VALUE"))</f>
        <v>ROUGHLY FAIR VALUE</v>
      </c>
    </row>
    <row r="9" customFormat="false" ht="15" hidden="false" customHeight="false" outlineLevel="0" collapsed="false">
      <c r="A9" s="5" t="s">
        <v>17</v>
      </c>
      <c r="B9" s="5" t="s">
        <v>303</v>
      </c>
      <c r="C9" s="5" t="s">
        <v>908</v>
      </c>
      <c r="D9" s="13" t="n">
        <f aca="false">SUMIFS('Player Ledger'!$E:$E,'Player Ledger'!$A:$A,2021,'Player Ledger'!$B:$B,B9)*Assumptions!$D$4/1000</f>
        <v>13.8164167691745</v>
      </c>
      <c r="E9" s="13" t="n">
        <f aca="false">Assumptions!$B$4</f>
        <v>13</v>
      </c>
      <c r="F9" s="15" t="n">
        <f aca="false">D9-E9</f>
        <v>0.816416769174506</v>
      </c>
      <c r="G9" s="16" t="n">
        <f aca="false">D9/E9-1</f>
        <v>0.0628012899365005</v>
      </c>
      <c r="H9" s="5" t="str">
        <f aca="false">IF(F9&gt;0.05*E9,"LIST WORTH MORE THAN CAP: BOUGHT WELL, CANNOT AFFORD OWN PLAYERS AT FAIR VALUE",IF(F9&lt;-0.05*E9,"LIST WORTH LESS THAN CAP: PAYING OVERS AS A GROUP","ROUGHLY FAIR VALUE"))</f>
        <v>LIST WORTH MORE THAN CAP: BOUGHT WELL, CANNOT AFFORD OWN PLAYERS AT FAIR VALUE</v>
      </c>
    </row>
    <row r="10" customFormat="false" ht="15" hidden="false" customHeight="false" outlineLevel="0" collapsed="false">
      <c r="A10" s="5" t="s">
        <v>17</v>
      </c>
      <c r="B10" s="5" t="s">
        <v>339</v>
      </c>
      <c r="C10" s="5" t="s">
        <v>908</v>
      </c>
      <c r="D10" s="13" t="n">
        <f aca="false">SUMIFS('Player Ledger'!$E:$E,'Player Ledger'!$A:$A,2021,'Player Ledger'!$B:$B,B10)*Assumptions!$D$4/1000</f>
        <v>11.7159480035905</v>
      </c>
      <c r="E10" s="13" t="n">
        <f aca="false">Assumptions!$B$4</f>
        <v>13</v>
      </c>
      <c r="F10" s="15" t="n">
        <f aca="false">D10-E10</f>
        <v>-1.28405199640946</v>
      </c>
      <c r="G10" s="16" t="n">
        <f aca="false">D10/E10-1</f>
        <v>-0.0987732304930351</v>
      </c>
      <c r="H10" s="5" t="str">
        <f aca="false">IF(F10&gt;0.05*E10,"LIST WORTH MORE THAN CAP: BOUGHT WELL, CANNOT AFFORD OWN PLAYERS AT FAIR VALUE",IF(F10&lt;-0.05*E10,"LIST WORTH LESS THAN CAP: PAYING OVERS AS A GROUP","ROUGHLY FAIR VALUE"))</f>
        <v>LIST WORTH LESS THAN CAP: PAYING OVERS AS A GROUP</v>
      </c>
    </row>
    <row r="11" customFormat="false" ht="15" hidden="false" customHeight="false" outlineLevel="0" collapsed="false">
      <c r="A11" s="5" t="s">
        <v>17</v>
      </c>
      <c r="B11" s="5" t="s">
        <v>378</v>
      </c>
      <c r="C11" s="5" t="s">
        <v>908</v>
      </c>
      <c r="D11" s="13" t="n">
        <f aca="false">SUMIFS('Player Ledger'!$E:$E,'Player Ledger'!$A:$A,2021,'Player Ledger'!$B:$B,B11)*Assumptions!$D$4/1000</f>
        <v>12.1062202865787</v>
      </c>
      <c r="E11" s="13" t="n">
        <f aca="false">Assumptions!$B$4</f>
        <v>13</v>
      </c>
      <c r="F11" s="15" t="n">
        <f aca="false">D11-E11</f>
        <v>-0.893779713421324</v>
      </c>
      <c r="G11" s="16" t="n">
        <f aca="false">D11/E11-1</f>
        <v>-0.0687522856477941</v>
      </c>
      <c r="H11" s="5" t="str">
        <f aca="false">IF(F11&gt;0.05*E11,"LIST WORTH MORE THAN CAP: BOUGHT WELL, CANNOT AFFORD OWN PLAYERS AT FAIR VALUE",IF(F11&lt;-0.05*E11,"LIST WORTH LESS THAN CAP: PAYING OVERS AS A GROUP","ROUGHLY FAIR VALUE"))</f>
        <v>LIST WORTH LESS THAN CAP: PAYING OVERS AS A GROUP</v>
      </c>
    </row>
    <row r="12" customFormat="false" ht="15" hidden="false" customHeight="false" outlineLevel="0" collapsed="false">
      <c r="A12" s="5" t="s">
        <v>17</v>
      </c>
      <c r="B12" s="5" t="s">
        <v>417</v>
      </c>
      <c r="C12" s="5" t="s">
        <v>908</v>
      </c>
      <c r="D12" s="13" t="n">
        <f aca="false">SUMIFS('Player Ledger'!$E:$E,'Player Ledger'!$A:$A,2021,'Player Ledger'!$B:$B,B12)*Assumptions!$D$4/1000</f>
        <v>14.9807506898501</v>
      </c>
      <c r="E12" s="13" t="n">
        <f aca="false">Assumptions!$B$4</f>
        <v>13</v>
      </c>
      <c r="F12" s="15" t="n">
        <f aca="false">D12-E12</f>
        <v>1.98075068985006</v>
      </c>
      <c r="G12" s="16" t="n">
        <f aca="false">D12/E12-1</f>
        <v>0.152365437680774</v>
      </c>
      <c r="H12" s="5" t="str">
        <f aca="false">IF(F12&gt;0.05*E12,"LIST WORTH MORE THAN CAP: BOUGHT WELL, CANNOT AFFORD OWN PLAYERS AT FAIR VALUE",IF(F12&lt;-0.05*E12,"LIST WORTH LESS THAN CAP: PAYING OVERS AS A GROUP","ROUGHLY FAIR VALUE"))</f>
        <v>LIST WORTH MORE THAN CAP: BOUGHT WELL, CANNOT AFFORD OWN PLAYERS AT FAIR VALUE</v>
      </c>
    </row>
    <row r="13" customFormat="false" ht="15" hidden="false" customHeight="false" outlineLevel="0" collapsed="false">
      <c r="A13" s="5" t="s">
        <v>17</v>
      </c>
      <c r="B13" s="5" t="s">
        <v>452</v>
      </c>
      <c r="C13" s="5" t="s">
        <v>908</v>
      </c>
      <c r="D13" s="13" t="n">
        <f aca="false">SUMIFS('Player Ledger'!$E:$E,'Player Ledger'!$A:$A,2021,'Player Ledger'!$B:$B,B13)*Assumptions!$D$4/1000</f>
        <v>11.2543635094252</v>
      </c>
      <c r="E13" s="13" t="n">
        <f aca="false">Assumptions!$B$4</f>
        <v>13</v>
      </c>
      <c r="F13" s="15" t="n">
        <f aca="false">D13-E13</f>
        <v>-1.74563649057482</v>
      </c>
      <c r="G13" s="16" t="n">
        <f aca="false">D13/E13-1</f>
        <v>-0.134279730044217</v>
      </c>
      <c r="H13" s="5" t="str">
        <f aca="false">IF(F13&gt;0.05*E13,"LIST WORTH MORE THAN CAP: BOUGHT WELL, CANNOT AFFORD OWN PLAYERS AT FAIR VALUE",IF(F13&lt;-0.05*E13,"LIST WORTH LESS THAN CAP: PAYING OVERS AS A GROUP","ROUGHLY FAIR VALUE"))</f>
        <v>LIST WORTH LESS THAN CAP: PAYING OVERS AS A GROUP</v>
      </c>
    </row>
    <row r="14" customFormat="false" ht="15" hidden="false" customHeight="false" outlineLevel="0" collapsed="false">
      <c r="A14" s="5" t="s">
        <v>17</v>
      </c>
      <c r="B14" s="5" t="s">
        <v>491</v>
      </c>
      <c r="C14" s="5" t="s">
        <v>908</v>
      </c>
      <c r="D14" s="13" t="n">
        <f aca="false">SUMIFS('Player Ledger'!$E:$E,'Player Ledger'!$A:$A,2021,'Player Ledger'!$B:$B,B14)*Assumptions!$D$4/1000</f>
        <v>14.10944512783</v>
      </c>
      <c r="E14" s="13" t="n">
        <f aca="false">Assumptions!$B$4</f>
        <v>13</v>
      </c>
      <c r="F14" s="15" t="n">
        <f aca="false">D14-E14</f>
        <v>1.10944512783005</v>
      </c>
      <c r="G14" s="16" t="n">
        <f aca="false">D14/E14-1</f>
        <v>0.0853419329100036</v>
      </c>
      <c r="H14" s="5" t="str">
        <f aca="false">IF(F14&gt;0.05*E14,"LIST WORTH MORE THAN CAP: BOUGHT WELL, CANNOT AFFORD OWN PLAYERS AT FAIR VALUE",IF(F14&lt;-0.05*E14,"LIST WORTH LESS THAN CAP: PAYING OVERS AS A GROUP","ROUGHLY FAIR VALUE"))</f>
        <v>LIST WORTH MORE THAN CAP: BOUGHT WELL, CANNOT AFFORD OWN PLAYERS AT FAIR VALUE</v>
      </c>
    </row>
    <row r="15" customFormat="false" ht="15" hidden="false" customHeight="false" outlineLevel="0" collapsed="false">
      <c r="A15" s="5" t="s">
        <v>17</v>
      </c>
      <c r="B15" s="5" t="s">
        <v>527</v>
      </c>
      <c r="C15" s="5" t="s">
        <v>908</v>
      </c>
      <c r="D15" s="13" t="n">
        <f aca="false">SUMIFS('Player Ledger'!$E:$E,'Player Ledger'!$A:$A,2021,'Player Ledger'!$B:$B,B15)*Assumptions!$D$4/1000</f>
        <v>12.9023238804482</v>
      </c>
      <c r="E15" s="13" t="n">
        <f aca="false">Assumptions!$B$4</f>
        <v>13</v>
      </c>
      <c r="F15" s="15" t="n">
        <f aca="false">D15-E15</f>
        <v>-0.0976761195518474</v>
      </c>
      <c r="G15" s="16" t="n">
        <f aca="false">D15/E15-1</f>
        <v>-0.00751354765783441</v>
      </c>
      <c r="H15" s="5" t="str">
        <f aca="false">IF(F15&gt;0.05*E15,"LIST WORTH MORE THAN CAP: BOUGHT WELL, CANNOT AFFORD OWN PLAYERS AT FAIR VALUE",IF(F15&lt;-0.05*E15,"LIST WORTH LESS THAN CAP: PAYING OVERS AS A GROUP","ROUGHLY FAIR VALUE"))</f>
        <v>ROUGHLY FAIR VALUE</v>
      </c>
    </row>
    <row r="16" customFormat="false" ht="15" hidden="false" customHeight="false" outlineLevel="0" collapsed="false">
      <c r="A16" s="5" t="s">
        <v>17</v>
      </c>
      <c r="B16" s="5" t="s">
        <v>567</v>
      </c>
      <c r="C16" s="5" t="s">
        <v>908</v>
      </c>
      <c r="D16" s="13" t="n">
        <f aca="false">SUMIFS('Player Ledger'!$E:$E,'Player Ledger'!$A:$A,2021,'Player Ledger'!$B:$B,B16)*Assumptions!$D$4/1000</f>
        <v>12.5807706373217</v>
      </c>
      <c r="E16" s="13" t="n">
        <f aca="false">Assumptions!$B$4</f>
        <v>13</v>
      </c>
      <c r="F16" s="15" t="n">
        <f aca="false">D16-E16</f>
        <v>-0.419229362678282</v>
      </c>
      <c r="G16" s="16" t="n">
        <f aca="false">D16/E16-1</f>
        <v>-0.032248412513714</v>
      </c>
      <c r="H16" s="5" t="str">
        <f aca="false">IF(F16&gt;0.05*E16,"LIST WORTH MORE THAN CAP: BOUGHT WELL, CANNOT AFFORD OWN PLAYERS AT FAIR VALUE",IF(F16&lt;-0.05*E16,"LIST WORTH LESS THAN CAP: PAYING OVERS AS A GROUP","ROUGHLY FAIR VALUE"))</f>
        <v>ROUGHLY FAIR VALUE</v>
      </c>
    </row>
    <row r="17" customFormat="false" ht="15" hidden="false" customHeight="false" outlineLevel="0" collapsed="false">
      <c r="A17" s="5" t="s">
        <v>17</v>
      </c>
      <c r="B17" s="5" t="s">
        <v>607</v>
      </c>
      <c r="C17" s="5" t="s">
        <v>908</v>
      </c>
      <c r="D17" s="13" t="n">
        <f aca="false">SUMIFS('Player Ledger'!$E:$E,'Player Ledger'!$A:$A,2021,'Player Ledger'!$B:$B,B17)*Assumptions!$D$4/1000</f>
        <v>14.0070148608664</v>
      </c>
      <c r="E17" s="13" t="n">
        <f aca="false">Assumptions!$B$4</f>
        <v>13</v>
      </c>
      <c r="F17" s="15" t="n">
        <f aca="false">D17-E17</f>
        <v>1.00701486086638</v>
      </c>
      <c r="G17" s="16" t="n">
        <f aca="false">D17/E17-1</f>
        <v>0.0774626816051065</v>
      </c>
      <c r="H17" s="5" t="str">
        <f aca="false">IF(F17&gt;0.05*E17,"LIST WORTH MORE THAN CAP: BOUGHT WELL, CANNOT AFFORD OWN PLAYERS AT FAIR VALUE",IF(F17&lt;-0.05*E17,"LIST WORTH LESS THAN CAP: PAYING OVERS AS A GROUP","ROUGHLY FAIR VALUE"))</f>
        <v>LIST WORTH MORE THAN CAP: BOUGHT WELL, CANNOT AFFORD OWN PLAYERS AT FAIR VALUE</v>
      </c>
    </row>
    <row r="18" customFormat="false" ht="15" hidden="false" customHeight="false" outlineLevel="0" collapsed="false">
      <c r="A18" s="5" t="s">
        <v>17</v>
      </c>
      <c r="B18" s="5" t="s">
        <v>644</v>
      </c>
      <c r="C18" s="5" t="s">
        <v>908</v>
      </c>
      <c r="D18" s="13" t="n">
        <f aca="false">SUMIFS('Player Ledger'!$E:$E,'Player Ledger'!$A:$A,2021,'Player Ledger'!$B:$B,B18)*Assumptions!$D$4/1000</f>
        <v>12.5509491671931</v>
      </c>
      <c r="E18" s="13" t="n">
        <f aca="false">Assumptions!$B$4</f>
        <v>13</v>
      </c>
      <c r="F18" s="15" t="n">
        <f aca="false">D18-E18</f>
        <v>-0.449050832806943</v>
      </c>
      <c r="G18" s="16" t="n">
        <f aca="false">D18/E18-1</f>
        <v>-0.0345423717543802</v>
      </c>
      <c r="H18" s="5" t="str">
        <f aca="false">IF(F18&gt;0.05*E18,"LIST WORTH MORE THAN CAP: BOUGHT WELL, CANNOT AFFORD OWN PLAYERS AT FAIR VALUE",IF(F18&lt;-0.05*E18,"LIST WORTH LESS THAN CAP: PAYING OVERS AS A GROUP","ROUGHLY FAIR VALUE"))</f>
        <v>ROUGHLY FAIR VALUE</v>
      </c>
    </row>
    <row r="19" customFormat="false" ht="15" hidden="false" customHeight="false" outlineLevel="0" collapsed="false">
      <c r="A19" s="5" t="s">
        <v>17</v>
      </c>
      <c r="B19" s="5" t="s">
        <v>681</v>
      </c>
      <c r="C19" s="5" t="s">
        <v>908</v>
      </c>
      <c r="D19" s="13" t="n">
        <f aca="false">SUMIFS('Player Ledger'!$E:$E,'Player Ledger'!$A:$A,2021,'Player Ledger'!$B:$B,B19)*Assumptions!$D$4/1000</f>
        <v>14.4945310681871</v>
      </c>
      <c r="E19" s="13" t="n">
        <f aca="false">Assumptions!$B$4</f>
        <v>13</v>
      </c>
      <c r="F19" s="15" t="n">
        <f aca="false">D19-E19</f>
        <v>1.49453106818711</v>
      </c>
      <c r="G19" s="16" t="n">
        <f aca="false">D19/E19-1</f>
        <v>0.114963928322085</v>
      </c>
      <c r="H19" s="5" t="str">
        <f aca="false">IF(F19&gt;0.05*E19,"LIST WORTH MORE THAN CAP: BOUGHT WELL, CANNOT AFFORD OWN PLAYERS AT FAIR VALUE",IF(F19&lt;-0.05*E19,"LIST WORTH LESS THAN CAP: PAYING OVERS AS A GROUP","ROUGHLY FAIR VALUE"))</f>
        <v>LIST WORTH MORE THAN CAP: BOUGHT WELL, CANNOT AFFORD OWN PLAYERS AT FAIR VALUE</v>
      </c>
    </row>
    <row r="20" customFormat="false" ht="15" hidden="false" customHeight="false" outlineLevel="0" collapsed="false">
      <c r="A20" s="5" t="s">
        <v>18</v>
      </c>
      <c r="B20" s="5" t="s">
        <v>35</v>
      </c>
      <c r="C20" s="5" t="s">
        <v>908</v>
      </c>
      <c r="D20" s="13" t="n">
        <f aca="false">SUMIFS('Player Ledger'!$E:$E,'Player Ledger'!$A:$A,2022,'Player Ledger'!$B:$B,B20)*Assumptions!$D$5/1000</f>
        <v>12.7159197930714</v>
      </c>
      <c r="E20" s="13" t="n">
        <f aca="false">Assumptions!$B$5</f>
        <v>13.54</v>
      </c>
      <c r="F20" s="15" t="n">
        <f aca="false">D20-E20</f>
        <v>-0.824080206928571</v>
      </c>
      <c r="G20" s="16" t="n">
        <f aca="false">D20/E20-1</f>
        <v>-0.0608626445294366</v>
      </c>
      <c r="H20" s="5" t="str">
        <f aca="false">IF(F20&gt;0.05*E20,"LIST WORTH MORE THAN CAP: BOUGHT WELL, CANNOT AFFORD OWN PLAYERS AT FAIR VALUE",IF(F20&lt;-0.05*E20,"LIST WORTH LESS THAN CAP: PAYING OVERS AS A GROUP","ROUGHLY FAIR VALUE"))</f>
        <v>LIST WORTH LESS THAN CAP: PAYING OVERS AS A GROUP</v>
      </c>
    </row>
    <row r="21" customFormat="false" ht="15" hidden="false" customHeight="false" outlineLevel="0" collapsed="false">
      <c r="A21" s="5" t="s">
        <v>18</v>
      </c>
      <c r="B21" s="5" t="s">
        <v>73</v>
      </c>
      <c r="C21" s="5" t="s">
        <v>908</v>
      </c>
      <c r="D21" s="13" t="n">
        <f aca="false">SUMIFS('Player Ledger'!$E:$E,'Player Ledger'!$A:$A,2022,'Player Ledger'!$B:$B,B21)*Assumptions!$D$5/1000</f>
        <v>14.4185599009573</v>
      </c>
      <c r="E21" s="13" t="n">
        <f aca="false">Assumptions!$B$5</f>
        <v>13.54</v>
      </c>
      <c r="F21" s="15" t="n">
        <f aca="false">D21-E21</f>
        <v>0.878559900957262</v>
      </c>
      <c r="G21" s="16" t="n">
        <f aca="false">D21/E21-1</f>
        <v>0.0648862556098422</v>
      </c>
      <c r="H21" s="5" t="str">
        <f aca="false">IF(F21&gt;0.05*E21,"LIST WORTH MORE THAN CAP: BOUGHT WELL, CANNOT AFFORD OWN PLAYERS AT FAIR VALUE",IF(F21&lt;-0.05*E21,"LIST WORTH LESS THAN CAP: PAYING OVERS AS A GROUP","ROUGHLY FAIR VALUE"))</f>
        <v>LIST WORTH MORE THAN CAP: BOUGHT WELL, CANNOT AFFORD OWN PLAYERS AT FAIR VALUE</v>
      </c>
    </row>
    <row r="22" customFormat="false" ht="15" hidden="false" customHeight="false" outlineLevel="0" collapsed="false">
      <c r="A22" s="5" t="s">
        <v>18</v>
      </c>
      <c r="B22" s="5" t="s">
        <v>106</v>
      </c>
      <c r="C22" s="5" t="s">
        <v>908</v>
      </c>
      <c r="D22" s="13" t="n">
        <f aca="false">SUMIFS('Player Ledger'!$E:$E,'Player Ledger'!$A:$A,2022,'Player Ledger'!$B:$B,B22)*Assumptions!$D$5/1000</f>
        <v>14.0844976013088</v>
      </c>
      <c r="E22" s="13" t="n">
        <f aca="false">Assumptions!$B$5</f>
        <v>13.54</v>
      </c>
      <c r="F22" s="15" t="n">
        <f aca="false">D22-E22</f>
        <v>0.544497601308777</v>
      </c>
      <c r="G22" s="16" t="n">
        <f aca="false">D22/E22-1</f>
        <v>0.0402140030508698</v>
      </c>
      <c r="H22" s="5" t="str">
        <f aca="false">IF(F22&gt;0.05*E22,"LIST WORTH MORE THAN CAP: BOUGHT WELL, CANNOT AFFORD OWN PLAYERS AT FAIR VALUE",IF(F22&lt;-0.05*E22,"LIST WORTH LESS THAN CAP: PAYING OVERS AS A GROUP","ROUGHLY FAIR VALUE"))</f>
        <v>ROUGHLY FAIR VALUE</v>
      </c>
    </row>
    <row r="23" customFormat="false" ht="15" hidden="false" customHeight="false" outlineLevel="0" collapsed="false">
      <c r="A23" s="5" t="s">
        <v>18</v>
      </c>
      <c r="B23" s="5" t="s">
        <v>146</v>
      </c>
      <c r="C23" s="5" t="s">
        <v>908</v>
      </c>
      <c r="D23" s="13" t="n">
        <f aca="false">SUMIFS('Player Ledger'!$E:$E,'Player Ledger'!$A:$A,2022,'Player Ledger'!$B:$B,B23)*Assumptions!$D$5/1000</f>
        <v>13.8635854354122</v>
      </c>
      <c r="E23" s="13" t="n">
        <f aca="false">Assumptions!$B$5</f>
        <v>13.54</v>
      </c>
      <c r="F23" s="15" t="n">
        <f aca="false">D23-E23</f>
        <v>0.323585435412198</v>
      </c>
      <c r="G23" s="16" t="n">
        <f aca="false">D23/E23-1</f>
        <v>0.0238984811973559</v>
      </c>
      <c r="H23" s="5" t="str">
        <f aca="false">IF(F23&gt;0.05*E23,"LIST WORTH MORE THAN CAP: BOUGHT WELL, CANNOT AFFORD OWN PLAYERS AT FAIR VALUE",IF(F23&lt;-0.05*E23,"LIST WORTH LESS THAN CAP: PAYING OVERS AS A GROUP","ROUGHLY FAIR VALUE"))</f>
        <v>ROUGHLY FAIR VALUE</v>
      </c>
    </row>
    <row r="24" customFormat="false" ht="15" hidden="false" customHeight="false" outlineLevel="0" collapsed="false">
      <c r="A24" s="5" t="s">
        <v>18</v>
      </c>
      <c r="B24" s="5" t="s">
        <v>186</v>
      </c>
      <c r="C24" s="5" t="s">
        <v>908</v>
      </c>
      <c r="D24" s="13" t="n">
        <f aca="false">SUMIFS('Player Ledger'!$E:$E,'Player Ledger'!$A:$A,2022,'Player Ledger'!$B:$B,B24)*Assumptions!$D$5/1000</f>
        <v>12.5704410496761</v>
      </c>
      <c r="E24" s="13" t="n">
        <f aca="false">Assumptions!$B$5</f>
        <v>13.54</v>
      </c>
      <c r="F24" s="15" t="n">
        <f aca="false">D24-E24</f>
        <v>-0.969558950323879</v>
      </c>
      <c r="G24" s="16" t="n">
        <f aca="false">D24/E24-1</f>
        <v>-0.0716070125793116</v>
      </c>
      <c r="H24" s="5" t="str">
        <f aca="false">IF(F24&gt;0.05*E24,"LIST WORTH MORE THAN CAP: BOUGHT WELL, CANNOT AFFORD OWN PLAYERS AT FAIR VALUE",IF(F24&lt;-0.05*E24,"LIST WORTH LESS THAN CAP: PAYING OVERS AS A GROUP","ROUGHLY FAIR VALUE"))</f>
        <v>LIST WORTH LESS THAN CAP: PAYING OVERS AS A GROUP</v>
      </c>
    </row>
    <row r="25" customFormat="false" ht="15" hidden="false" customHeight="false" outlineLevel="0" collapsed="false">
      <c r="A25" s="5" t="s">
        <v>18</v>
      </c>
      <c r="B25" s="5" t="s">
        <v>224</v>
      </c>
      <c r="C25" s="5" t="s">
        <v>908</v>
      </c>
      <c r="D25" s="13" t="n">
        <f aca="false">SUMIFS('Player Ledger'!$E:$E,'Player Ledger'!$A:$A,2022,'Player Ledger'!$B:$B,B25)*Assumptions!$D$5/1000</f>
        <v>14.1801364048372</v>
      </c>
      <c r="E25" s="13" t="n">
        <f aca="false">Assumptions!$B$5</f>
        <v>13.54</v>
      </c>
      <c r="F25" s="15" t="n">
        <f aca="false">D25-E25</f>
        <v>0.640136404837174</v>
      </c>
      <c r="G25" s="16" t="n">
        <f aca="false">D25/E25-1</f>
        <v>0.0472774301947692</v>
      </c>
      <c r="H25" s="5" t="str">
        <f aca="false">IF(F25&gt;0.05*E25,"LIST WORTH MORE THAN CAP: BOUGHT WELL, CANNOT AFFORD OWN PLAYERS AT FAIR VALUE",IF(F25&lt;-0.05*E25,"LIST WORTH LESS THAN CAP: PAYING OVERS AS A GROUP","ROUGHLY FAIR VALUE"))</f>
        <v>ROUGHLY FAIR VALUE</v>
      </c>
    </row>
    <row r="26" customFormat="false" ht="15" hidden="false" customHeight="false" outlineLevel="0" collapsed="false">
      <c r="A26" s="5" t="s">
        <v>18</v>
      </c>
      <c r="B26" s="5" t="s">
        <v>264</v>
      </c>
      <c r="C26" s="5" t="s">
        <v>908</v>
      </c>
      <c r="D26" s="13" t="n">
        <f aca="false">SUMIFS('Player Ledger'!$E:$E,'Player Ledger'!$A:$A,2022,'Player Ledger'!$B:$B,B26)*Assumptions!$D$5/1000</f>
        <v>12.4896195255676</v>
      </c>
      <c r="E26" s="13" t="n">
        <f aca="false">Assumptions!$B$5</f>
        <v>13.54</v>
      </c>
      <c r="F26" s="15" t="n">
        <f aca="false">D26-E26</f>
        <v>-1.05038047443239</v>
      </c>
      <c r="G26" s="16" t="n">
        <f aca="false">D26/E26-1</f>
        <v>-0.0775761059403535</v>
      </c>
      <c r="H26" s="5" t="str">
        <f aca="false">IF(F26&gt;0.05*E26,"LIST WORTH MORE THAN CAP: BOUGHT WELL, CANNOT AFFORD OWN PLAYERS AT FAIR VALUE",IF(F26&lt;-0.05*E26,"LIST WORTH LESS THAN CAP: PAYING OVERS AS A GROUP","ROUGHLY FAIR VALUE"))</f>
        <v>LIST WORTH LESS THAN CAP: PAYING OVERS AS A GROUP</v>
      </c>
    </row>
    <row r="27" customFormat="false" ht="15" hidden="false" customHeight="false" outlineLevel="0" collapsed="false">
      <c r="A27" s="5" t="s">
        <v>18</v>
      </c>
      <c r="B27" s="5" t="s">
        <v>303</v>
      </c>
      <c r="C27" s="5" t="s">
        <v>908</v>
      </c>
      <c r="D27" s="13" t="n">
        <f aca="false">SUMIFS('Player Ledger'!$E:$E,'Player Ledger'!$A:$A,2022,'Player Ledger'!$B:$B,B27)*Assumptions!$D$5/1000</f>
        <v>15.9541688590189</v>
      </c>
      <c r="E27" s="13" t="n">
        <f aca="false">Assumptions!$B$5</f>
        <v>13.54</v>
      </c>
      <c r="F27" s="15" t="n">
        <f aca="false">D27-E27</f>
        <v>2.41416885901886</v>
      </c>
      <c r="G27" s="16" t="n">
        <f aca="false">D27/E27-1</f>
        <v>0.178299029469635</v>
      </c>
      <c r="H27" s="5" t="str">
        <f aca="false">IF(F27&gt;0.05*E27,"LIST WORTH MORE THAN CAP: BOUGHT WELL, CANNOT AFFORD OWN PLAYERS AT FAIR VALUE",IF(F27&lt;-0.05*E27,"LIST WORTH LESS THAN CAP: PAYING OVERS AS A GROUP","ROUGHLY FAIR VALUE"))</f>
        <v>LIST WORTH MORE THAN CAP: BOUGHT WELL, CANNOT AFFORD OWN PLAYERS AT FAIR VALUE</v>
      </c>
    </row>
    <row r="28" customFormat="false" ht="15" hidden="false" customHeight="false" outlineLevel="0" collapsed="false">
      <c r="A28" s="5" t="s">
        <v>18</v>
      </c>
      <c r="B28" s="5" t="s">
        <v>339</v>
      </c>
      <c r="C28" s="5" t="s">
        <v>908</v>
      </c>
      <c r="D28" s="13" t="n">
        <f aca="false">SUMIFS('Player Ledger'!$E:$E,'Player Ledger'!$A:$A,2022,'Player Ledger'!$B:$B,B28)*Assumptions!$D$5/1000</f>
        <v>13.928242654699</v>
      </c>
      <c r="E28" s="13" t="n">
        <f aca="false">Assumptions!$B$5</f>
        <v>13.54</v>
      </c>
      <c r="F28" s="15" t="n">
        <f aca="false">D28-E28</f>
        <v>0.388242654699003</v>
      </c>
      <c r="G28" s="16" t="n">
        <f aca="false">D28/E28-1</f>
        <v>0.0286737558861894</v>
      </c>
      <c r="H28" s="5" t="str">
        <f aca="false">IF(F28&gt;0.05*E28,"LIST WORTH MORE THAN CAP: BOUGHT WELL, CANNOT AFFORD OWN PLAYERS AT FAIR VALUE",IF(F28&lt;-0.05*E28,"LIST WORTH LESS THAN CAP: PAYING OVERS AS A GROUP","ROUGHLY FAIR VALUE"))</f>
        <v>ROUGHLY FAIR VALUE</v>
      </c>
    </row>
    <row r="29" customFormat="false" ht="15" hidden="false" customHeight="false" outlineLevel="0" collapsed="false">
      <c r="A29" s="5" t="s">
        <v>18</v>
      </c>
      <c r="B29" s="5" t="s">
        <v>378</v>
      </c>
      <c r="C29" s="5" t="s">
        <v>908</v>
      </c>
      <c r="D29" s="13" t="n">
        <f aca="false">SUMIFS('Player Ledger'!$E:$E,'Player Ledger'!$A:$A,2022,'Player Ledger'!$B:$B,B29)*Assumptions!$D$5/1000</f>
        <v>12.8129056220016</v>
      </c>
      <c r="E29" s="13" t="n">
        <f aca="false">Assumptions!$B$5</f>
        <v>13.54</v>
      </c>
      <c r="F29" s="15" t="n">
        <f aca="false">D29-E29</f>
        <v>-0.727094377998366</v>
      </c>
      <c r="G29" s="16" t="n">
        <f aca="false">D29/E29-1</f>
        <v>-0.0536997324961865</v>
      </c>
      <c r="H29" s="5" t="str">
        <f aca="false">IF(F29&gt;0.05*E29,"LIST WORTH MORE THAN CAP: BOUGHT WELL, CANNOT AFFORD OWN PLAYERS AT FAIR VALUE",IF(F29&lt;-0.05*E29,"LIST WORTH LESS THAN CAP: PAYING OVERS AS A GROUP","ROUGHLY FAIR VALUE"))</f>
        <v>LIST WORTH LESS THAN CAP: PAYING OVERS AS A GROUP</v>
      </c>
    </row>
    <row r="30" customFormat="false" ht="15" hidden="false" customHeight="false" outlineLevel="0" collapsed="false">
      <c r="A30" s="5" t="s">
        <v>18</v>
      </c>
      <c r="B30" s="5" t="s">
        <v>417</v>
      </c>
      <c r="C30" s="5" t="s">
        <v>908</v>
      </c>
      <c r="D30" s="13" t="n">
        <f aca="false">SUMIFS('Player Ledger'!$E:$E,'Player Ledger'!$A:$A,2022,'Player Ledger'!$B:$B,B30)*Assumptions!$D$5/1000</f>
        <v>14.9358176552517</v>
      </c>
      <c r="E30" s="13" t="n">
        <f aca="false">Assumptions!$B$5</f>
        <v>13.54</v>
      </c>
      <c r="F30" s="15" t="n">
        <f aca="false">D30-E30</f>
        <v>1.39581765525169</v>
      </c>
      <c r="G30" s="16" t="n">
        <f aca="false">D30/E30-1</f>
        <v>0.103088453120509</v>
      </c>
      <c r="H30" s="5" t="str">
        <f aca="false">IF(F30&gt;0.05*E30,"LIST WORTH MORE THAN CAP: BOUGHT WELL, CANNOT AFFORD OWN PLAYERS AT FAIR VALUE",IF(F30&lt;-0.05*E30,"LIST WORTH LESS THAN CAP: PAYING OVERS AS A GROUP","ROUGHLY FAIR VALUE"))</f>
        <v>LIST WORTH MORE THAN CAP: BOUGHT WELL, CANNOT AFFORD OWN PLAYERS AT FAIR VALUE</v>
      </c>
    </row>
    <row r="31" customFormat="false" ht="15" hidden="false" customHeight="false" outlineLevel="0" collapsed="false">
      <c r="A31" s="5" t="s">
        <v>18</v>
      </c>
      <c r="B31" s="5" t="s">
        <v>452</v>
      </c>
      <c r="C31" s="5" t="s">
        <v>908</v>
      </c>
      <c r="D31" s="13" t="n">
        <f aca="false">SUMIFS('Player Ledger'!$E:$E,'Player Ledger'!$A:$A,2022,'Player Ledger'!$B:$B,B31)*Assumptions!$D$5/1000</f>
        <v>10.4704284482568</v>
      </c>
      <c r="E31" s="13" t="n">
        <f aca="false">Assumptions!$B$5</f>
        <v>13.54</v>
      </c>
      <c r="F31" s="15" t="n">
        <f aca="false">D31-E31</f>
        <v>-3.0695715517432</v>
      </c>
      <c r="G31" s="16" t="n">
        <f aca="false">D31/E31-1</f>
        <v>-0.226703955077046</v>
      </c>
      <c r="H31" s="5" t="str">
        <f aca="false">IF(F31&gt;0.05*E31,"LIST WORTH MORE THAN CAP: BOUGHT WELL, CANNOT AFFORD OWN PLAYERS AT FAIR VALUE",IF(F31&lt;-0.05*E31,"LIST WORTH LESS THAN CAP: PAYING OVERS AS A GROUP","ROUGHLY FAIR VALUE"))</f>
        <v>LIST WORTH LESS THAN CAP: PAYING OVERS AS A GROUP</v>
      </c>
    </row>
    <row r="32" customFormat="false" ht="15" hidden="false" customHeight="false" outlineLevel="0" collapsed="false">
      <c r="A32" s="5" t="s">
        <v>18</v>
      </c>
      <c r="B32" s="5" t="s">
        <v>491</v>
      </c>
      <c r="C32" s="5" t="s">
        <v>908</v>
      </c>
      <c r="D32" s="13" t="n">
        <f aca="false">SUMIFS('Player Ledger'!$E:$E,'Player Ledger'!$A:$A,2022,'Player Ledger'!$B:$B,B32)*Assumptions!$D$5/1000</f>
        <v>14.019840382022</v>
      </c>
      <c r="E32" s="13" t="n">
        <f aca="false">Assumptions!$B$5</f>
        <v>13.54</v>
      </c>
      <c r="F32" s="15" t="n">
        <f aca="false">D32-E32</f>
        <v>0.479840382021973</v>
      </c>
      <c r="G32" s="16" t="n">
        <f aca="false">D32/E32-1</f>
        <v>0.0354387283620363</v>
      </c>
      <c r="H32" s="5" t="str">
        <f aca="false">IF(F32&gt;0.05*E32,"LIST WORTH MORE THAN CAP: BOUGHT WELL, CANNOT AFFORD OWN PLAYERS AT FAIR VALUE",IF(F32&lt;-0.05*E32,"LIST WORTH LESS THAN CAP: PAYING OVERS AS A GROUP","ROUGHLY FAIR VALUE"))</f>
        <v>ROUGHLY FAIR VALUE</v>
      </c>
    </row>
    <row r="33" customFormat="false" ht="15" hidden="false" customHeight="false" outlineLevel="0" collapsed="false">
      <c r="A33" s="5" t="s">
        <v>18</v>
      </c>
      <c r="B33" s="5" t="s">
        <v>527</v>
      </c>
      <c r="C33" s="5" t="s">
        <v>908</v>
      </c>
      <c r="D33" s="13" t="n">
        <f aca="false">SUMIFS('Player Ledger'!$E:$E,'Player Ledger'!$A:$A,2022,'Player Ledger'!$B:$B,B33)*Assumptions!$D$5/1000</f>
        <v>14.8199734706962</v>
      </c>
      <c r="E33" s="13" t="n">
        <f aca="false">Assumptions!$B$5</f>
        <v>13.54</v>
      </c>
      <c r="F33" s="15" t="n">
        <f aca="false">D33-E33</f>
        <v>1.27997347069617</v>
      </c>
      <c r="G33" s="16" t="n">
        <f aca="false">D33/E33-1</f>
        <v>0.0945327526363493</v>
      </c>
      <c r="H33" s="5" t="str">
        <f aca="false">IF(F33&gt;0.05*E33,"LIST WORTH MORE THAN CAP: BOUGHT WELL, CANNOT AFFORD OWN PLAYERS AT FAIR VALUE",IF(F33&lt;-0.05*E33,"LIST WORTH LESS THAN CAP: PAYING OVERS AS A GROUP","ROUGHLY FAIR VALUE"))</f>
        <v>LIST WORTH MORE THAN CAP: BOUGHT WELL, CANNOT AFFORD OWN PLAYERS AT FAIR VALUE</v>
      </c>
    </row>
    <row r="34" customFormat="false" ht="15" hidden="false" customHeight="false" outlineLevel="0" collapsed="false">
      <c r="A34" s="5" t="s">
        <v>18</v>
      </c>
      <c r="B34" s="5" t="s">
        <v>567</v>
      </c>
      <c r="C34" s="5" t="s">
        <v>908</v>
      </c>
      <c r="D34" s="13" t="n">
        <f aca="false">SUMIFS('Player Ledger'!$E:$E,'Player Ledger'!$A:$A,2022,'Player Ledger'!$B:$B,B34)*Assumptions!$D$5/1000</f>
        <v>13.2655061570093</v>
      </c>
      <c r="E34" s="13" t="n">
        <f aca="false">Assumptions!$B$5</f>
        <v>13.54</v>
      </c>
      <c r="F34" s="15" t="n">
        <f aca="false">D34-E34</f>
        <v>-0.274493842990736</v>
      </c>
      <c r="G34" s="16" t="n">
        <f aca="false">D34/E34-1</f>
        <v>-0.0202728096743527</v>
      </c>
      <c r="H34" s="5" t="str">
        <f aca="false">IF(F34&gt;0.05*E34,"LIST WORTH MORE THAN CAP: BOUGHT WELL, CANNOT AFFORD OWN PLAYERS AT FAIR VALUE",IF(F34&lt;-0.05*E34,"LIST WORTH LESS THAN CAP: PAYING OVERS AS A GROUP","ROUGHLY FAIR VALUE"))</f>
        <v>ROUGHLY FAIR VALUE</v>
      </c>
    </row>
    <row r="35" customFormat="false" ht="15" hidden="false" customHeight="false" outlineLevel="0" collapsed="false">
      <c r="A35" s="5" t="s">
        <v>18</v>
      </c>
      <c r="B35" s="5" t="s">
        <v>607</v>
      </c>
      <c r="C35" s="5" t="s">
        <v>908</v>
      </c>
      <c r="D35" s="13" t="n">
        <f aca="false">SUMIFS('Player Ledger'!$E:$E,'Player Ledger'!$A:$A,2022,'Player Ledger'!$B:$B,B35)*Assumptions!$D$5/1000</f>
        <v>14.5519154157363</v>
      </c>
      <c r="E35" s="13" t="n">
        <f aca="false">Assumptions!$B$5</f>
        <v>13.54</v>
      </c>
      <c r="F35" s="15" t="n">
        <f aca="false">D35-E35</f>
        <v>1.0119154157363</v>
      </c>
      <c r="G35" s="16" t="n">
        <f aca="false">D35/E35-1</f>
        <v>0.0747352596555611</v>
      </c>
      <c r="H35" s="5" t="str">
        <f aca="false">IF(F35&gt;0.05*E35,"LIST WORTH MORE THAN CAP: BOUGHT WELL, CANNOT AFFORD OWN PLAYERS AT FAIR VALUE",IF(F35&lt;-0.05*E35,"LIST WORTH LESS THAN CAP: PAYING OVERS AS A GROUP","ROUGHLY FAIR VALUE"))</f>
        <v>LIST WORTH MORE THAN CAP: BOUGHT WELL, CANNOT AFFORD OWN PLAYERS AT FAIR VALUE</v>
      </c>
    </row>
    <row r="36" customFormat="false" ht="15" hidden="false" customHeight="false" outlineLevel="0" collapsed="false">
      <c r="A36" s="5" t="s">
        <v>18</v>
      </c>
      <c r="B36" s="5" t="s">
        <v>644</v>
      </c>
      <c r="C36" s="5" t="s">
        <v>908</v>
      </c>
      <c r="D36" s="13" t="n">
        <f aca="false">SUMIFS('Player Ledger'!$E:$E,'Player Ledger'!$A:$A,2022,'Player Ledger'!$B:$B,B36)*Assumptions!$D$5/1000</f>
        <v>10.4515700926315</v>
      </c>
      <c r="E36" s="13" t="n">
        <f aca="false">Assumptions!$B$5</f>
        <v>13.54</v>
      </c>
      <c r="F36" s="15" t="n">
        <f aca="false">D36-E36</f>
        <v>-3.08842990736852</v>
      </c>
      <c r="G36" s="16" t="n">
        <f aca="false">D36/E36-1</f>
        <v>-0.228096743527955</v>
      </c>
      <c r="H36" s="5" t="str">
        <f aca="false">IF(F36&gt;0.05*E36,"LIST WORTH MORE THAN CAP: BOUGHT WELL, CANNOT AFFORD OWN PLAYERS AT FAIR VALUE",IF(F36&lt;-0.05*E36,"LIST WORTH LESS THAN CAP: PAYING OVERS AS A GROUP","ROUGHLY FAIR VALUE"))</f>
        <v>LIST WORTH LESS THAN CAP: PAYING OVERS AS A GROUP</v>
      </c>
    </row>
    <row r="37" customFormat="false" ht="15" hidden="false" customHeight="false" outlineLevel="0" collapsed="false">
      <c r="A37" s="5" t="s">
        <v>18</v>
      </c>
      <c r="B37" s="5" t="s">
        <v>681</v>
      </c>
      <c r="C37" s="5" t="s">
        <v>908</v>
      </c>
      <c r="D37" s="13" t="n">
        <f aca="false">SUMIFS('Player Ledger'!$E:$E,'Player Ledger'!$A:$A,2022,'Player Ledger'!$B:$B,B37)*Assumptions!$D$5/1000</f>
        <v>14.1868715318462</v>
      </c>
      <c r="E37" s="13" t="n">
        <f aca="false">Assumptions!$B$5</f>
        <v>13.54</v>
      </c>
      <c r="F37" s="15" t="n">
        <f aca="false">D37-E37</f>
        <v>0.646871531846218</v>
      </c>
      <c r="G37" s="16" t="n">
        <f aca="false">D37/E37-1</f>
        <v>0.0477748546415226</v>
      </c>
      <c r="H37" s="5" t="str">
        <f aca="false">IF(F37&gt;0.05*E37,"LIST WORTH MORE THAN CAP: BOUGHT WELL, CANNOT AFFORD OWN PLAYERS AT FAIR VALUE",IF(F37&lt;-0.05*E37,"LIST WORTH LESS THAN CAP: PAYING OVERS AS A GROUP","ROUGHLY FAIR VALUE"))</f>
        <v>ROUGHLY FAIR VALUE</v>
      </c>
    </row>
    <row r="38" customFormat="false" ht="15" hidden="false" customHeight="false" outlineLevel="0" collapsed="false">
      <c r="A38" s="5" t="s">
        <v>19</v>
      </c>
      <c r="B38" s="5" t="s">
        <v>35</v>
      </c>
      <c r="C38" s="5" t="s">
        <v>908</v>
      </c>
      <c r="D38" s="13" t="n">
        <f aca="false">SUMIFS('Player Ledger'!$E:$E,'Player Ledger'!$A:$A,2023,'Player Ledger'!$B:$B,B38)*Assumptions!$D$6/1000</f>
        <v>16.0026354675714</v>
      </c>
      <c r="E38" s="13" t="n">
        <f aca="false">Assumptions!$B$6</f>
        <v>15.02</v>
      </c>
      <c r="F38" s="15" t="n">
        <f aca="false">D38-E38</f>
        <v>0.982635467571353</v>
      </c>
      <c r="G38" s="16" t="n">
        <f aca="false">D38/E38-1</f>
        <v>0.0654218021019541</v>
      </c>
      <c r="H38" s="5" t="str">
        <f aca="false">IF(F38&gt;0.05*E38,"LIST WORTH MORE THAN CAP: BOUGHT WELL, CANNOT AFFORD OWN PLAYERS AT FAIR VALUE",IF(F38&lt;-0.05*E38,"LIST WORTH LESS THAN CAP: PAYING OVERS AS A GROUP","ROUGHLY FAIR VALUE"))</f>
        <v>LIST WORTH MORE THAN CAP: BOUGHT WELL, CANNOT AFFORD OWN PLAYERS AT FAIR VALUE</v>
      </c>
    </row>
    <row r="39" customFormat="false" ht="15" hidden="false" customHeight="false" outlineLevel="0" collapsed="false">
      <c r="A39" s="5" t="s">
        <v>19</v>
      </c>
      <c r="B39" s="5" t="s">
        <v>73</v>
      </c>
      <c r="C39" s="5" t="s">
        <v>908</v>
      </c>
      <c r="D39" s="13" t="n">
        <f aca="false">SUMIFS('Player Ledger'!$E:$E,'Player Ledger'!$A:$A,2023,'Player Ledger'!$B:$B,B39)*Assumptions!$D$6/1000</f>
        <v>16.4724650642817</v>
      </c>
      <c r="E39" s="13" t="n">
        <f aca="false">Assumptions!$B$6</f>
        <v>15.02</v>
      </c>
      <c r="F39" s="15" t="n">
        <f aca="false">D39-E39</f>
        <v>1.45246506428172</v>
      </c>
      <c r="G39" s="16" t="n">
        <f aca="false">D39/E39-1</f>
        <v>0.0967020681945221</v>
      </c>
      <c r="H39" s="5" t="str">
        <f aca="false">IF(F39&gt;0.05*E39,"LIST WORTH MORE THAN CAP: BOUGHT WELL, CANNOT AFFORD OWN PLAYERS AT FAIR VALUE",IF(F39&lt;-0.05*E39,"LIST WORTH LESS THAN CAP: PAYING OVERS AS A GROUP","ROUGHLY FAIR VALUE"))</f>
        <v>LIST WORTH MORE THAN CAP: BOUGHT WELL, CANNOT AFFORD OWN PLAYERS AT FAIR VALUE</v>
      </c>
    </row>
    <row r="40" customFormat="false" ht="15" hidden="false" customHeight="false" outlineLevel="0" collapsed="false">
      <c r="A40" s="5" t="s">
        <v>19</v>
      </c>
      <c r="B40" s="5" t="s">
        <v>106</v>
      </c>
      <c r="C40" s="5" t="s">
        <v>908</v>
      </c>
      <c r="D40" s="13" t="n">
        <f aca="false">SUMIFS('Player Ledger'!$E:$E,'Player Ledger'!$A:$A,2023,'Player Ledger'!$B:$B,B40)*Assumptions!$D$6/1000</f>
        <v>15.6375449529302</v>
      </c>
      <c r="E40" s="13" t="n">
        <f aca="false">Assumptions!$B$6</f>
        <v>15.02</v>
      </c>
      <c r="F40" s="15" t="n">
        <f aca="false">D40-E40</f>
        <v>0.617544952930174</v>
      </c>
      <c r="G40" s="16" t="n">
        <f aca="false">D40/E40-1</f>
        <v>0.041114843737029</v>
      </c>
      <c r="H40" s="5" t="str">
        <f aca="false">IF(F40&gt;0.05*E40,"LIST WORTH MORE THAN CAP: BOUGHT WELL, CANNOT AFFORD OWN PLAYERS AT FAIR VALUE",IF(F40&lt;-0.05*E40,"LIST WORTH LESS THAN CAP: PAYING OVERS AS A GROUP","ROUGHLY FAIR VALUE"))</f>
        <v>ROUGHLY FAIR VALUE</v>
      </c>
    </row>
    <row r="41" customFormat="false" ht="15" hidden="false" customHeight="false" outlineLevel="0" collapsed="false">
      <c r="A41" s="5" t="s">
        <v>19</v>
      </c>
      <c r="B41" s="5" t="s">
        <v>146</v>
      </c>
      <c r="C41" s="5" t="s">
        <v>908</v>
      </c>
      <c r="D41" s="13" t="n">
        <f aca="false">SUMIFS('Player Ledger'!$E:$E,'Player Ledger'!$A:$A,2023,'Player Ledger'!$B:$B,B41)*Assumptions!$D$6/1000</f>
        <v>16.1597440906751</v>
      </c>
      <c r="E41" s="13" t="n">
        <f aca="false">Assumptions!$B$6</f>
        <v>15.02</v>
      </c>
      <c r="F41" s="15" t="n">
        <f aca="false">D41-E41</f>
        <v>1.13974409067514</v>
      </c>
      <c r="G41" s="16" t="n">
        <f aca="false">D41/E41-1</f>
        <v>0.0758817636934179</v>
      </c>
      <c r="H41" s="5" t="str">
        <f aca="false">IF(F41&gt;0.05*E41,"LIST WORTH MORE THAN CAP: BOUGHT WELL, CANNOT AFFORD OWN PLAYERS AT FAIR VALUE",IF(F41&lt;-0.05*E41,"LIST WORTH LESS THAN CAP: PAYING OVERS AS A GROUP","ROUGHLY FAIR VALUE"))</f>
        <v>LIST WORTH MORE THAN CAP: BOUGHT WELL, CANNOT AFFORD OWN PLAYERS AT FAIR VALUE</v>
      </c>
    </row>
    <row r="42" customFormat="false" ht="15" hidden="false" customHeight="false" outlineLevel="0" collapsed="false">
      <c r="A42" s="5" t="s">
        <v>19</v>
      </c>
      <c r="B42" s="5" t="s">
        <v>186</v>
      </c>
      <c r="C42" s="5" t="s">
        <v>908</v>
      </c>
      <c r="D42" s="13" t="n">
        <f aca="false">SUMIFS('Player Ledger'!$E:$E,'Player Ledger'!$A:$A,2023,'Player Ledger'!$B:$B,B42)*Assumptions!$D$6/1000</f>
        <v>14.241522616208</v>
      </c>
      <c r="E42" s="13" t="n">
        <f aca="false">Assumptions!$B$6</f>
        <v>15.02</v>
      </c>
      <c r="F42" s="15" t="n">
        <f aca="false">D42-E42</f>
        <v>-0.778477383792042</v>
      </c>
      <c r="G42" s="16" t="n">
        <f aca="false">D42/E42-1</f>
        <v>-0.0518293864042638</v>
      </c>
      <c r="H42" s="5" t="str">
        <f aca="false">IF(F42&gt;0.05*E42,"LIST WORTH MORE THAN CAP: BOUGHT WELL, CANNOT AFFORD OWN PLAYERS AT FAIR VALUE",IF(F42&lt;-0.05*E42,"LIST WORTH LESS THAN CAP: PAYING OVERS AS A GROUP","ROUGHLY FAIR VALUE"))</f>
        <v>LIST WORTH LESS THAN CAP: PAYING OVERS AS A GROUP</v>
      </c>
    </row>
    <row r="43" customFormat="false" ht="15" hidden="false" customHeight="false" outlineLevel="0" collapsed="false">
      <c r="A43" s="5" t="s">
        <v>19</v>
      </c>
      <c r="B43" s="5" t="s">
        <v>224</v>
      </c>
      <c r="C43" s="5" t="s">
        <v>908</v>
      </c>
      <c r="D43" s="13" t="n">
        <f aca="false">SUMIFS('Player Ledger'!$E:$E,'Player Ledger'!$A:$A,2023,'Player Ledger'!$B:$B,B43)*Assumptions!$D$6/1000</f>
        <v>14.5901541322383</v>
      </c>
      <c r="E43" s="13" t="n">
        <f aca="false">Assumptions!$B$6</f>
        <v>15.02</v>
      </c>
      <c r="F43" s="15" t="n">
        <f aca="false">D43-E43</f>
        <v>-0.429845867761735</v>
      </c>
      <c r="G43" s="16" t="n">
        <f aca="false">D43/E43-1</f>
        <v>-0.0286182335393964</v>
      </c>
      <c r="H43" s="5" t="str">
        <f aca="false">IF(F43&gt;0.05*E43,"LIST WORTH MORE THAN CAP: BOUGHT WELL, CANNOT AFFORD OWN PLAYERS AT FAIR VALUE",IF(F43&lt;-0.05*E43,"LIST WORTH LESS THAN CAP: PAYING OVERS AS A GROUP","ROUGHLY FAIR VALUE"))</f>
        <v>ROUGHLY FAIR VALUE</v>
      </c>
    </row>
    <row r="44" customFormat="false" ht="15" hidden="false" customHeight="false" outlineLevel="0" collapsed="false">
      <c r="A44" s="5" t="s">
        <v>19</v>
      </c>
      <c r="B44" s="5" t="s">
        <v>264</v>
      </c>
      <c r="C44" s="5" t="s">
        <v>908</v>
      </c>
      <c r="D44" s="13" t="n">
        <f aca="false">SUMIFS('Player Ledger'!$E:$E,'Player Ledger'!$A:$A,2023,'Player Ledger'!$B:$B,B44)*Assumptions!$D$6/1000</f>
        <v>15.7063734925756</v>
      </c>
      <c r="E44" s="13" t="n">
        <f aca="false">Assumptions!$B$6</f>
        <v>15.02</v>
      </c>
      <c r="F44" s="15" t="n">
        <f aca="false">D44-E44</f>
        <v>0.68637349257564</v>
      </c>
      <c r="G44" s="16" t="n">
        <f aca="false">D44/E44-1</f>
        <v>0.0456973031009083</v>
      </c>
      <c r="H44" s="5" t="str">
        <f aca="false">IF(F44&gt;0.05*E44,"LIST WORTH MORE THAN CAP: BOUGHT WELL, CANNOT AFFORD OWN PLAYERS AT FAIR VALUE",IF(F44&lt;-0.05*E44,"LIST WORTH LESS THAN CAP: PAYING OVERS AS A GROUP","ROUGHLY FAIR VALUE"))</f>
        <v>ROUGHLY FAIR VALUE</v>
      </c>
    </row>
    <row r="45" customFormat="false" ht="15" hidden="false" customHeight="false" outlineLevel="0" collapsed="false">
      <c r="A45" s="5" t="s">
        <v>19</v>
      </c>
      <c r="B45" s="5" t="s">
        <v>303</v>
      </c>
      <c r="C45" s="5" t="s">
        <v>908</v>
      </c>
      <c r="D45" s="13" t="n">
        <f aca="false">SUMIFS('Player Ledger'!$E:$E,'Player Ledger'!$A:$A,2023,'Player Ledger'!$B:$B,B45)*Assumptions!$D$6/1000</f>
        <v>15.6435300433341</v>
      </c>
      <c r="E45" s="13" t="n">
        <f aca="false">Assumptions!$B$6</f>
        <v>15.02</v>
      </c>
      <c r="F45" s="15" t="n">
        <f aca="false">D45-E45</f>
        <v>0.623530043334126</v>
      </c>
      <c r="G45" s="16" t="n">
        <f aca="false">D45/E45-1</f>
        <v>0.0415133184643226</v>
      </c>
      <c r="H45" s="5" t="str">
        <f aca="false">IF(F45&gt;0.05*E45,"LIST WORTH MORE THAN CAP: BOUGHT WELL, CANNOT AFFORD OWN PLAYERS AT FAIR VALUE",IF(F45&lt;-0.05*E45,"LIST WORTH LESS THAN CAP: PAYING OVERS AS A GROUP","ROUGHLY FAIR VALUE"))</f>
        <v>ROUGHLY FAIR VALUE</v>
      </c>
    </row>
    <row r="46" customFormat="false" ht="15" hidden="false" customHeight="false" outlineLevel="0" collapsed="false">
      <c r="A46" s="5" t="s">
        <v>19</v>
      </c>
      <c r="B46" s="5" t="s">
        <v>339</v>
      </c>
      <c r="C46" s="5" t="s">
        <v>908</v>
      </c>
      <c r="D46" s="13" t="n">
        <f aca="false">SUMIFS('Player Ledger'!$E:$E,'Player Ledger'!$A:$A,2023,'Player Ledger'!$B:$B,B46)*Assumptions!$D$6/1000</f>
        <v>14.4764374145631</v>
      </c>
      <c r="E46" s="13" t="n">
        <f aca="false">Assumptions!$B$6</f>
        <v>15.02</v>
      </c>
      <c r="F46" s="15" t="n">
        <f aca="false">D46-E46</f>
        <v>-0.543562585436854</v>
      </c>
      <c r="G46" s="16" t="n">
        <f aca="false">D46/E46-1</f>
        <v>-0.0361892533579796</v>
      </c>
      <c r="H46" s="5" t="str">
        <f aca="false">IF(F46&gt;0.05*E46,"LIST WORTH MORE THAN CAP: BOUGHT WELL, CANNOT AFFORD OWN PLAYERS AT FAIR VALUE",IF(F46&lt;-0.05*E46,"LIST WORTH LESS THAN CAP: PAYING OVERS AS A GROUP","ROUGHLY FAIR VALUE"))</f>
        <v>ROUGHLY FAIR VALUE</v>
      </c>
    </row>
    <row r="47" customFormat="false" ht="15" hidden="false" customHeight="false" outlineLevel="0" collapsed="false">
      <c r="A47" s="5" t="s">
        <v>19</v>
      </c>
      <c r="B47" s="5" t="s">
        <v>378</v>
      </c>
      <c r="C47" s="5" t="s">
        <v>908</v>
      </c>
      <c r="D47" s="13" t="n">
        <f aca="false">SUMIFS('Player Ledger'!$E:$E,'Player Ledger'!$A:$A,2023,'Player Ledger'!$B:$B,B47)*Assumptions!$D$6/1000</f>
        <v>13.7507452030838</v>
      </c>
      <c r="E47" s="13" t="n">
        <f aca="false">Assumptions!$B$6</f>
        <v>15.02</v>
      </c>
      <c r="F47" s="15" t="n">
        <f aca="false">D47-E47</f>
        <v>-1.26925479691625</v>
      </c>
      <c r="G47" s="16" t="n">
        <f aca="false">D47/E47-1</f>
        <v>-0.08450431404236</v>
      </c>
      <c r="H47" s="5" t="str">
        <f aca="false">IF(F47&gt;0.05*E47,"LIST WORTH MORE THAN CAP: BOUGHT WELL, CANNOT AFFORD OWN PLAYERS AT FAIR VALUE",IF(F47&lt;-0.05*E47,"LIST WORTH LESS THAN CAP: PAYING OVERS AS A GROUP","ROUGHLY FAIR VALUE"))</f>
        <v>LIST WORTH LESS THAN CAP: PAYING OVERS AS A GROUP</v>
      </c>
    </row>
    <row r="48" customFormat="false" ht="15" hidden="false" customHeight="false" outlineLevel="0" collapsed="false">
      <c r="A48" s="5" t="s">
        <v>19</v>
      </c>
      <c r="B48" s="5" t="s">
        <v>417</v>
      </c>
      <c r="C48" s="5" t="s">
        <v>908</v>
      </c>
      <c r="D48" s="13" t="n">
        <f aca="false">SUMIFS('Player Ledger'!$E:$E,'Player Ledger'!$A:$A,2023,'Player Ledger'!$B:$B,B48)*Assumptions!$D$6/1000</f>
        <v>16.6205960517796</v>
      </c>
      <c r="E48" s="13" t="n">
        <f aca="false">Assumptions!$B$6</f>
        <v>15.02</v>
      </c>
      <c r="F48" s="15" t="n">
        <f aca="false">D48-E48</f>
        <v>1.60059605177958</v>
      </c>
      <c r="G48" s="16" t="n">
        <f aca="false">D48/E48-1</f>
        <v>0.106564317695045</v>
      </c>
      <c r="H48" s="5" t="str">
        <f aca="false">IF(F48&gt;0.05*E48,"LIST WORTH MORE THAN CAP: BOUGHT WELL, CANNOT AFFORD OWN PLAYERS AT FAIR VALUE",IF(F48&lt;-0.05*E48,"LIST WORTH LESS THAN CAP: PAYING OVERS AS A GROUP","ROUGHLY FAIR VALUE"))</f>
        <v>LIST WORTH MORE THAN CAP: BOUGHT WELL, CANNOT AFFORD OWN PLAYERS AT FAIR VALUE</v>
      </c>
    </row>
    <row r="49" customFormat="false" ht="15" hidden="false" customHeight="false" outlineLevel="0" collapsed="false">
      <c r="A49" s="5" t="s">
        <v>19</v>
      </c>
      <c r="B49" s="5" t="s">
        <v>452</v>
      </c>
      <c r="C49" s="5" t="s">
        <v>908</v>
      </c>
      <c r="D49" s="13" t="n">
        <f aca="false">SUMIFS('Player Ledger'!$E:$E,'Player Ledger'!$A:$A,2023,'Player Ledger'!$B:$B,B49)*Assumptions!$D$6/1000</f>
        <v>12.8844033671114</v>
      </c>
      <c r="E49" s="13" t="n">
        <f aca="false">Assumptions!$B$6</f>
        <v>15.02</v>
      </c>
      <c r="F49" s="15" t="n">
        <f aca="false">D49-E49</f>
        <v>-2.13559663288856</v>
      </c>
      <c r="G49" s="16" t="n">
        <f aca="false">D49/E49-1</f>
        <v>-0.142183530818146</v>
      </c>
      <c r="H49" s="5" t="str">
        <f aca="false">IF(F49&gt;0.05*E49,"LIST WORTH MORE THAN CAP: BOUGHT WELL, CANNOT AFFORD OWN PLAYERS AT FAIR VALUE",IF(F49&lt;-0.05*E49,"LIST WORTH LESS THAN CAP: PAYING OVERS AS A GROUP","ROUGHLY FAIR VALUE"))</f>
        <v>LIST WORTH LESS THAN CAP: PAYING OVERS AS A GROUP</v>
      </c>
    </row>
    <row r="50" customFormat="false" ht="15" hidden="false" customHeight="false" outlineLevel="0" collapsed="false">
      <c r="A50" s="5" t="s">
        <v>19</v>
      </c>
      <c r="B50" s="5" t="s">
        <v>491</v>
      </c>
      <c r="C50" s="5" t="s">
        <v>908</v>
      </c>
      <c r="D50" s="13" t="n">
        <f aca="false">SUMIFS('Player Ledger'!$E:$E,'Player Ledger'!$A:$A,2023,'Player Ledger'!$B:$B,B50)*Assumptions!$D$6/1000</f>
        <v>15.7826833952261</v>
      </c>
      <c r="E50" s="13" t="n">
        <f aca="false">Assumptions!$B$6</f>
        <v>15.02</v>
      </c>
      <c r="F50" s="15" t="n">
        <f aca="false">D50-E50</f>
        <v>0.762683395226052</v>
      </c>
      <c r="G50" s="16" t="n">
        <f aca="false">D50/E50-1</f>
        <v>0.0507778558739049</v>
      </c>
      <c r="H50" s="5" t="str">
        <f aca="false">IF(F50&gt;0.05*E50,"LIST WORTH MORE THAN CAP: BOUGHT WELL, CANNOT AFFORD OWN PLAYERS AT FAIR VALUE",IF(F50&lt;-0.05*E50,"LIST WORTH LESS THAN CAP: PAYING OVERS AS A GROUP","ROUGHLY FAIR VALUE"))</f>
        <v>LIST WORTH MORE THAN CAP: BOUGHT WELL, CANNOT AFFORD OWN PLAYERS AT FAIR VALUE</v>
      </c>
    </row>
    <row r="51" customFormat="false" ht="15" hidden="false" customHeight="false" outlineLevel="0" collapsed="false">
      <c r="A51" s="5" t="s">
        <v>19</v>
      </c>
      <c r="B51" s="5" t="s">
        <v>527</v>
      </c>
      <c r="C51" s="5" t="s">
        <v>908</v>
      </c>
      <c r="D51" s="13" t="n">
        <f aca="false">SUMIFS('Player Ledger'!$E:$E,'Player Ledger'!$A:$A,2023,'Player Ledger'!$B:$B,B51)*Assumptions!$D$6/1000</f>
        <v>14.6619752170857</v>
      </c>
      <c r="E51" s="13" t="n">
        <f aca="false">Assumptions!$B$6</f>
        <v>15.02</v>
      </c>
      <c r="F51" s="15" t="n">
        <f aca="false">D51-E51</f>
        <v>-0.35802478291429</v>
      </c>
      <c r="G51" s="16" t="n">
        <f aca="false">D51/E51-1</f>
        <v>-0.0238365368118701</v>
      </c>
      <c r="H51" s="5" t="str">
        <f aca="false">IF(F51&gt;0.05*E51,"LIST WORTH MORE THAN CAP: BOUGHT WELL, CANNOT AFFORD OWN PLAYERS AT FAIR VALUE",IF(F51&lt;-0.05*E51,"LIST WORTH LESS THAN CAP: PAYING OVERS AS A GROUP","ROUGHLY FAIR VALUE"))</f>
        <v>ROUGHLY FAIR VALUE</v>
      </c>
    </row>
    <row r="52" customFormat="false" ht="15" hidden="false" customHeight="false" outlineLevel="0" collapsed="false">
      <c r="A52" s="5" t="s">
        <v>19</v>
      </c>
      <c r="B52" s="5" t="s">
        <v>567</v>
      </c>
      <c r="C52" s="5" t="s">
        <v>908</v>
      </c>
      <c r="D52" s="13" t="n">
        <f aca="false">SUMIFS('Player Ledger'!$E:$E,'Player Ledger'!$A:$A,2023,'Player Ledger'!$B:$B,B52)*Assumptions!$D$6/1000</f>
        <v>15.2829283464959</v>
      </c>
      <c r="E52" s="13" t="n">
        <f aca="false">Assumptions!$B$6</f>
        <v>15.02</v>
      </c>
      <c r="F52" s="15" t="n">
        <f aca="false">D52-E52</f>
        <v>0.262928346495912</v>
      </c>
      <c r="G52" s="16" t="n">
        <f aca="false">D52/E52-1</f>
        <v>0.0175052161448677</v>
      </c>
      <c r="H52" s="5" t="str">
        <f aca="false">IF(F52&gt;0.05*E52,"LIST WORTH MORE THAN CAP: BOUGHT WELL, CANNOT AFFORD OWN PLAYERS AT FAIR VALUE",IF(F52&lt;-0.05*E52,"LIST WORTH LESS THAN CAP: PAYING OVERS AS A GROUP","ROUGHLY FAIR VALUE"))</f>
        <v>ROUGHLY FAIR VALUE</v>
      </c>
    </row>
    <row r="53" customFormat="false" ht="15" hidden="false" customHeight="false" outlineLevel="0" collapsed="false">
      <c r="A53" s="5" t="s">
        <v>19</v>
      </c>
      <c r="B53" s="5" t="s">
        <v>607</v>
      </c>
      <c r="C53" s="5" t="s">
        <v>908</v>
      </c>
      <c r="D53" s="13" t="n">
        <f aca="false">SUMIFS('Player Ledger'!$E:$E,'Player Ledger'!$A:$A,2023,'Player Ledger'!$B:$B,B53)*Assumptions!$D$6/1000</f>
        <v>15.5118580544471</v>
      </c>
      <c r="E53" s="13" t="n">
        <f aca="false">Assumptions!$B$6</f>
        <v>15.02</v>
      </c>
      <c r="F53" s="15" t="n">
        <f aca="false">D53-E53</f>
        <v>0.491858054447144</v>
      </c>
      <c r="G53" s="16" t="n">
        <f aca="false">D53/E53-1</f>
        <v>0.0327468744638577</v>
      </c>
      <c r="H53" s="5" t="str">
        <f aca="false">IF(F53&gt;0.05*E53,"LIST WORTH MORE THAN CAP: BOUGHT WELL, CANNOT AFFORD OWN PLAYERS AT FAIR VALUE",IF(F53&lt;-0.05*E53,"LIST WORTH LESS THAN CAP: PAYING OVERS AS A GROUP","ROUGHLY FAIR VALUE"))</f>
        <v>ROUGHLY FAIR VALUE</v>
      </c>
    </row>
    <row r="54" customFormat="false" ht="15" hidden="false" customHeight="false" outlineLevel="0" collapsed="false">
      <c r="A54" s="5" t="s">
        <v>19</v>
      </c>
      <c r="B54" s="5" t="s">
        <v>644</v>
      </c>
      <c r="C54" s="5" t="s">
        <v>908</v>
      </c>
      <c r="D54" s="13" t="n">
        <f aca="false">SUMIFS('Player Ledger'!$E:$E,'Player Ledger'!$A:$A,2023,'Player Ledger'!$B:$B,B54)*Assumptions!$D$6/1000</f>
        <v>11.391123311325</v>
      </c>
      <c r="E54" s="13" t="n">
        <f aca="false">Assumptions!$B$6</f>
        <v>15.02</v>
      </c>
      <c r="F54" s="15" t="n">
        <f aca="false">D54-E54</f>
        <v>-3.62887668867502</v>
      </c>
      <c r="G54" s="16" t="n">
        <f aca="false">D54/E54-1</f>
        <v>-0.241602975277964</v>
      </c>
      <c r="H54" s="5" t="str">
        <f aca="false">IF(F54&gt;0.05*E54,"LIST WORTH MORE THAN CAP: BOUGHT WELL, CANNOT AFFORD OWN PLAYERS AT FAIR VALUE",IF(F54&lt;-0.05*E54,"LIST WORTH LESS THAN CAP: PAYING OVERS AS A GROUP","ROUGHLY FAIR VALUE"))</f>
        <v>LIST WORTH LESS THAN CAP: PAYING OVERS AS A GROUP</v>
      </c>
    </row>
    <row r="55" customFormat="false" ht="15" hidden="false" customHeight="false" outlineLevel="0" collapsed="false">
      <c r="A55" s="5" t="s">
        <v>19</v>
      </c>
      <c r="B55" s="5" t="s">
        <v>681</v>
      </c>
      <c r="C55" s="5" t="s">
        <v>908</v>
      </c>
      <c r="D55" s="13" t="n">
        <f aca="false">SUMIFS('Player Ledger'!$E:$E,'Player Ledger'!$A:$A,2023,'Player Ledger'!$B:$B,B55)*Assumptions!$D$6/1000</f>
        <v>15.5432797790679</v>
      </c>
      <c r="E55" s="13" t="n">
        <f aca="false">Assumptions!$B$6</f>
        <v>15.02</v>
      </c>
      <c r="F55" s="15" t="n">
        <f aca="false">D55-E55</f>
        <v>0.523279779067901</v>
      </c>
      <c r="G55" s="16" t="n">
        <f aca="false">D55/E55-1</f>
        <v>0.0348388667821504</v>
      </c>
      <c r="H55" s="5" t="str">
        <f aca="false">IF(F55&gt;0.05*E55,"LIST WORTH MORE THAN CAP: BOUGHT WELL, CANNOT AFFORD OWN PLAYERS AT FAIR VALUE",IF(F55&lt;-0.05*E55,"LIST WORTH LESS THAN CAP: PAYING OVERS AS A GROUP","ROUGHLY FAIR VALUE"))</f>
        <v>ROUGHLY FAIR VALUE</v>
      </c>
    </row>
    <row r="56" customFormat="false" ht="15" hidden="false" customHeight="false" outlineLevel="0" collapsed="false">
      <c r="A56" s="5" t="s">
        <v>20</v>
      </c>
      <c r="B56" s="5" t="s">
        <v>35</v>
      </c>
      <c r="C56" s="5" t="s">
        <v>909</v>
      </c>
      <c r="D56" s="13" t="n">
        <f aca="false">Assumptions!$B$7*I56/AVERAGEIFS($I:$I,$A:$A,A56)</f>
        <v>14.5672875706488</v>
      </c>
      <c r="E56" s="13" t="n">
        <f aca="false">Assumptions!$B$7</f>
        <v>15.79</v>
      </c>
      <c r="F56" s="15" t="n">
        <f aca="false">D56-E56</f>
        <v>-1.22271242935124</v>
      </c>
      <c r="G56" s="16" t="n">
        <f aca="false">D56/E56-1</f>
        <v>-0.0774358726631564</v>
      </c>
      <c r="H56" s="5" t="str">
        <f aca="false">IF(F56&gt;0.05*E56,"LIST WORTH MORE THAN CAP: BOUGHT WELL, CANNOT AFFORD OWN PLAYERS AT FAIR VALUE",IF(F56&lt;-0.05*E56,"LIST WORTH LESS THAN CAP: PAYING OVERS AS A GROUP","ROUGHLY FAIR VALUE"))</f>
        <v>LIST WORTH LESS THAN CAP: PAYING OVERS AS A GROUP</v>
      </c>
      <c r="I56" s="5" t="n">
        <v>10.61</v>
      </c>
    </row>
    <row r="57" customFormat="false" ht="15" hidden="false" customHeight="false" outlineLevel="0" collapsed="false">
      <c r="A57" s="5" t="s">
        <v>20</v>
      </c>
      <c r="B57" s="5" t="s">
        <v>73</v>
      </c>
      <c r="C57" s="5" t="s">
        <v>909</v>
      </c>
      <c r="D57" s="13" t="n">
        <f aca="false">Assumptions!$B$7*I57/AVERAGEIFS($I:$I,$A:$A,A57)</f>
        <v>20.8280633785807</v>
      </c>
      <c r="E57" s="13" t="n">
        <f aca="false">Assumptions!$B$7</f>
        <v>15.79</v>
      </c>
      <c r="F57" s="15" t="n">
        <f aca="false">D57-E57</f>
        <v>5.03806337858075</v>
      </c>
      <c r="G57" s="16" t="n">
        <f aca="false">D57/E57-1</f>
        <v>0.319066711753055</v>
      </c>
      <c r="H57" s="5" t="str">
        <f aca="false">IF(F57&gt;0.05*E57,"LIST WORTH MORE THAN CAP: BOUGHT WELL, CANNOT AFFORD OWN PLAYERS AT FAIR VALUE",IF(F57&lt;-0.05*E57,"LIST WORTH LESS THAN CAP: PAYING OVERS AS A GROUP","ROUGHLY FAIR VALUE"))</f>
        <v>LIST WORTH MORE THAN CAP: BOUGHT WELL, CANNOT AFFORD OWN PLAYERS AT FAIR VALUE</v>
      </c>
      <c r="I57" s="5" t="n">
        <v>15.17</v>
      </c>
    </row>
    <row r="58" customFormat="false" ht="15" hidden="false" customHeight="false" outlineLevel="0" collapsed="false">
      <c r="A58" s="5" t="s">
        <v>20</v>
      </c>
      <c r="B58" s="5" t="s">
        <v>106</v>
      </c>
      <c r="C58" s="5" t="s">
        <v>909</v>
      </c>
      <c r="D58" s="13" t="n">
        <f aca="false">Assumptions!$B$7*I58/AVERAGEIFS($I:$I,$A:$A,A58)</f>
        <v>18.1095686198734</v>
      </c>
      <c r="E58" s="13" t="n">
        <f aca="false">Assumptions!$B$7</f>
        <v>15.79</v>
      </c>
      <c r="F58" s="15" t="n">
        <f aca="false">D58-E58</f>
        <v>2.31956861987344</v>
      </c>
      <c r="G58" s="16" t="n">
        <f aca="false">D58/E58-1</f>
        <v>0.146901115888121</v>
      </c>
      <c r="H58" s="5" t="str">
        <f aca="false">IF(F58&gt;0.05*E58,"LIST WORTH MORE THAN CAP: BOUGHT WELL, CANNOT AFFORD OWN PLAYERS AT FAIR VALUE",IF(F58&lt;-0.05*E58,"LIST WORTH LESS THAN CAP: PAYING OVERS AS A GROUP","ROUGHLY FAIR VALUE"))</f>
        <v>LIST WORTH MORE THAN CAP: BOUGHT WELL, CANNOT AFFORD OWN PLAYERS AT FAIR VALUE</v>
      </c>
      <c r="I58" s="5" t="n">
        <v>13.19</v>
      </c>
    </row>
    <row r="59" customFormat="false" ht="15" hidden="false" customHeight="false" outlineLevel="0" collapsed="false">
      <c r="A59" s="5" t="s">
        <v>20</v>
      </c>
      <c r="B59" s="5" t="s">
        <v>146</v>
      </c>
      <c r="C59" s="5" t="s">
        <v>909</v>
      </c>
      <c r="D59" s="13" t="n">
        <f aca="false">Assumptions!$B$7*I59/AVERAGEIFS($I:$I,$A:$A,A59)</f>
        <v>17.1896739287957</v>
      </c>
      <c r="E59" s="13" t="n">
        <f aca="false">Assumptions!$B$7</f>
        <v>15.79</v>
      </c>
      <c r="F59" s="15" t="n">
        <f aca="false">D59-E59</f>
        <v>1.39967392879571</v>
      </c>
      <c r="G59" s="16" t="n">
        <f aca="false">D59/E59-1</f>
        <v>0.0886430607217044</v>
      </c>
      <c r="H59" s="5" t="str">
        <f aca="false">IF(F59&gt;0.05*E59,"LIST WORTH MORE THAN CAP: BOUGHT WELL, CANNOT AFFORD OWN PLAYERS AT FAIR VALUE",IF(F59&lt;-0.05*E59,"LIST WORTH LESS THAN CAP: PAYING OVERS AS A GROUP","ROUGHLY FAIR VALUE"))</f>
        <v>LIST WORTH MORE THAN CAP: BOUGHT WELL, CANNOT AFFORD OWN PLAYERS AT FAIR VALUE</v>
      </c>
      <c r="I59" s="5" t="n">
        <v>12.52</v>
      </c>
    </row>
    <row r="60" customFormat="false" ht="15" hidden="false" customHeight="false" outlineLevel="0" collapsed="false">
      <c r="A60" s="5" t="s">
        <v>20</v>
      </c>
      <c r="B60" s="5" t="s">
        <v>186</v>
      </c>
      <c r="C60" s="5" t="s">
        <v>909</v>
      </c>
      <c r="D60" s="13" t="n">
        <f aca="false">Assumptions!$B$7*I60/AVERAGEIFS($I:$I,$A:$A,A60)</f>
        <v>15.1164784309937</v>
      </c>
      <c r="E60" s="13" t="n">
        <f aca="false">Assumptions!$B$7</f>
        <v>15.79</v>
      </c>
      <c r="F60" s="15" t="n">
        <f aca="false">D60-E60</f>
        <v>-0.673521569006329</v>
      </c>
      <c r="G60" s="16" t="n">
        <f aca="false">D60/E60-1</f>
        <v>-0.042654944205594</v>
      </c>
      <c r="H60" s="5" t="str">
        <f aca="false">IF(F60&gt;0.05*E60,"LIST WORTH MORE THAN CAP: BOUGHT WELL, CANNOT AFFORD OWN PLAYERS AT FAIR VALUE",IF(F60&lt;-0.05*E60,"LIST WORTH LESS THAN CAP: PAYING OVERS AS A GROUP","ROUGHLY FAIR VALUE"))</f>
        <v>ROUGHLY FAIR VALUE</v>
      </c>
      <c r="I60" s="5" t="n">
        <v>11.01</v>
      </c>
    </row>
    <row r="61" customFormat="false" ht="15" hidden="false" customHeight="false" outlineLevel="0" collapsed="false">
      <c r="A61" s="5" t="s">
        <v>20</v>
      </c>
      <c r="B61" s="5" t="s">
        <v>224</v>
      </c>
      <c r="C61" s="5" t="s">
        <v>909</v>
      </c>
      <c r="D61" s="13" t="n">
        <f aca="false">Assumptions!$B$7*I61/AVERAGEIFS($I:$I,$A:$A,A61)</f>
        <v>17.2720525578474</v>
      </c>
      <c r="E61" s="13" t="n">
        <f aca="false">Assumptions!$B$7</f>
        <v>15.79</v>
      </c>
      <c r="F61" s="15" t="n">
        <f aca="false">D61-E61</f>
        <v>1.48205255784745</v>
      </c>
      <c r="G61" s="16" t="n">
        <f aca="false">D61/E61-1</f>
        <v>0.0938601999903386</v>
      </c>
      <c r="H61" s="5" t="str">
        <f aca="false">IF(F61&gt;0.05*E61,"LIST WORTH MORE THAN CAP: BOUGHT WELL, CANNOT AFFORD OWN PLAYERS AT FAIR VALUE",IF(F61&lt;-0.05*E61,"LIST WORTH LESS THAN CAP: PAYING OVERS AS A GROUP","ROUGHLY FAIR VALUE"))</f>
        <v>LIST WORTH MORE THAN CAP: BOUGHT WELL, CANNOT AFFORD OWN PLAYERS AT FAIR VALUE</v>
      </c>
      <c r="I61" s="5" t="n">
        <v>12.58</v>
      </c>
    </row>
    <row r="62" customFormat="false" ht="15" hidden="false" customHeight="false" outlineLevel="0" collapsed="false">
      <c r="A62" s="5" t="s">
        <v>20</v>
      </c>
      <c r="B62" s="5" t="s">
        <v>264</v>
      </c>
      <c r="C62" s="5" t="s">
        <v>909</v>
      </c>
      <c r="D62" s="13" t="n">
        <f aca="false">Assumptions!$B$7*I62/AVERAGEIFS($I:$I,$A:$A,A62)</f>
        <v>18.2056770204338</v>
      </c>
      <c r="E62" s="13" t="n">
        <f aca="false">Assumptions!$B$7</f>
        <v>15.79</v>
      </c>
      <c r="F62" s="15" t="n">
        <f aca="false">D62-E62</f>
        <v>2.41567702043379</v>
      </c>
      <c r="G62" s="16" t="n">
        <f aca="false">D62/E62-1</f>
        <v>0.152987778368195</v>
      </c>
      <c r="H62" s="5" t="str">
        <f aca="false">IF(F62&gt;0.05*E62,"LIST WORTH MORE THAN CAP: BOUGHT WELL, CANNOT AFFORD OWN PLAYERS AT FAIR VALUE",IF(F62&lt;-0.05*E62,"LIST WORTH LESS THAN CAP: PAYING OVERS AS A GROUP","ROUGHLY FAIR VALUE"))</f>
        <v>LIST WORTH MORE THAN CAP: BOUGHT WELL, CANNOT AFFORD OWN PLAYERS AT FAIR VALUE</v>
      </c>
      <c r="I62" s="5" t="n">
        <v>13.26</v>
      </c>
    </row>
    <row r="63" customFormat="false" ht="15" hidden="false" customHeight="false" outlineLevel="0" collapsed="false">
      <c r="A63" s="5" t="s">
        <v>20</v>
      </c>
      <c r="B63" s="5" t="s">
        <v>303</v>
      </c>
      <c r="C63" s="5" t="s">
        <v>909</v>
      </c>
      <c r="D63" s="13" t="n">
        <f aca="false">Assumptions!$B$7*I63/AVERAGEIFS($I:$I,$A:$A,A63)</f>
        <v>18.8647060528477</v>
      </c>
      <c r="E63" s="13" t="n">
        <f aca="false">Assumptions!$B$7</f>
        <v>15.79</v>
      </c>
      <c r="F63" s="15" t="n">
        <f aca="false">D63-E63</f>
        <v>3.07470605284769</v>
      </c>
      <c r="G63" s="16" t="n">
        <f aca="false">D63/E63-1</f>
        <v>0.19472489251727</v>
      </c>
      <c r="H63" s="5" t="str">
        <f aca="false">IF(F63&gt;0.05*E63,"LIST WORTH MORE THAN CAP: BOUGHT WELL, CANNOT AFFORD OWN PLAYERS AT FAIR VALUE",IF(F63&lt;-0.05*E63,"LIST WORTH LESS THAN CAP: PAYING OVERS AS A GROUP","ROUGHLY FAIR VALUE"))</f>
        <v>LIST WORTH MORE THAN CAP: BOUGHT WELL, CANNOT AFFORD OWN PLAYERS AT FAIR VALUE</v>
      </c>
      <c r="I63" s="5" t="n">
        <v>13.74</v>
      </c>
    </row>
    <row r="64" customFormat="false" ht="15" hidden="false" customHeight="false" outlineLevel="0" collapsed="false">
      <c r="A64" s="5" t="s">
        <v>20</v>
      </c>
      <c r="B64" s="5" t="s">
        <v>339</v>
      </c>
      <c r="C64" s="5" t="s">
        <v>909</v>
      </c>
      <c r="D64" s="13" t="n">
        <f aca="false">Assumptions!$B$7*I64/AVERAGEIFS($I:$I,$A:$A,A64)</f>
        <v>16.6267532969422</v>
      </c>
      <c r="E64" s="13" t="n">
        <f aca="false">Assumptions!$B$7</f>
        <v>15.79</v>
      </c>
      <c r="F64" s="15" t="n">
        <f aca="false">D64-E64</f>
        <v>0.836753296942177</v>
      </c>
      <c r="G64" s="16" t="n">
        <f aca="false">D64/E64-1</f>
        <v>0.0529926090527029</v>
      </c>
      <c r="H64" s="5" t="str">
        <f aca="false">IF(F64&gt;0.05*E64,"LIST WORTH MORE THAN CAP: BOUGHT WELL, CANNOT AFFORD OWN PLAYERS AT FAIR VALUE",IF(F64&lt;-0.05*E64,"LIST WORTH LESS THAN CAP: PAYING OVERS AS A GROUP","ROUGHLY FAIR VALUE"))</f>
        <v>LIST WORTH MORE THAN CAP: BOUGHT WELL, CANNOT AFFORD OWN PLAYERS AT FAIR VALUE</v>
      </c>
      <c r="I64" s="5" t="n">
        <v>12.11</v>
      </c>
    </row>
    <row r="65" customFormat="false" ht="15" hidden="false" customHeight="false" outlineLevel="0" collapsed="false">
      <c r="A65" s="5" t="s">
        <v>20</v>
      </c>
      <c r="B65" s="5" t="s">
        <v>378</v>
      </c>
      <c r="C65" s="5" t="s">
        <v>909</v>
      </c>
      <c r="D65" s="13" t="n">
        <f aca="false">Assumptions!$B$7*I65/AVERAGEIFS($I:$I,$A:$A,A65)</f>
        <v>14.484908941597</v>
      </c>
      <c r="E65" s="13" t="n">
        <f aca="false">Assumptions!$B$7</f>
        <v>15.79</v>
      </c>
      <c r="F65" s="15" t="n">
        <f aca="false">D65-E65</f>
        <v>-1.30509105840298</v>
      </c>
      <c r="G65" s="16" t="n">
        <f aca="false">D65/E65-1</f>
        <v>-0.0826530119317908</v>
      </c>
      <c r="H65" s="5" t="str">
        <f aca="false">IF(F65&gt;0.05*E65,"LIST WORTH MORE THAN CAP: BOUGHT WELL, CANNOT AFFORD OWN PLAYERS AT FAIR VALUE",IF(F65&lt;-0.05*E65,"LIST WORTH LESS THAN CAP: PAYING OVERS AS A GROUP","ROUGHLY FAIR VALUE"))</f>
        <v>LIST WORTH LESS THAN CAP: PAYING OVERS AS A GROUP</v>
      </c>
      <c r="I65" s="5" t="n">
        <v>10.55</v>
      </c>
    </row>
    <row r="66" customFormat="false" ht="15" hidden="false" customHeight="false" outlineLevel="0" collapsed="false">
      <c r="A66" s="5" t="s">
        <v>20</v>
      </c>
      <c r="B66" s="5" t="s">
        <v>417</v>
      </c>
      <c r="C66" s="5" t="s">
        <v>909</v>
      </c>
      <c r="D66" s="13" t="n">
        <f aca="false">Assumptions!$B$7*I66/AVERAGEIFS($I:$I,$A:$A,A66)</f>
        <v>17.1896739287957</v>
      </c>
      <c r="E66" s="13" t="n">
        <f aca="false">Assumptions!$B$7</f>
        <v>15.79</v>
      </c>
      <c r="F66" s="15" t="n">
        <f aca="false">D66-E66</f>
        <v>1.39967392879571</v>
      </c>
      <c r="G66" s="16" t="n">
        <f aca="false">D66/E66-1</f>
        <v>0.0886430607217044</v>
      </c>
      <c r="H66" s="5" t="str">
        <f aca="false">IF(F66&gt;0.05*E66,"LIST WORTH MORE THAN CAP: BOUGHT WELL, CANNOT AFFORD OWN PLAYERS AT FAIR VALUE",IF(F66&lt;-0.05*E66,"LIST WORTH LESS THAN CAP: PAYING OVERS AS A GROUP","ROUGHLY FAIR VALUE"))</f>
        <v>LIST WORTH MORE THAN CAP: BOUGHT WELL, CANNOT AFFORD OWN PLAYERS AT FAIR VALUE</v>
      </c>
      <c r="I66" s="5" t="n">
        <v>12.52</v>
      </c>
    </row>
    <row r="67" customFormat="false" ht="15" hidden="false" customHeight="false" outlineLevel="0" collapsed="false">
      <c r="A67" s="5" t="s">
        <v>20</v>
      </c>
      <c r="B67" s="5" t="s">
        <v>452</v>
      </c>
      <c r="C67" s="5" t="s">
        <v>909</v>
      </c>
      <c r="D67" s="13" t="n">
        <f aca="false">Assumptions!$B$7*I67/AVERAGEIFS($I:$I,$A:$A,A67)</f>
        <v>5.6703956330612</v>
      </c>
      <c r="E67" s="13" t="n">
        <f aca="false">Assumptions!$B$7</f>
        <v>15.79</v>
      </c>
      <c r="F67" s="15" t="n">
        <f aca="false">D67-E67</f>
        <v>-10.1196043669388</v>
      </c>
      <c r="G67" s="16" t="n">
        <f aca="false">D67/E67-1</f>
        <v>-0.640886913675668</v>
      </c>
      <c r="H67" s="5" t="str">
        <f aca="false">IF(F67&gt;0.05*E67,"LIST WORTH MORE THAN CAP: BOUGHT WELL, CANNOT AFFORD OWN PLAYERS AT FAIR VALUE",IF(F67&lt;-0.05*E67,"LIST WORTH LESS THAN CAP: PAYING OVERS AS A GROUP","ROUGHLY FAIR VALUE"))</f>
        <v>LIST WORTH LESS THAN CAP: PAYING OVERS AS A GROUP</v>
      </c>
      <c r="I67" s="5" t="n">
        <v>4.13</v>
      </c>
    </row>
    <row r="68" customFormat="false" ht="15" hidden="false" customHeight="false" outlineLevel="0" collapsed="false">
      <c r="A68" s="5" t="s">
        <v>20</v>
      </c>
      <c r="B68" s="5" t="s">
        <v>491</v>
      </c>
      <c r="C68" s="5" t="s">
        <v>909</v>
      </c>
      <c r="D68" s="13" t="n">
        <f aca="false">Assumptions!$B$7*I68/AVERAGEIFS($I:$I,$A:$A,A68)</f>
        <v>19.3315182841409</v>
      </c>
      <c r="E68" s="13" t="n">
        <f aca="false">Assumptions!$B$7</f>
        <v>15.79</v>
      </c>
      <c r="F68" s="15" t="n">
        <f aca="false">D68-E68</f>
        <v>3.54151828414086</v>
      </c>
      <c r="G68" s="16" t="n">
        <f aca="false">D68/E68-1</f>
        <v>0.224288681706198</v>
      </c>
      <c r="H68" s="5" t="str">
        <f aca="false">IF(F68&gt;0.05*E68,"LIST WORTH MORE THAN CAP: BOUGHT WELL, CANNOT AFFORD OWN PLAYERS AT FAIR VALUE",IF(F68&lt;-0.05*E68,"LIST WORTH LESS THAN CAP: PAYING OVERS AS A GROUP","ROUGHLY FAIR VALUE"))</f>
        <v>LIST WORTH MORE THAN CAP: BOUGHT WELL, CANNOT AFFORD OWN PLAYERS AT FAIR VALUE</v>
      </c>
      <c r="I68" s="5" t="n">
        <v>14.08</v>
      </c>
    </row>
    <row r="69" customFormat="false" ht="15" hidden="false" customHeight="false" outlineLevel="0" collapsed="false">
      <c r="A69" s="5" t="s">
        <v>20</v>
      </c>
      <c r="B69" s="5" t="s">
        <v>527</v>
      </c>
      <c r="C69" s="5" t="s">
        <v>909</v>
      </c>
      <c r="D69" s="13" t="n">
        <f aca="false">Assumptions!$B$7*I69/AVERAGEIFS($I:$I,$A:$A,A69)</f>
        <v>8.23786290517366</v>
      </c>
      <c r="E69" s="13" t="n">
        <f aca="false">Assumptions!$B$7</f>
        <v>15.79</v>
      </c>
      <c r="F69" s="15" t="n">
        <f aca="false">D69-E69</f>
        <v>-7.55213709482634</v>
      </c>
      <c r="G69" s="16" t="n">
        <f aca="false">D69/E69-1</f>
        <v>-0.478286073136563</v>
      </c>
      <c r="H69" s="5" t="str">
        <f aca="false">IF(F69&gt;0.05*E69,"LIST WORTH MORE THAN CAP: BOUGHT WELL, CANNOT AFFORD OWN PLAYERS AT FAIR VALUE",IF(F69&lt;-0.05*E69,"LIST WORTH LESS THAN CAP: PAYING OVERS AS A GROUP","ROUGHLY FAIR VALUE"))</f>
        <v>LIST WORTH LESS THAN CAP: PAYING OVERS AS A GROUP</v>
      </c>
      <c r="I69" s="5" t="n">
        <v>6</v>
      </c>
    </row>
    <row r="70" customFormat="false" ht="15" hidden="false" customHeight="false" outlineLevel="0" collapsed="false">
      <c r="A70" s="5" t="s">
        <v>20</v>
      </c>
      <c r="B70" s="5" t="s">
        <v>567</v>
      </c>
      <c r="C70" s="5" t="s">
        <v>909</v>
      </c>
      <c r="D70" s="13" t="n">
        <f aca="false">Assumptions!$B$7*I70/AVERAGEIFS($I:$I,$A:$A,A70)</f>
        <v>15.1851272885368</v>
      </c>
      <c r="E70" s="13" t="n">
        <f aca="false">Assumptions!$B$7</f>
        <v>15.79</v>
      </c>
      <c r="F70" s="15" t="n">
        <f aca="false">D70-E70</f>
        <v>-0.604872711463216</v>
      </c>
      <c r="G70" s="16" t="n">
        <f aca="false">D70/E70-1</f>
        <v>-0.0383073281483988</v>
      </c>
      <c r="H70" s="5" t="str">
        <f aca="false">IF(F70&gt;0.05*E70,"LIST WORTH MORE THAN CAP: BOUGHT WELL, CANNOT AFFORD OWN PLAYERS AT FAIR VALUE",IF(F70&lt;-0.05*E70,"LIST WORTH LESS THAN CAP: PAYING OVERS AS A GROUP","ROUGHLY FAIR VALUE"))</f>
        <v>ROUGHLY FAIR VALUE</v>
      </c>
      <c r="I70" s="5" t="n">
        <v>11.06</v>
      </c>
    </row>
    <row r="71" customFormat="false" ht="15" hidden="false" customHeight="false" outlineLevel="0" collapsed="false">
      <c r="A71" s="5" t="s">
        <v>20</v>
      </c>
      <c r="B71" s="5" t="s">
        <v>607</v>
      </c>
      <c r="C71" s="5" t="s">
        <v>909</v>
      </c>
      <c r="D71" s="13" t="n">
        <f aca="false">Assumptions!$B$7*I71/AVERAGEIFS($I:$I,$A:$A,A71)</f>
        <v>21.4596328679774</v>
      </c>
      <c r="E71" s="13" t="n">
        <f aca="false">Assumptions!$B$7</f>
        <v>15.79</v>
      </c>
      <c r="F71" s="15" t="n">
        <f aca="false">D71-E71</f>
        <v>5.66963286797739</v>
      </c>
      <c r="G71" s="16" t="n">
        <f aca="false">D71/E71-1</f>
        <v>0.359064779479252</v>
      </c>
      <c r="H71" s="5" t="str">
        <f aca="false">IF(F71&gt;0.05*E71,"LIST WORTH MORE THAN CAP: BOUGHT WELL, CANNOT AFFORD OWN PLAYERS AT FAIR VALUE",IF(F71&lt;-0.05*E71,"LIST WORTH LESS THAN CAP: PAYING OVERS AS A GROUP","ROUGHLY FAIR VALUE"))</f>
        <v>LIST WORTH MORE THAN CAP: BOUGHT WELL, CANNOT AFFORD OWN PLAYERS AT FAIR VALUE</v>
      </c>
      <c r="I71" s="5" t="n">
        <v>15.63</v>
      </c>
    </row>
    <row r="72" customFormat="false" ht="15" hidden="false" customHeight="false" outlineLevel="0" collapsed="false">
      <c r="A72" s="5" t="s">
        <v>20</v>
      </c>
      <c r="B72" s="5" t="s">
        <v>644</v>
      </c>
      <c r="C72" s="5" t="s">
        <v>909</v>
      </c>
      <c r="D72" s="13" t="n">
        <f aca="false">Assumptions!$B$7*I72/AVERAGEIFS($I:$I,$A:$A,A72)</f>
        <v>7.22185981353558</v>
      </c>
      <c r="E72" s="13" t="n">
        <f aca="false">Assumptions!$B$7</f>
        <v>15.79</v>
      </c>
      <c r="F72" s="15" t="n">
        <f aca="false">D72-E72</f>
        <v>-8.56814018646442</v>
      </c>
      <c r="G72" s="16" t="n">
        <f aca="false">D72/E72-1</f>
        <v>-0.542630790783054</v>
      </c>
      <c r="H72" s="5" t="str">
        <f aca="false">IF(F72&gt;0.05*E72,"LIST WORTH MORE THAN CAP: BOUGHT WELL, CANNOT AFFORD OWN PLAYERS AT FAIR VALUE",IF(F72&lt;-0.05*E72,"LIST WORTH LESS THAN CAP: PAYING OVERS AS A GROUP","ROUGHLY FAIR VALUE"))</f>
        <v>LIST WORTH LESS THAN CAP: PAYING OVERS AS A GROUP</v>
      </c>
      <c r="I72" s="5" t="n">
        <v>5.26</v>
      </c>
    </row>
    <row r="73" customFormat="false" ht="15" hidden="false" customHeight="false" outlineLevel="0" collapsed="false">
      <c r="A73" s="5" t="s">
        <v>20</v>
      </c>
      <c r="B73" s="5" t="s">
        <v>681</v>
      </c>
      <c r="C73" s="5" t="s">
        <v>909</v>
      </c>
      <c r="D73" s="13" t="n">
        <f aca="false">Assumptions!$B$7*I73/AVERAGEIFS($I:$I,$A:$A,A73)</f>
        <v>18.6587594802183</v>
      </c>
      <c r="E73" s="13" t="n">
        <f aca="false">Assumptions!$B$7</f>
        <v>15.79</v>
      </c>
      <c r="F73" s="15" t="n">
        <f aca="false">D73-E73</f>
        <v>2.86875948021835</v>
      </c>
      <c r="G73" s="16" t="n">
        <f aca="false">D73/E73-1</f>
        <v>0.181682044345684</v>
      </c>
      <c r="H73" s="5" t="str">
        <f aca="false">IF(F73&gt;0.05*E73,"LIST WORTH MORE THAN CAP: BOUGHT WELL, CANNOT AFFORD OWN PLAYERS AT FAIR VALUE",IF(F73&lt;-0.05*E73,"LIST WORTH LESS THAN CAP: PAYING OVERS AS A GROUP","ROUGHLY FAIR VALUE"))</f>
        <v>LIST WORTH MORE THAN CAP: BOUGHT WELL, CANNOT AFFORD OWN PLAYERS AT FAIR VALUE</v>
      </c>
      <c r="I73" s="5" t="n">
        <v>13.59</v>
      </c>
    </row>
    <row r="74" customFormat="false" ht="15" hidden="false" customHeight="false" outlineLevel="0" collapsed="false">
      <c r="A74" s="5" t="s">
        <v>22</v>
      </c>
      <c r="B74" s="5" t="s">
        <v>35</v>
      </c>
      <c r="C74" s="5" t="s">
        <v>909</v>
      </c>
      <c r="D74" s="13" t="n">
        <f aca="false">Assumptions!$B$8*I74/AVERAGEIFS($I:$I,$A:$A,A74)</f>
        <v>23.8278058252427</v>
      </c>
      <c r="E74" s="13" t="n">
        <f aca="false">Assumptions!$B$8</f>
        <v>17.8</v>
      </c>
      <c r="F74" s="15" t="n">
        <f aca="false">D74-E74</f>
        <v>6.02780582524272</v>
      </c>
      <c r="G74" s="16" t="n">
        <f aca="false">D74/E74-1</f>
        <v>0.338640776699029</v>
      </c>
      <c r="H74" s="5" t="str">
        <f aca="false">IF(F74&gt;0.05*E74,"LIST WORTH MORE THAN CAP: BOUGHT WELL, CANNOT AFFORD OWN PLAYERS AT FAIR VALUE",IF(F74&lt;-0.05*E74,"LIST WORTH LESS THAN CAP: PAYING OVERS AS A GROUP","ROUGHLY FAIR VALUE"))</f>
        <v>LIST WORTH MORE THAN CAP: BOUGHT WELL, CANNOT AFFORD OWN PLAYERS AT FAIR VALUE</v>
      </c>
      <c r="I74" s="5" t="n">
        <v>15.32</v>
      </c>
    </row>
    <row r="75" customFormat="false" ht="15" hidden="false" customHeight="false" outlineLevel="0" collapsed="false">
      <c r="A75" s="5" t="s">
        <v>22</v>
      </c>
      <c r="B75" s="5" t="s">
        <v>73</v>
      </c>
      <c r="C75" s="5" t="s">
        <v>909</v>
      </c>
      <c r="D75" s="13" t="n">
        <f aca="false">Assumptions!$B$8*I75/AVERAGEIFS($I:$I,$A:$A,A75)</f>
        <v>23.4078640776699</v>
      </c>
      <c r="E75" s="13" t="n">
        <f aca="false">Assumptions!$B$8</f>
        <v>17.8</v>
      </c>
      <c r="F75" s="15" t="n">
        <f aca="false">D75-E75</f>
        <v>5.60786407766991</v>
      </c>
      <c r="G75" s="16" t="n">
        <f aca="false">D75/E75-1</f>
        <v>0.31504854368932</v>
      </c>
      <c r="H75" s="5" t="str">
        <f aca="false">IF(F75&gt;0.05*E75,"LIST WORTH MORE THAN CAP: BOUGHT WELL, CANNOT AFFORD OWN PLAYERS AT FAIR VALUE",IF(F75&lt;-0.05*E75,"LIST WORTH LESS THAN CAP: PAYING OVERS AS A GROUP","ROUGHLY FAIR VALUE"))</f>
        <v>LIST WORTH MORE THAN CAP: BOUGHT WELL, CANNOT AFFORD OWN PLAYERS AT FAIR VALUE</v>
      </c>
      <c r="I75" s="5" t="n">
        <v>15.05</v>
      </c>
    </row>
    <row r="76" customFormat="false" ht="15" hidden="false" customHeight="false" outlineLevel="0" collapsed="false">
      <c r="A76" s="5" t="s">
        <v>22</v>
      </c>
      <c r="B76" s="5" t="s">
        <v>106</v>
      </c>
      <c r="C76" s="5" t="s">
        <v>909</v>
      </c>
      <c r="D76" s="13" t="n">
        <f aca="false">Assumptions!$B$8*I76/AVERAGEIFS($I:$I,$A:$A,A76)</f>
        <v>18.0730485436893</v>
      </c>
      <c r="E76" s="13" t="n">
        <f aca="false">Assumptions!$B$8</f>
        <v>17.8</v>
      </c>
      <c r="F76" s="15" t="n">
        <f aca="false">D76-E76</f>
        <v>0.273048543689317</v>
      </c>
      <c r="G76" s="16" t="n">
        <f aca="false">D76/E76-1</f>
        <v>0.0153398058252425</v>
      </c>
      <c r="H76" s="5" t="str">
        <f aca="false">IF(F76&gt;0.05*E76,"LIST WORTH MORE THAN CAP: BOUGHT WELL, CANNOT AFFORD OWN PLAYERS AT FAIR VALUE",IF(F76&lt;-0.05*E76,"LIST WORTH LESS THAN CAP: PAYING OVERS AS A GROUP","ROUGHLY FAIR VALUE"))</f>
        <v>ROUGHLY FAIR VALUE</v>
      </c>
      <c r="I76" s="5" t="n">
        <v>11.62</v>
      </c>
    </row>
    <row r="77" customFormat="false" ht="15" hidden="false" customHeight="false" outlineLevel="0" collapsed="false">
      <c r="A77" s="5" t="s">
        <v>22</v>
      </c>
      <c r="B77" s="5" t="s">
        <v>146</v>
      </c>
      <c r="C77" s="5" t="s">
        <v>909</v>
      </c>
      <c r="D77" s="13" t="n">
        <f aca="false">Assumptions!$B$8*I77/AVERAGEIFS($I:$I,$A:$A,A77)</f>
        <v>23.9366796116505</v>
      </c>
      <c r="E77" s="13" t="n">
        <f aca="false">Assumptions!$B$8</f>
        <v>17.8</v>
      </c>
      <c r="F77" s="15" t="n">
        <f aca="false">D77-E77</f>
        <v>6.13667961165049</v>
      </c>
      <c r="G77" s="16" t="n">
        <f aca="false">D77/E77-1</f>
        <v>0.344757281553398</v>
      </c>
      <c r="H77" s="5" t="str">
        <f aca="false">IF(F77&gt;0.05*E77,"LIST WORTH MORE THAN CAP: BOUGHT WELL, CANNOT AFFORD OWN PLAYERS AT FAIR VALUE",IF(F77&lt;-0.05*E77,"LIST WORTH LESS THAN CAP: PAYING OVERS AS A GROUP","ROUGHLY FAIR VALUE"))</f>
        <v>LIST WORTH MORE THAN CAP: BOUGHT WELL, CANNOT AFFORD OWN PLAYERS AT FAIR VALUE</v>
      </c>
      <c r="I77" s="5" t="n">
        <v>15.39</v>
      </c>
    </row>
    <row r="78" customFormat="false" ht="15" hidden="false" customHeight="false" outlineLevel="0" collapsed="false">
      <c r="A78" s="5" t="s">
        <v>22</v>
      </c>
      <c r="B78" s="5" t="s">
        <v>186</v>
      </c>
      <c r="C78" s="5" t="s">
        <v>909</v>
      </c>
      <c r="D78" s="13" t="n">
        <f aca="false">Assumptions!$B$8*I78/AVERAGEIFS($I:$I,$A:$A,A78)</f>
        <v>10.7785048543689</v>
      </c>
      <c r="E78" s="13" t="n">
        <f aca="false">Assumptions!$B$8</f>
        <v>17.8</v>
      </c>
      <c r="F78" s="15" t="n">
        <f aca="false">D78-E78</f>
        <v>-7.02149514563107</v>
      </c>
      <c r="G78" s="16" t="n">
        <f aca="false">D78/E78-1</f>
        <v>-0.394466019417476</v>
      </c>
      <c r="H78" s="5" t="str">
        <f aca="false">IF(F78&gt;0.05*E78,"LIST WORTH MORE THAN CAP: BOUGHT WELL, CANNOT AFFORD OWN PLAYERS AT FAIR VALUE",IF(F78&lt;-0.05*E78,"LIST WORTH LESS THAN CAP: PAYING OVERS AS A GROUP","ROUGHLY FAIR VALUE"))</f>
        <v>LIST WORTH LESS THAN CAP: PAYING OVERS AS A GROUP</v>
      </c>
      <c r="I78" s="5" t="n">
        <v>6.93</v>
      </c>
    </row>
    <row r="79" customFormat="false" ht="15" hidden="false" customHeight="false" outlineLevel="0" collapsed="false">
      <c r="A79" s="5" t="s">
        <v>22</v>
      </c>
      <c r="B79" s="5" t="s">
        <v>224</v>
      </c>
      <c r="C79" s="5" t="s">
        <v>909</v>
      </c>
      <c r="D79" s="13" t="n">
        <f aca="false">Assumptions!$B$8*I79/AVERAGEIFS($I:$I,$A:$A,A79)</f>
        <v>21.5725631067961</v>
      </c>
      <c r="E79" s="13" t="n">
        <f aca="false">Assumptions!$B$8</f>
        <v>17.8</v>
      </c>
      <c r="F79" s="15" t="n">
        <f aca="false">D79-E79</f>
        <v>3.77256310679612</v>
      </c>
      <c r="G79" s="16" t="n">
        <f aca="false">D79/E79-1</f>
        <v>0.211941747572816</v>
      </c>
      <c r="H79" s="5" t="str">
        <f aca="false">IF(F79&gt;0.05*E79,"LIST WORTH MORE THAN CAP: BOUGHT WELL, CANNOT AFFORD OWN PLAYERS AT FAIR VALUE",IF(F79&lt;-0.05*E79,"LIST WORTH LESS THAN CAP: PAYING OVERS AS A GROUP","ROUGHLY FAIR VALUE"))</f>
        <v>LIST WORTH MORE THAN CAP: BOUGHT WELL, CANNOT AFFORD OWN PLAYERS AT FAIR VALUE</v>
      </c>
      <c r="I79" s="5" t="n">
        <v>13.87</v>
      </c>
    </row>
    <row r="80" customFormat="false" ht="15" hidden="false" customHeight="false" outlineLevel="0" collapsed="false">
      <c r="A80" s="5" t="s">
        <v>22</v>
      </c>
      <c r="B80" s="5" t="s">
        <v>264</v>
      </c>
      <c r="C80" s="5" t="s">
        <v>909</v>
      </c>
      <c r="D80" s="13" t="n">
        <f aca="false">Assumptions!$B$8*I80/AVERAGEIFS($I:$I,$A:$A,A80)</f>
        <v>20.6704660194175</v>
      </c>
      <c r="E80" s="13" t="n">
        <f aca="false">Assumptions!$B$8</f>
        <v>17.8</v>
      </c>
      <c r="F80" s="15" t="n">
        <f aca="false">D80-E80</f>
        <v>2.87046601941747</v>
      </c>
      <c r="G80" s="16" t="n">
        <f aca="false">D80/E80-1</f>
        <v>0.16126213592233</v>
      </c>
      <c r="H80" s="5" t="str">
        <f aca="false">IF(F80&gt;0.05*E80,"LIST WORTH MORE THAN CAP: BOUGHT WELL, CANNOT AFFORD OWN PLAYERS AT FAIR VALUE",IF(F80&lt;-0.05*E80,"LIST WORTH LESS THAN CAP: PAYING OVERS AS A GROUP","ROUGHLY FAIR VALUE"))</f>
        <v>LIST WORTH MORE THAN CAP: BOUGHT WELL, CANNOT AFFORD OWN PLAYERS AT FAIR VALUE</v>
      </c>
      <c r="I80" s="5" t="n">
        <v>13.29</v>
      </c>
    </row>
    <row r="81" customFormat="false" ht="15" hidden="false" customHeight="false" outlineLevel="0" collapsed="false">
      <c r="A81" s="5" t="s">
        <v>22</v>
      </c>
      <c r="B81" s="5" t="s">
        <v>303</v>
      </c>
      <c r="C81" s="5" t="s">
        <v>909</v>
      </c>
      <c r="D81" s="13" t="n">
        <f aca="false">Assumptions!$B$8*I81/AVERAGEIFS($I:$I,$A:$A,A81)</f>
        <v>25.320932038835</v>
      </c>
      <c r="E81" s="13" t="n">
        <f aca="false">Assumptions!$B$8</f>
        <v>17.8</v>
      </c>
      <c r="F81" s="15" t="n">
        <f aca="false">D81-E81</f>
        <v>7.52093203883495</v>
      </c>
      <c r="G81" s="16" t="n">
        <f aca="false">D81/E81-1</f>
        <v>0.42252427184466</v>
      </c>
      <c r="H81" s="5" t="str">
        <f aca="false">IF(F81&gt;0.05*E81,"LIST WORTH MORE THAN CAP: BOUGHT WELL, CANNOT AFFORD OWN PLAYERS AT FAIR VALUE",IF(F81&lt;-0.05*E81,"LIST WORTH LESS THAN CAP: PAYING OVERS AS A GROUP","ROUGHLY FAIR VALUE"))</f>
        <v>LIST WORTH MORE THAN CAP: BOUGHT WELL, CANNOT AFFORD OWN PLAYERS AT FAIR VALUE</v>
      </c>
      <c r="I81" s="5" t="n">
        <v>16.28</v>
      </c>
    </row>
    <row r="82" customFormat="false" ht="15" hidden="false" customHeight="false" outlineLevel="0" collapsed="false">
      <c r="A82" s="5" t="s">
        <v>22</v>
      </c>
      <c r="B82" s="5" t="s">
        <v>339</v>
      </c>
      <c r="C82" s="5" t="s">
        <v>909</v>
      </c>
      <c r="D82" s="13" t="n">
        <f aca="false">Assumptions!$B$8*I82/AVERAGEIFS($I:$I,$A:$A,A82)</f>
        <v>20.9037669902913</v>
      </c>
      <c r="E82" s="13" t="n">
        <f aca="false">Assumptions!$B$8</f>
        <v>17.8</v>
      </c>
      <c r="F82" s="15" t="n">
        <f aca="false">D82-E82</f>
        <v>3.10376699029126</v>
      </c>
      <c r="G82" s="16" t="n">
        <f aca="false">D82/E82-1</f>
        <v>0.174368932038835</v>
      </c>
      <c r="H82" s="5" t="str">
        <f aca="false">IF(F82&gt;0.05*E82,"LIST WORTH MORE THAN CAP: BOUGHT WELL, CANNOT AFFORD OWN PLAYERS AT FAIR VALUE",IF(F82&lt;-0.05*E82,"LIST WORTH LESS THAN CAP: PAYING OVERS AS A GROUP","ROUGHLY FAIR VALUE"))</f>
        <v>LIST WORTH MORE THAN CAP: BOUGHT WELL, CANNOT AFFORD OWN PLAYERS AT FAIR VALUE</v>
      </c>
      <c r="I82" s="5" t="n">
        <v>13.44</v>
      </c>
    </row>
    <row r="83" customFormat="false" ht="15" hidden="false" customHeight="false" outlineLevel="0" collapsed="false">
      <c r="A83" s="5" t="s">
        <v>22</v>
      </c>
      <c r="B83" s="5" t="s">
        <v>378</v>
      </c>
      <c r="C83" s="5" t="s">
        <v>909</v>
      </c>
      <c r="D83" s="13" t="n">
        <f aca="false">Assumptions!$B$8*I83/AVERAGEIFS($I:$I,$A:$A,A83)</f>
        <v>22.2569126213592</v>
      </c>
      <c r="E83" s="13" t="n">
        <f aca="false">Assumptions!$B$8</f>
        <v>17.8</v>
      </c>
      <c r="F83" s="15" t="n">
        <f aca="false">D83-E83</f>
        <v>4.45691262135922</v>
      </c>
      <c r="G83" s="16" t="n">
        <f aca="false">D83/E83-1</f>
        <v>0.250388349514563</v>
      </c>
      <c r="H83" s="5" t="str">
        <f aca="false">IF(F83&gt;0.05*E83,"LIST WORTH MORE THAN CAP: BOUGHT WELL, CANNOT AFFORD OWN PLAYERS AT FAIR VALUE",IF(F83&lt;-0.05*E83,"LIST WORTH LESS THAN CAP: PAYING OVERS AS A GROUP","ROUGHLY FAIR VALUE"))</f>
        <v>LIST WORTH MORE THAN CAP: BOUGHT WELL, CANNOT AFFORD OWN PLAYERS AT FAIR VALUE</v>
      </c>
      <c r="I83" s="5" t="n">
        <v>14.31</v>
      </c>
    </row>
    <row r="84" customFormat="false" ht="15" hidden="false" customHeight="false" outlineLevel="0" collapsed="false">
      <c r="A84" s="5" t="s">
        <v>22</v>
      </c>
      <c r="B84" s="5" t="s">
        <v>417</v>
      </c>
      <c r="C84" s="5" t="s">
        <v>909</v>
      </c>
      <c r="D84" s="13" t="n">
        <f aca="false">Assumptions!$B$8*I84/AVERAGEIFS($I:$I,$A:$A,A84)</f>
        <v>16.0044466019417</v>
      </c>
      <c r="E84" s="13" t="n">
        <f aca="false">Assumptions!$B$8</f>
        <v>17.8</v>
      </c>
      <c r="F84" s="15" t="n">
        <f aca="false">D84-E84</f>
        <v>-1.79555339805825</v>
      </c>
      <c r="G84" s="16" t="n">
        <f aca="false">D84/E84-1</f>
        <v>-0.100873786407767</v>
      </c>
      <c r="H84" s="5" t="str">
        <f aca="false">IF(F84&gt;0.05*E84,"LIST WORTH MORE THAN CAP: BOUGHT WELL, CANNOT AFFORD OWN PLAYERS AT FAIR VALUE",IF(F84&lt;-0.05*E84,"LIST WORTH LESS THAN CAP: PAYING OVERS AS A GROUP","ROUGHLY FAIR VALUE"))</f>
        <v>LIST WORTH LESS THAN CAP: PAYING OVERS AS A GROUP</v>
      </c>
      <c r="I84" s="5" t="n">
        <v>10.29</v>
      </c>
    </row>
    <row r="85" customFormat="false" ht="15" hidden="false" customHeight="false" outlineLevel="0" collapsed="false">
      <c r="A85" s="5" t="s">
        <v>22</v>
      </c>
      <c r="B85" s="5" t="s">
        <v>452</v>
      </c>
      <c r="C85" s="5" t="s">
        <v>909</v>
      </c>
      <c r="D85" s="13" t="n">
        <f aca="false">Assumptions!$B$8*I85/AVERAGEIFS($I:$I,$A:$A,A85)</f>
        <v>8.64768932038835</v>
      </c>
      <c r="E85" s="13" t="n">
        <f aca="false">Assumptions!$B$8</f>
        <v>17.8</v>
      </c>
      <c r="F85" s="15" t="n">
        <f aca="false">D85-E85</f>
        <v>-9.15231067961165</v>
      </c>
      <c r="G85" s="16" t="n">
        <f aca="false">D85/E85-1</f>
        <v>-0.514174757281553</v>
      </c>
      <c r="H85" s="5" t="str">
        <f aca="false">IF(F85&gt;0.05*E85,"LIST WORTH MORE THAN CAP: BOUGHT WELL, CANNOT AFFORD OWN PLAYERS AT FAIR VALUE",IF(F85&lt;-0.05*E85,"LIST WORTH LESS THAN CAP: PAYING OVERS AS A GROUP","ROUGHLY FAIR VALUE"))</f>
        <v>LIST WORTH LESS THAN CAP: PAYING OVERS AS A GROUP</v>
      </c>
      <c r="I85" s="5" t="n">
        <v>5.56</v>
      </c>
    </row>
    <row r="86" customFormat="false" ht="15" hidden="false" customHeight="false" outlineLevel="0" collapsed="false">
      <c r="A86" s="5" t="s">
        <v>22</v>
      </c>
      <c r="B86" s="5" t="s">
        <v>491</v>
      </c>
      <c r="C86" s="5" t="s">
        <v>909</v>
      </c>
      <c r="D86" s="13" t="n">
        <f aca="false">Assumptions!$B$8*I86/AVERAGEIFS($I:$I,$A:$A,A86)</f>
        <v>13.3448155339806</v>
      </c>
      <c r="E86" s="13" t="n">
        <f aca="false">Assumptions!$B$8</f>
        <v>17.8</v>
      </c>
      <c r="F86" s="15" t="n">
        <f aca="false">D86-E86</f>
        <v>-4.45518446601942</v>
      </c>
      <c r="G86" s="16" t="n">
        <f aca="false">D86/E86-1</f>
        <v>-0.250291262135922</v>
      </c>
      <c r="H86" s="5" t="str">
        <f aca="false">IF(F86&gt;0.05*E86,"LIST WORTH MORE THAN CAP: BOUGHT WELL, CANNOT AFFORD OWN PLAYERS AT FAIR VALUE",IF(F86&lt;-0.05*E86,"LIST WORTH LESS THAN CAP: PAYING OVERS AS A GROUP","ROUGHLY FAIR VALUE"))</f>
        <v>LIST WORTH LESS THAN CAP: PAYING OVERS AS A GROUP</v>
      </c>
      <c r="I86" s="5" t="n">
        <v>8.58</v>
      </c>
    </row>
    <row r="87" customFormat="false" ht="15" hidden="false" customHeight="false" outlineLevel="0" collapsed="false">
      <c r="A87" s="5" t="s">
        <v>22</v>
      </c>
      <c r="B87" s="5" t="s">
        <v>527</v>
      </c>
      <c r="C87" s="5" t="s">
        <v>909</v>
      </c>
      <c r="D87" s="13" t="n">
        <f aca="false">Assumptions!$B$8*I87/AVERAGEIFS($I:$I,$A:$A,A87)</f>
        <v>7.31009708737864</v>
      </c>
      <c r="E87" s="13" t="n">
        <f aca="false">Assumptions!$B$8</f>
        <v>17.8</v>
      </c>
      <c r="F87" s="15" t="n">
        <f aca="false">D87-E87</f>
        <v>-10.4899029126214</v>
      </c>
      <c r="G87" s="16" t="n">
        <f aca="false">D87/E87-1</f>
        <v>-0.589320388349515</v>
      </c>
      <c r="H87" s="5" t="str">
        <f aca="false">IF(F87&gt;0.05*E87,"LIST WORTH MORE THAN CAP: BOUGHT WELL, CANNOT AFFORD OWN PLAYERS AT FAIR VALUE",IF(F87&lt;-0.05*E87,"LIST WORTH LESS THAN CAP: PAYING OVERS AS A GROUP","ROUGHLY FAIR VALUE"))</f>
        <v>LIST WORTH LESS THAN CAP: PAYING OVERS AS A GROUP</v>
      </c>
      <c r="I87" s="5" t="n">
        <v>4.7</v>
      </c>
    </row>
    <row r="88" customFormat="false" ht="15" hidden="false" customHeight="false" outlineLevel="0" collapsed="false">
      <c r="A88" s="5" t="s">
        <v>22</v>
      </c>
      <c r="B88" s="5" t="s">
        <v>567</v>
      </c>
      <c r="C88" s="5" t="s">
        <v>909</v>
      </c>
      <c r="D88" s="13" t="n">
        <f aca="false">Assumptions!$B$8*I88/AVERAGEIFS($I:$I,$A:$A,A88)</f>
        <v>14.3091262135922</v>
      </c>
      <c r="E88" s="13" t="n">
        <f aca="false">Assumptions!$B$8</f>
        <v>17.8</v>
      </c>
      <c r="F88" s="15" t="n">
        <f aca="false">D88-E88</f>
        <v>-3.49087378640777</v>
      </c>
      <c r="G88" s="16" t="n">
        <f aca="false">D88/E88-1</f>
        <v>-0.196116504854369</v>
      </c>
      <c r="H88" s="5" t="str">
        <f aca="false">IF(F88&gt;0.05*E88,"LIST WORTH MORE THAN CAP: BOUGHT WELL, CANNOT AFFORD OWN PLAYERS AT FAIR VALUE",IF(F88&lt;-0.05*E88,"LIST WORTH LESS THAN CAP: PAYING OVERS AS A GROUP","ROUGHLY FAIR VALUE"))</f>
        <v>LIST WORTH LESS THAN CAP: PAYING OVERS AS A GROUP</v>
      </c>
      <c r="I88" s="5" t="n">
        <v>9.2</v>
      </c>
    </row>
    <row r="89" customFormat="false" ht="15" hidden="false" customHeight="false" outlineLevel="0" collapsed="false">
      <c r="A89" s="5" t="s">
        <v>22</v>
      </c>
      <c r="B89" s="5" t="s">
        <v>607</v>
      </c>
      <c r="C89" s="5" t="s">
        <v>909</v>
      </c>
      <c r="D89" s="13" t="n">
        <f aca="false">Assumptions!$B$8*I89/AVERAGEIFS($I:$I,$A:$A,A89)</f>
        <v>18.4774368932039</v>
      </c>
      <c r="E89" s="13" t="n">
        <f aca="false">Assumptions!$B$8</f>
        <v>17.8</v>
      </c>
      <c r="F89" s="15" t="n">
        <f aca="false">D89-E89</f>
        <v>0.677436893203886</v>
      </c>
      <c r="G89" s="16" t="n">
        <f aca="false">D89/E89-1</f>
        <v>0.0380582524271846</v>
      </c>
      <c r="H89" s="5" t="str">
        <f aca="false">IF(F89&gt;0.05*E89,"LIST WORTH MORE THAN CAP: BOUGHT WELL, CANNOT AFFORD OWN PLAYERS AT FAIR VALUE",IF(F89&lt;-0.05*E89,"LIST WORTH LESS THAN CAP: PAYING OVERS AS A GROUP","ROUGHLY FAIR VALUE"))</f>
        <v>ROUGHLY FAIR VALUE</v>
      </c>
      <c r="I89" s="5" t="n">
        <v>11.88</v>
      </c>
    </row>
    <row r="90" customFormat="false" ht="15" hidden="false" customHeight="false" outlineLevel="0" collapsed="false">
      <c r="A90" s="5" t="s">
        <v>22</v>
      </c>
      <c r="B90" s="5" t="s">
        <v>644</v>
      </c>
      <c r="C90" s="5" t="s">
        <v>909</v>
      </c>
      <c r="D90" s="13" t="n">
        <f aca="false">Assumptions!$B$8*I90/AVERAGEIFS($I:$I,$A:$A,A90)</f>
        <v>8.38328155339806</v>
      </c>
      <c r="E90" s="13" t="n">
        <f aca="false">Assumptions!$B$8</f>
        <v>17.8</v>
      </c>
      <c r="F90" s="15" t="n">
        <f aca="false">D90-E90</f>
        <v>-9.41671844660194</v>
      </c>
      <c r="G90" s="16" t="n">
        <f aca="false">D90/E90-1</f>
        <v>-0.529029126213592</v>
      </c>
      <c r="H90" s="5" t="str">
        <f aca="false">IF(F90&gt;0.05*E90,"LIST WORTH MORE THAN CAP: BOUGHT WELL, CANNOT AFFORD OWN PLAYERS AT FAIR VALUE",IF(F90&lt;-0.05*E90,"LIST WORTH LESS THAN CAP: PAYING OVERS AS A GROUP","ROUGHLY FAIR VALUE"))</f>
        <v>LIST WORTH LESS THAN CAP: PAYING OVERS AS A GROUP</v>
      </c>
      <c r="I90" s="5" t="n">
        <v>5.39</v>
      </c>
    </row>
    <row r="91" customFormat="false" ht="15" hidden="false" customHeight="false" outlineLevel="0" collapsed="false">
      <c r="A91" s="5" t="s">
        <v>22</v>
      </c>
      <c r="B91" s="5" t="s">
        <v>681</v>
      </c>
      <c r="C91" s="5" t="s">
        <v>909</v>
      </c>
      <c r="D91" s="13" t="n">
        <f aca="false">Assumptions!$B$8*I91/AVERAGEIFS($I:$I,$A:$A,A91)</f>
        <v>23.1745631067961</v>
      </c>
      <c r="E91" s="13" t="n">
        <f aca="false">Assumptions!$B$8</f>
        <v>17.8</v>
      </c>
      <c r="F91" s="15" t="n">
        <f aca="false">D91-E91</f>
        <v>5.37456310679612</v>
      </c>
      <c r="G91" s="16" t="n">
        <f aca="false">D91/E91-1</f>
        <v>0.301941747572815</v>
      </c>
      <c r="H91" s="5" t="str">
        <f aca="false">IF(F91&gt;0.05*E91,"LIST WORTH MORE THAN CAP: BOUGHT WELL, CANNOT AFFORD OWN PLAYERS AT FAIR VALUE",IF(F91&lt;-0.05*E91,"LIST WORTH LESS THAN CAP: PAYING OVERS AS A GROUP","ROUGHLY FAIR VALUE"))</f>
        <v>LIST WORTH MORE THAN CAP: BOUGHT WELL, CANNOT AFFORD OWN PLAYERS AT FAIR VALUE</v>
      </c>
      <c r="I91" s="5" t="n">
        <v>14.9</v>
      </c>
    </row>
  </sheetData>
  <autoFilter ref="A1:H9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5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"/>
    <col collapsed="false" customWidth="true" hidden="false" outlineLevel="0" max="2" min="2" style="0" width="24"/>
    <col collapsed="false" customWidth="true" hidden="false" outlineLevel="0" max="3" min="3" style="0" width="8"/>
    <col collapsed="false" customWidth="true" hidden="false" outlineLevel="0" max="5" min="4" style="0" width="9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2"/>
  </cols>
  <sheetData>
    <row r="1" customFormat="false" ht="15" hidden="false" customHeight="false" outlineLevel="0" collapsed="false">
      <c r="A1" s="9" t="s">
        <v>910</v>
      </c>
    </row>
    <row r="3" customFormat="false" ht="15" hidden="false" customHeight="false" outlineLevel="0" collapsed="false">
      <c r="A3" s="17" t="s">
        <v>911</v>
      </c>
    </row>
    <row r="4" customFormat="false" ht="15" hidden="false" customHeight="false" outlineLevel="0" collapsed="false">
      <c r="A4" s="4" t="s">
        <v>25</v>
      </c>
      <c r="B4" s="4" t="s">
        <v>26</v>
      </c>
      <c r="C4" s="4" t="s">
        <v>27</v>
      </c>
      <c r="D4" s="4" t="s">
        <v>908</v>
      </c>
      <c r="E4" s="4" t="s">
        <v>912</v>
      </c>
      <c r="F4" s="4" t="s">
        <v>29</v>
      </c>
      <c r="G4" s="4" t="s">
        <v>913</v>
      </c>
      <c r="H4" s="4" t="s">
        <v>914</v>
      </c>
    </row>
    <row r="5" customFormat="false" ht="15" hidden="false" customHeight="false" outlineLevel="0" collapsed="false">
      <c r="A5" s="18" t="s">
        <v>567</v>
      </c>
      <c r="B5" s="18" t="s">
        <v>806</v>
      </c>
      <c r="C5" s="18" t="n">
        <v>23</v>
      </c>
      <c r="D5" s="18" t="n">
        <v>5.07</v>
      </c>
      <c r="E5" s="18" t="n">
        <v>7</v>
      </c>
      <c r="F5" s="19" t="n">
        <v>758</v>
      </c>
      <c r="G5" s="18" t="s">
        <v>915</v>
      </c>
      <c r="H5" s="19" t="n">
        <v>563</v>
      </c>
    </row>
    <row r="6" customFormat="false" ht="15" hidden="false" customHeight="false" outlineLevel="0" collapsed="false">
      <c r="A6" s="18" t="s">
        <v>106</v>
      </c>
      <c r="B6" s="18" t="s">
        <v>109</v>
      </c>
      <c r="C6" s="18" t="n">
        <v>26</v>
      </c>
      <c r="D6" s="18" t="n">
        <v>7.48</v>
      </c>
      <c r="E6" s="18" t="n">
        <v>84</v>
      </c>
      <c r="F6" s="19" t="n">
        <v>1119</v>
      </c>
      <c r="G6" s="18" t="s">
        <v>916</v>
      </c>
      <c r="H6" s="19" t="n">
        <v>529</v>
      </c>
    </row>
    <row r="7" customFormat="false" ht="15" hidden="false" customHeight="false" outlineLevel="0" collapsed="false">
      <c r="A7" s="18" t="s">
        <v>264</v>
      </c>
      <c r="B7" s="18" t="s">
        <v>283</v>
      </c>
      <c r="C7" s="18" t="n">
        <v>17</v>
      </c>
      <c r="D7" s="18" t="n">
        <v>4.75</v>
      </c>
      <c r="E7" s="18" t="n">
        <v>9</v>
      </c>
      <c r="F7" s="19" t="n">
        <v>711</v>
      </c>
      <c r="G7" s="18" t="s">
        <v>915</v>
      </c>
      <c r="H7" s="19" t="n">
        <v>516</v>
      </c>
    </row>
    <row r="8" customFormat="false" ht="15" hidden="false" customHeight="false" outlineLevel="0" collapsed="false">
      <c r="A8" s="18" t="s">
        <v>264</v>
      </c>
      <c r="B8" s="18" t="s">
        <v>275</v>
      </c>
      <c r="C8" s="18" t="n">
        <v>26</v>
      </c>
      <c r="D8" s="18" t="n">
        <v>4.73</v>
      </c>
      <c r="E8" s="18" t="n">
        <v>17</v>
      </c>
      <c r="F8" s="19" t="n">
        <v>708</v>
      </c>
      <c r="G8" s="18" t="s">
        <v>915</v>
      </c>
      <c r="H8" s="19" t="n">
        <v>513</v>
      </c>
    </row>
    <row r="9" customFormat="false" ht="15" hidden="false" customHeight="false" outlineLevel="0" collapsed="false">
      <c r="A9" s="18" t="s">
        <v>607</v>
      </c>
      <c r="B9" s="18" t="s">
        <v>616</v>
      </c>
      <c r="C9" s="18" t="n">
        <v>24</v>
      </c>
      <c r="D9" s="18" t="n">
        <v>7.29</v>
      </c>
      <c r="E9" s="18" t="n">
        <v>43</v>
      </c>
      <c r="F9" s="19" t="n">
        <v>1090</v>
      </c>
      <c r="G9" s="18" t="s">
        <v>916</v>
      </c>
      <c r="H9" s="19" t="n">
        <v>500</v>
      </c>
    </row>
    <row r="10" customFormat="false" ht="15" hidden="false" customHeight="false" outlineLevel="0" collapsed="false">
      <c r="A10" s="18" t="s">
        <v>35</v>
      </c>
      <c r="B10" s="18" t="s">
        <v>58</v>
      </c>
      <c r="C10" s="18" t="n">
        <v>22</v>
      </c>
      <c r="D10" s="18" t="n">
        <v>4.52</v>
      </c>
      <c r="E10" s="18" t="n">
        <v>21</v>
      </c>
      <c r="F10" s="19" t="n">
        <v>677</v>
      </c>
      <c r="G10" s="18" t="s">
        <v>915</v>
      </c>
      <c r="H10" s="19" t="n">
        <v>482</v>
      </c>
    </row>
    <row r="11" customFormat="false" ht="15" hidden="false" customHeight="false" outlineLevel="0" collapsed="false">
      <c r="A11" s="18" t="s">
        <v>35</v>
      </c>
      <c r="B11" s="18" t="s">
        <v>69</v>
      </c>
      <c r="C11" s="18" t="n">
        <v>22</v>
      </c>
      <c r="D11" s="18" t="n">
        <v>7.1</v>
      </c>
      <c r="E11" s="18" t="n">
        <v>154</v>
      </c>
      <c r="F11" s="19" t="n">
        <v>1063</v>
      </c>
      <c r="G11" s="18" t="s">
        <v>916</v>
      </c>
      <c r="H11" s="19" t="n">
        <v>473</v>
      </c>
    </row>
    <row r="12" customFormat="false" ht="15" hidden="false" customHeight="false" outlineLevel="0" collapsed="false">
      <c r="A12" s="18" t="s">
        <v>378</v>
      </c>
      <c r="B12" s="18" t="s">
        <v>398</v>
      </c>
      <c r="C12" s="18" t="n">
        <v>23</v>
      </c>
      <c r="D12" s="18" t="n">
        <v>5.99</v>
      </c>
      <c r="E12" s="18" t="n">
        <v>79</v>
      </c>
      <c r="F12" s="19" t="n">
        <v>897</v>
      </c>
      <c r="G12" s="18" t="s">
        <v>917</v>
      </c>
      <c r="H12" s="19" t="n">
        <v>457</v>
      </c>
    </row>
    <row r="13" customFormat="false" ht="15" hidden="false" customHeight="false" outlineLevel="0" collapsed="false">
      <c r="A13" s="18" t="s">
        <v>73</v>
      </c>
      <c r="B13" s="18" t="s">
        <v>93</v>
      </c>
      <c r="C13" s="18" t="n">
        <v>26</v>
      </c>
      <c r="D13" s="18" t="n">
        <v>6.95</v>
      </c>
      <c r="E13" s="18" t="n">
        <v>125</v>
      </c>
      <c r="F13" s="19" t="n">
        <v>1040</v>
      </c>
      <c r="G13" s="18" t="s">
        <v>916</v>
      </c>
      <c r="H13" s="19" t="n">
        <v>450</v>
      </c>
    </row>
    <row r="14" customFormat="false" ht="15" hidden="false" customHeight="false" outlineLevel="0" collapsed="false">
      <c r="A14" s="18" t="s">
        <v>527</v>
      </c>
      <c r="B14" s="18" t="s">
        <v>298</v>
      </c>
      <c r="C14" s="18" t="n">
        <v>23</v>
      </c>
      <c r="D14" s="18" t="n">
        <v>6.91</v>
      </c>
      <c r="E14" s="18" t="n">
        <v>114</v>
      </c>
      <c r="F14" s="19" t="n">
        <v>1035</v>
      </c>
      <c r="G14" s="18" t="s">
        <v>916</v>
      </c>
      <c r="H14" s="19" t="n">
        <v>445</v>
      </c>
    </row>
    <row r="15" customFormat="false" ht="15" hidden="false" customHeight="false" outlineLevel="0" collapsed="false">
      <c r="A15" s="18" t="s">
        <v>378</v>
      </c>
      <c r="B15" s="18" t="s">
        <v>416</v>
      </c>
      <c r="C15" s="18" t="n">
        <v>21</v>
      </c>
      <c r="D15" s="18" t="n">
        <v>5.06</v>
      </c>
      <c r="E15" s="18" t="n">
        <v>33</v>
      </c>
      <c r="F15" s="19" t="n">
        <v>757</v>
      </c>
      <c r="G15" s="18" t="s">
        <v>918</v>
      </c>
      <c r="H15" s="19" t="n">
        <v>442</v>
      </c>
    </row>
    <row r="16" customFormat="false" ht="15" hidden="false" customHeight="false" outlineLevel="0" collapsed="false">
      <c r="A16" s="18" t="s">
        <v>339</v>
      </c>
      <c r="B16" s="18" t="s">
        <v>365</v>
      </c>
      <c r="C16" s="18" t="n">
        <v>23</v>
      </c>
      <c r="D16" s="18" t="n">
        <v>6.83</v>
      </c>
      <c r="E16" s="18" t="n">
        <v>39</v>
      </c>
      <c r="F16" s="19" t="n">
        <v>1022</v>
      </c>
      <c r="G16" s="18" t="s">
        <v>916</v>
      </c>
      <c r="H16" s="19" t="n">
        <v>432</v>
      </c>
    </row>
    <row r="17" customFormat="false" ht="15" hidden="false" customHeight="false" outlineLevel="0" collapsed="false">
      <c r="A17" s="18" t="s">
        <v>224</v>
      </c>
      <c r="B17" s="18" t="s">
        <v>233</v>
      </c>
      <c r="C17" s="18" t="n">
        <v>22</v>
      </c>
      <c r="D17" s="18" t="n">
        <v>6.83</v>
      </c>
      <c r="E17" s="18" t="n">
        <v>58</v>
      </c>
      <c r="F17" s="19" t="n">
        <v>1022</v>
      </c>
      <c r="G17" s="18" t="s">
        <v>916</v>
      </c>
      <c r="H17" s="19" t="n">
        <v>432</v>
      </c>
    </row>
    <row r="18" customFormat="false" ht="15" hidden="false" customHeight="false" outlineLevel="0" collapsed="false">
      <c r="A18" s="18" t="s">
        <v>186</v>
      </c>
      <c r="B18" s="18" t="s">
        <v>208</v>
      </c>
      <c r="C18" s="18" t="n">
        <v>23</v>
      </c>
      <c r="D18" s="18" t="n">
        <v>5.77</v>
      </c>
      <c r="E18" s="18" t="n">
        <v>107</v>
      </c>
      <c r="F18" s="19" t="n">
        <v>864</v>
      </c>
      <c r="G18" s="18" t="s">
        <v>917</v>
      </c>
      <c r="H18" s="19" t="n">
        <v>424</v>
      </c>
    </row>
    <row r="19" customFormat="false" ht="15" hidden="false" customHeight="false" outlineLevel="0" collapsed="false">
      <c r="A19" s="18" t="s">
        <v>264</v>
      </c>
      <c r="B19" s="18" t="s">
        <v>299</v>
      </c>
      <c r="C19" s="18" t="n">
        <v>24</v>
      </c>
      <c r="D19" s="18" t="n">
        <v>6.75</v>
      </c>
      <c r="E19" s="18" t="n">
        <v>138</v>
      </c>
      <c r="F19" s="19" t="n">
        <v>1010</v>
      </c>
      <c r="G19" s="18" t="s">
        <v>916</v>
      </c>
      <c r="H19" s="19" t="n">
        <v>420</v>
      </c>
    </row>
    <row r="20" customFormat="false" ht="15" hidden="false" customHeight="false" outlineLevel="0" collapsed="false">
      <c r="A20" s="18" t="s">
        <v>607</v>
      </c>
      <c r="B20" s="18" t="s">
        <v>619</v>
      </c>
      <c r="C20" s="18" t="n">
        <v>22</v>
      </c>
      <c r="D20" s="18" t="n">
        <v>4.89</v>
      </c>
      <c r="E20" s="18" t="n">
        <v>31</v>
      </c>
      <c r="F20" s="19" t="n">
        <v>732</v>
      </c>
      <c r="G20" s="18" t="s">
        <v>918</v>
      </c>
      <c r="H20" s="19" t="n">
        <v>417</v>
      </c>
    </row>
    <row r="21" customFormat="false" ht="15" hidden="false" customHeight="false" outlineLevel="0" collapsed="false">
      <c r="A21" s="18" t="s">
        <v>452</v>
      </c>
      <c r="B21" s="18" t="s">
        <v>877</v>
      </c>
      <c r="C21" s="18" t="n">
        <v>23</v>
      </c>
      <c r="D21" s="18" t="n">
        <v>4.86</v>
      </c>
      <c r="E21" s="18" t="n">
        <v>0</v>
      </c>
      <c r="F21" s="19" t="n">
        <v>728</v>
      </c>
      <c r="G21" s="18" t="s">
        <v>918</v>
      </c>
      <c r="H21" s="19" t="n">
        <v>413</v>
      </c>
    </row>
    <row r="22" customFormat="false" ht="15" hidden="false" customHeight="false" outlineLevel="0" collapsed="false">
      <c r="A22" s="18" t="s">
        <v>681</v>
      </c>
      <c r="B22" s="18" t="s">
        <v>696</v>
      </c>
      <c r="C22" s="18" t="n">
        <v>23</v>
      </c>
      <c r="D22" s="18" t="n">
        <v>4.83</v>
      </c>
      <c r="E22" s="18" t="n">
        <v>22</v>
      </c>
      <c r="F22" s="19" t="n">
        <v>723</v>
      </c>
      <c r="G22" s="18" t="s">
        <v>918</v>
      </c>
      <c r="H22" s="19" t="n">
        <v>408</v>
      </c>
    </row>
    <row r="23" customFormat="false" ht="15" hidden="false" customHeight="false" outlineLevel="0" collapsed="false">
      <c r="A23" s="18" t="s">
        <v>73</v>
      </c>
      <c r="B23" s="18" t="s">
        <v>730</v>
      </c>
      <c r="C23" s="18" t="n">
        <v>26</v>
      </c>
      <c r="D23" s="18" t="n">
        <v>3.98</v>
      </c>
      <c r="E23" s="18" t="n">
        <v>3</v>
      </c>
      <c r="F23" s="19" t="n">
        <v>596</v>
      </c>
      <c r="G23" s="18" t="s">
        <v>915</v>
      </c>
      <c r="H23" s="19" t="n">
        <v>401</v>
      </c>
    </row>
    <row r="24" customFormat="false" ht="15" hidden="false" customHeight="false" outlineLevel="0" collapsed="false">
      <c r="A24" s="18" t="s">
        <v>491</v>
      </c>
      <c r="B24" s="18" t="s">
        <v>495</v>
      </c>
      <c r="C24" s="18" t="n">
        <v>25</v>
      </c>
      <c r="D24" s="18" t="n">
        <v>6.62</v>
      </c>
      <c r="E24" s="18" t="n">
        <v>81</v>
      </c>
      <c r="F24" s="19" t="n">
        <v>990</v>
      </c>
      <c r="G24" s="18" t="s">
        <v>916</v>
      </c>
      <c r="H24" s="19" t="n">
        <v>400</v>
      </c>
    </row>
    <row r="29" customFormat="false" ht="15" hidden="false" customHeight="false" outlineLevel="0" collapsed="false">
      <c r="A29" s="17" t="s">
        <v>919</v>
      </c>
    </row>
    <row r="30" customFormat="false" ht="15" hidden="false" customHeight="false" outlineLevel="0" collapsed="false">
      <c r="A30" s="4" t="s">
        <v>25</v>
      </c>
      <c r="B30" s="4" t="s">
        <v>26</v>
      </c>
      <c r="C30" s="4" t="s">
        <v>27</v>
      </c>
      <c r="D30" s="4" t="s">
        <v>908</v>
      </c>
      <c r="E30" s="4" t="s">
        <v>912</v>
      </c>
      <c r="F30" s="4" t="s">
        <v>29</v>
      </c>
      <c r="G30" s="4" t="s">
        <v>913</v>
      </c>
      <c r="H30" s="4" t="s">
        <v>914</v>
      </c>
    </row>
    <row r="31" customFormat="false" ht="15" hidden="false" customHeight="false" outlineLevel="0" collapsed="false">
      <c r="A31" s="18" t="s">
        <v>73</v>
      </c>
      <c r="B31" s="18" t="s">
        <v>91</v>
      </c>
      <c r="C31" s="18" t="n">
        <v>10</v>
      </c>
      <c r="D31" s="18" t="n">
        <v>0.99</v>
      </c>
      <c r="E31" s="18" t="n">
        <v>159</v>
      </c>
      <c r="F31" s="19" t="n">
        <v>149</v>
      </c>
      <c r="G31" s="18" t="s">
        <v>920</v>
      </c>
      <c r="H31" s="19" t="n">
        <v>-976</v>
      </c>
    </row>
    <row r="32" customFormat="false" ht="15" hidden="false" customHeight="false" outlineLevel="0" collapsed="false">
      <c r="A32" s="18" t="s">
        <v>417</v>
      </c>
      <c r="B32" s="18" t="s">
        <v>427</v>
      </c>
      <c r="C32" s="18" t="n">
        <v>15</v>
      </c>
      <c r="D32" s="18" t="n">
        <v>4.98</v>
      </c>
      <c r="E32" s="18" t="n">
        <v>147</v>
      </c>
      <c r="F32" s="19" t="n">
        <v>746</v>
      </c>
      <c r="G32" s="18" t="s">
        <v>921</v>
      </c>
      <c r="H32" s="19" t="n">
        <v>-754</v>
      </c>
    </row>
    <row r="33" customFormat="false" ht="15" hidden="false" customHeight="false" outlineLevel="0" collapsed="false">
      <c r="A33" s="18" t="s">
        <v>303</v>
      </c>
      <c r="B33" s="18" t="s">
        <v>335</v>
      </c>
      <c r="C33" s="18" t="n">
        <v>20</v>
      </c>
      <c r="D33" s="18" t="n">
        <v>5.31</v>
      </c>
      <c r="E33" s="18" t="n">
        <v>180</v>
      </c>
      <c r="F33" s="19" t="n">
        <v>794</v>
      </c>
      <c r="G33" s="18" t="s">
        <v>921</v>
      </c>
      <c r="H33" s="19" t="n">
        <v>-706</v>
      </c>
    </row>
    <row r="34" customFormat="false" ht="15" hidden="false" customHeight="false" outlineLevel="0" collapsed="false">
      <c r="A34" s="18" t="s">
        <v>491</v>
      </c>
      <c r="B34" s="18" t="s">
        <v>522</v>
      </c>
      <c r="C34" s="18" t="n">
        <v>21</v>
      </c>
      <c r="D34" s="18" t="n">
        <v>3.1</v>
      </c>
      <c r="E34" s="18" t="n">
        <v>172</v>
      </c>
      <c r="F34" s="19" t="n">
        <v>463</v>
      </c>
      <c r="G34" s="18" t="s">
        <v>920</v>
      </c>
      <c r="H34" s="19" t="n">
        <v>-662</v>
      </c>
    </row>
    <row r="35" customFormat="false" ht="15" hidden="false" customHeight="false" outlineLevel="0" collapsed="false">
      <c r="A35" s="18" t="s">
        <v>339</v>
      </c>
      <c r="B35" s="18" t="s">
        <v>374</v>
      </c>
      <c r="C35" s="18" t="n">
        <v>13</v>
      </c>
      <c r="D35" s="18" t="n">
        <v>3.42</v>
      </c>
      <c r="E35" s="18" t="n">
        <v>160</v>
      </c>
      <c r="F35" s="19" t="n">
        <v>511</v>
      </c>
      <c r="G35" s="18" t="s">
        <v>920</v>
      </c>
      <c r="H35" s="19" t="n">
        <v>-614</v>
      </c>
    </row>
    <row r="36" customFormat="false" ht="15" hidden="false" customHeight="false" outlineLevel="0" collapsed="false">
      <c r="A36" s="18" t="s">
        <v>417</v>
      </c>
      <c r="B36" s="18" t="s">
        <v>441</v>
      </c>
      <c r="C36" s="18" t="n">
        <v>22</v>
      </c>
      <c r="D36" s="18" t="n">
        <v>6.29</v>
      </c>
      <c r="E36" s="18" t="n">
        <v>155</v>
      </c>
      <c r="F36" s="19" t="n">
        <v>942</v>
      </c>
      <c r="G36" s="18" t="s">
        <v>921</v>
      </c>
      <c r="H36" s="19" t="n">
        <v>-558</v>
      </c>
    </row>
    <row r="37" customFormat="false" ht="15" hidden="false" customHeight="false" outlineLevel="0" collapsed="false">
      <c r="A37" s="18" t="s">
        <v>106</v>
      </c>
      <c r="B37" s="18" t="s">
        <v>112</v>
      </c>
      <c r="C37" s="18" t="n">
        <v>17</v>
      </c>
      <c r="D37" s="18" t="n">
        <v>1.84</v>
      </c>
      <c r="E37" s="18" t="n">
        <v>138</v>
      </c>
      <c r="F37" s="19" t="n">
        <v>276</v>
      </c>
      <c r="G37" s="18" t="s">
        <v>922</v>
      </c>
      <c r="H37" s="19" t="n">
        <v>-539</v>
      </c>
    </row>
    <row r="38" customFormat="false" ht="15" hidden="false" customHeight="false" outlineLevel="0" collapsed="false">
      <c r="A38" s="18" t="s">
        <v>186</v>
      </c>
      <c r="B38" s="18" t="s">
        <v>217</v>
      </c>
      <c r="C38" s="18" t="n">
        <v>10</v>
      </c>
      <c r="D38" s="18" t="n">
        <v>2.11</v>
      </c>
      <c r="E38" s="18" t="n">
        <v>109</v>
      </c>
      <c r="F38" s="19" t="n">
        <v>316</v>
      </c>
      <c r="G38" s="18" t="s">
        <v>922</v>
      </c>
      <c r="H38" s="19" t="n">
        <v>-499</v>
      </c>
    </row>
    <row r="39" customFormat="false" ht="15" hidden="false" customHeight="false" outlineLevel="0" collapsed="false">
      <c r="A39" s="18" t="s">
        <v>567</v>
      </c>
      <c r="B39" s="18" t="s">
        <v>595</v>
      </c>
      <c r="C39" s="18" t="n">
        <v>11</v>
      </c>
      <c r="D39" s="18" t="n">
        <v>2.43</v>
      </c>
      <c r="E39" s="18" t="n">
        <v>60</v>
      </c>
      <c r="F39" s="19" t="n">
        <v>364</v>
      </c>
      <c r="G39" s="18" t="s">
        <v>922</v>
      </c>
      <c r="H39" s="19" t="n">
        <v>-451</v>
      </c>
    </row>
    <row r="40" customFormat="false" ht="15" hidden="false" customHeight="false" outlineLevel="0" collapsed="false">
      <c r="A40" s="18" t="s">
        <v>417</v>
      </c>
      <c r="B40" s="18" t="s">
        <v>434</v>
      </c>
      <c r="C40" s="18" t="n">
        <v>9</v>
      </c>
      <c r="D40" s="18" t="n">
        <v>1.04</v>
      </c>
      <c r="E40" s="18" t="n">
        <v>143</v>
      </c>
      <c r="F40" s="19" t="n">
        <v>155</v>
      </c>
      <c r="G40" s="18" t="s">
        <v>916</v>
      </c>
      <c r="H40" s="19" t="n">
        <v>-435</v>
      </c>
    </row>
    <row r="41" customFormat="false" ht="15" hidden="false" customHeight="false" outlineLevel="0" collapsed="false">
      <c r="A41" s="18" t="s">
        <v>607</v>
      </c>
      <c r="B41" s="18" t="s">
        <v>629</v>
      </c>
      <c r="C41" s="18" t="n">
        <v>13</v>
      </c>
      <c r="D41" s="18" t="n">
        <v>2.65</v>
      </c>
      <c r="E41" s="18" t="n">
        <v>137</v>
      </c>
      <c r="F41" s="19" t="n">
        <v>396</v>
      </c>
      <c r="G41" s="18" t="s">
        <v>922</v>
      </c>
      <c r="H41" s="19" t="n">
        <v>-419</v>
      </c>
    </row>
    <row r="42" customFormat="false" ht="15" hidden="false" customHeight="false" outlineLevel="0" collapsed="false">
      <c r="A42" s="18" t="s">
        <v>491</v>
      </c>
      <c r="B42" s="18" t="s">
        <v>508</v>
      </c>
      <c r="C42" s="18" t="n">
        <v>25</v>
      </c>
      <c r="D42" s="18" t="n">
        <v>4.86</v>
      </c>
      <c r="E42" s="18" t="n">
        <v>154</v>
      </c>
      <c r="F42" s="19" t="n">
        <v>727</v>
      </c>
      <c r="G42" s="18" t="s">
        <v>920</v>
      </c>
      <c r="H42" s="19" t="n">
        <v>-398</v>
      </c>
    </row>
    <row r="43" customFormat="false" ht="15" hidden="false" customHeight="false" outlineLevel="0" collapsed="false">
      <c r="A43" s="18" t="s">
        <v>303</v>
      </c>
      <c r="B43" s="18" t="s">
        <v>305</v>
      </c>
      <c r="C43" s="18" t="n">
        <v>9</v>
      </c>
      <c r="D43" s="18" t="n">
        <v>1.29</v>
      </c>
      <c r="E43" s="18" t="n">
        <v>112</v>
      </c>
      <c r="F43" s="19" t="n">
        <v>194</v>
      </c>
      <c r="G43" s="18" t="s">
        <v>916</v>
      </c>
      <c r="H43" s="19" t="n">
        <v>-396</v>
      </c>
    </row>
    <row r="44" customFormat="false" ht="15" hidden="false" customHeight="false" outlineLevel="0" collapsed="false">
      <c r="A44" s="18" t="s">
        <v>339</v>
      </c>
      <c r="B44" s="18" t="s">
        <v>548</v>
      </c>
      <c r="C44" s="18" t="n">
        <v>8</v>
      </c>
      <c r="D44" s="18" t="n">
        <v>1.36</v>
      </c>
      <c r="E44" s="18" t="n">
        <v>53</v>
      </c>
      <c r="F44" s="19" t="n">
        <v>203</v>
      </c>
      <c r="G44" s="18" t="s">
        <v>916</v>
      </c>
      <c r="H44" s="19" t="n">
        <v>-387</v>
      </c>
    </row>
    <row r="45" customFormat="false" ht="15" hidden="false" customHeight="false" outlineLevel="0" collapsed="false">
      <c r="A45" s="18" t="s">
        <v>491</v>
      </c>
      <c r="B45" s="18" t="s">
        <v>520</v>
      </c>
      <c r="C45" s="18" t="n">
        <v>13</v>
      </c>
      <c r="D45" s="18" t="n">
        <v>1.62</v>
      </c>
      <c r="E45" s="18" t="n">
        <v>147</v>
      </c>
      <c r="F45" s="19" t="n">
        <v>243</v>
      </c>
      <c r="G45" s="18" t="s">
        <v>916</v>
      </c>
      <c r="H45" s="19" t="n">
        <v>-347</v>
      </c>
    </row>
    <row r="46" customFormat="false" ht="15" hidden="false" customHeight="false" outlineLevel="0" collapsed="false">
      <c r="A46" s="18" t="s">
        <v>339</v>
      </c>
      <c r="B46" s="18" t="s">
        <v>341</v>
      </c>
      <c r="C46" s="18" t="n">
        <v>8</v>
      </c>
      <c r="D46" s="18" t="n">
        <v>0.63</v>
      </c>
      <c r="E46" s="18" t="n">
        <v>134</v>
      </c>
      <c r="F46" s="19" t="n">
        <v>94</v>
      </c>
      <c r="G46" s="18" t="s">
        <v>917</v>
      </c>
      <c r="H46" s="19" t="n">
        <v>-346</v>
      </c>
    </row>
    <row r="47" customFormat="false" ht="15" hidden="false" customHeight="false" outlineLevel="0" collapsed="false">
      <c r="A47" s="18" t="s">
        <v>681</v>
      </c>
      <c r="B47" s="18" t="s">
        <v>695</v>
      </c>
      <c r="C47" s="18" t="n">
        <v>22</v>
      </c>
      <c r="D47" s="18" t="n">
        <v>5.22</v>
      </c>
      <c r="E47" s="18" t="n">
        <v>174</v>
      </c>
      <c r="F47" s="19" t="n">
        <v>781</v>
      </c>
      <c r="G47" s="18" t="s">
        <v>920</v>
      </c>
      <c r="H47" s="19" t="n">
        <v>-344</v>
      </c>
    </row>
    <row r="48" customFormat="false" ht="15" hidden="false" customHeight="false" outlineLevel="0" collapsed="false">
      <c r="A48" s="18" t="s">
        <v>146</v>
      </c>
      <c r="B48" s="18" t="s">
        <v>160</v>
      </c>
      <c r="C48" s="18" t="n">
        <v>26</v>
      </c>
      <c r="D48" s="18" t="n">
        <v>5.22</v>
      </c>
      <c r="E48" s="18" t="n">
        <v>182</v>
      </c>
      <c r="F48" s="19" t="n">
        <v>782</v>
      </c>
      <c r="G48" s="18" t="s">
        <v>920</v>
      </c>
      <c r="H48" s="19" t="n">
        <v>-343</v>
      </c>
    </row>
    <row r="49" customFormat="false" ht="15" hidden="false" customHeight="false" outlineLevel="0" collapsed="false">
      <c r="A49" s="18" t="s">
        <v>567</v>
      </c>
      <c r="B49" s="18" t="s">
        <v>585</v>
      </c>
      <c r="C49" s="18" t="n">
        <v>21</v>
      </c>
      <c r="D49" s="18" t="n">
        <v>5.4</v>
      </c>
      <c r="E49" s="18" t="n">
        <v>137</v>
      </c>
      <c r="F49" s="19" t="n">
        <v>807</v>
      </c>
      <c r="G49" s="18" t="s">
        <v>920</v>
      </c>
      <c r="H49" s="19" t="n">
        <v>-318</v>
      </c>
    </row>
    <row r="50" customFormat="false" ht="15" hidden="false" customHeight="false" outlineLevel="0" collapsed="false">
      <c r="A50" s="18" t="s">
        <v>527</v>
      </c>
      <c r="B50" s="18" t="s">
        <v>543</v>
      </c>
      <c r="C50" s="18" t="n">
        <v>16</v>
      </c>
      <c r="D50" s="18" t="n">
        <v>3.36</v>
      </c>
      <c r="E50" s="18" t="n">
        <v>137</v>
      </c>
      <c r="F50" s="19" t="n">
        <v>503</v>
      </c>
      <c r="G50" s="18" t="s">
        <v>922</v>
      </c>
      <c r="H50" s="19" t="n">
        <v>-312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2026-06-12T17:38:16Z</dcterms:created>
  <dc:creator>openpyxl</dc:creator>
  <dc:description/>
  <dc:language>en-US</dc:language>
  <cp:lastModifiedBy/>
  <dcterms:modified xsi:type="dcterms:W3CDTF">2026-06-12T17:38:17Z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